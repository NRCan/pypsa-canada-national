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dematos\Desktop\pypsa_canada\PyPSA-Canada-National\data\planned_projects\"/>
    </mc:Choice>
  </mc:AlternateContent>
  <xr:revisionPtr revIDLastSave="0" documentId="13_ncr:1_{A58691FC-8303-403D-B237-26070A372B9A}" xr6:coauthVersionLast="47" xr6:coauthVersionMax="47" xr10:uidLastSave="{00000000-0000-0000-0000-000000000000}"/>
  <bookViews>
    <workbookView xWindow="-5985" yWindow="-21720" windowWidth="38640" windowHeight="21120" firstSheet="1" activeTab="3" xr2:uid="{BA08FB81-F992-4293-93EE-9591F74CB43E}"/>
  </bookViews>
  <sheets>
    <sheet name="License" sheetId="9" r:id="rId1"/>
    <sheet name="NERC TIERs" sheetId="2" r:id="rId2"/>
    <sheet name="AESO" sheetId="3" r:id="rId3"/>
    <sheet name="Projects" sheetId="5" r:id="rId4"/>
  </sheets>
  <externalReferences>
    <externalReference r:id="rId5"/>
    <externalReference r:id="rId6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6" i="5" l="1"/>
  <c r="D36" i="5"/>
  <c r="L29" i="5"/>
  <c r="D29" i="5"/>
  <c r="L20" i="5"/>
  <c r="H19" i="5"/>
  <c r="H233" i="5"/>
  <c r="H234" i="5"/>
  <c r="H235" i="5"/>
  <c r="H236" i="5"/>
  <c r="H237" i="5"/>
  <c r="H238" i="5"/>
  <c r="H239" i="5"/>
  <c r="H240" i="5"/>
  <c r="H4" i="5"/>
  <c r="G19" i="5"/>
  <c r="G23" i="5"/>
  <c r="G30" i="5"/>
  <c r="G233" i="5"/>
  <c r="G234" i="5"/>
  <c r="G235" i="5"/>
  <c r="G236" i="5"/>
  <c r="G237" i="5"/>
  <c r="G238" i="5"/>
  <c r="G239" i="5"/>
  <c r="G240" i="5"/>
  <c r="G4" i="5"/>
  <c r="L240" i="5"/>
  <c r="L239" i="5"/>
  <c r="L238" i="5"/>
  <c r="L237" i="5"/>
  <c r="L236" i="5"/>
  <c r="L235" i="5"/>
  <c r="L234" i="5"/>
  <c r="L233" i="5"/>
  <c r="L30" i="5"/>
  <c r="L23" i="5"/>
  <c r="L19" i="5"/>
  <c r="L4" i="5"/>
  <c r="D240" i="5"/>
  <c r="D239" i="5"/>
  <c r="D238" i="5"/>
  <c r="D237" i="5"/>
  <c r="D236" i="5"/>
  <c r="D235" i="5"/>
  <c r="D234" i="5"/>
  <c r="D233" i="5"/>
  <c r="D30" i="5"/>
  <c r="D23" i="5"/>
  <c r="D19" i="5"/>
  <c r="D4" i="5"/>
  <c r="D3" i="5"/>
  <c r="D5" i="5"/>
  <c r="D6" i="5"/>
  <c r="D7" i="5"/>
  <c r="D8" i="5"/>
  <c r="D9" i="5"/>
  <c r="D10" i="5"/>
  <c r="D11" i="5"/>
  <c r="D12" i="5"/>
  <c r="D13" i="5"/>
  <c r="D14" i="5"/>
  <c r="D15" i="5"/>
  <c r="D17" i="5"/>
  <c r="D16" i="5"/>
  <c r="D18" i="5"/>
  <c r="D21" i="5"/>
  <c r="D22" i="5"/>
  <c r="D24" i="5"/>
  <c r="D25" i="5"/>
  <c r="D26" i="5"/>
  <c r="D27" i="5"/>
  <c r="D28" i="5"/>
  <c r="D31" i="5"/>
  <c r="D32" i="5"/>
  <c r="D33" i="5"/>
  <c r="D35" i="5"/>
  <c r="D37" i="5"/>
  <c r="D40" i="5"/>
  <c r="D41" i="5"/>
  <c r="D42" i="5"/>
  <c r="D43" i="5"/>
  <c r="D44" i="5"/>
  <c r="D45" i="5"/>
  <c r="D46" i="5"/>
  <c r="D47" i="5"/>
  <c r="D49" i="5"/>
  <c r="D50" i="5"/>
  <c r="D51" i="5"/>
  <c r="D231" i="5"/>
  <c r="D232" i="5"/>
  <c r="D2" i="5"/>
  <c r="L5" i="5"/>
  <c r="L6" i="5"/>
  <c r="L7" i="5"/>
  <c r="L8" i="5"/>
  <c r="L9" i="5"/>
  <c r="L10" i="5"/>
  <c r="L11" i="5"/>
  <c r="L12" i="5"/>
  <c r="L13" i="5"/>
  <c r="L14" i="5"/>
  <c r="L15" i="5"/>
  <c r="L16" i="5"/>
  <c r="L18" i="5"/>
  <c r="L21" i="5"/>
  <c r="L22" i="5"/>
  <c r="L24" i="5"/>
  <c r="L25" i="5"/>
  <c r="L26" i="5"/>
  <c r="L27" i="5"/>
  <c r="L28" i="5"/>
  <c r="L31" i="5"/>
  <c r="L32" i="5"/>
  <c r="L33" i="5"/>
  <c r="L35" i="5"/>
  <c r="L37" i="5"/>
  <c r="L40" i="5"/>
  <c r="L41" i="5"/>
  <c r="L42" i="5"/>
  <c r="L43" i="5"/>
  <c r="L44" i="5"/>
  <c r="L45" i="5"/>
  <c r="L46" i="5"/>
  <c r="L47" i="5"/>
  <c r="L49" i="5"/>
  <c r="L50" i="5"/>
  <c r="L51" i="5"/>
  <c r="L231" i="5"/>
  <c r="L232" i="5"/>
  <c r="L3" i="5"/>
  <c r="D230" i="5"/>
  <c r="D217" i="5"/>
  <c r="D215" i="5"/>
  <c r="D206" i="5"/>
  <c r="D182" i="5"/>
  <c r="D180" i="5"/>
  <c r="D178" i="5"/>
  <c r="D150" i="5"/>
  <c r="D151" i="5"/>
  <c r="D152" i="5"/>
  <c r="D153" i="5"/>
  <c r="D179" i="5"/>
  <c r="D196" i="5"/>
  <c r="D155" i="5"/>
  <c r="D156" i="5"/>
  <c r="D157" i="5"/>
  <c r="D177" i="5"/>
  <c r="D172" i="5"/>
  <c r="D173" i="5"/>
  <c r="D174" i="5"/>
  <c r="D175" i="5"/>
  <c r="D176" i="5"/>
  <c r="D195" i="5"/>
  <c r="D171" i="5"/>
  <c r="D170" i="5"/>
  <c r="D167" i="5"/>
  <c r="D168" i="5"/>
  <c r="D163" i="5"/>
  <c r="D164" i="5"/>
  <c r="D161" i="5"/>
  <c r="D186" i="5"/>
  <c r="D159" i="5"/>
  <c r="D187" i="5"/>
  <c r="D165" i="5"/>
  <c r="D162" i="5"/>
  <c r="D158" i="5"/>
  <c r="I84" i="5"/>
</calcChain>
</file>

<file path=xl/sharedStrings.xml><?xml version="1.0" encoding="utf-8"?>
<sst xmlns="http://schemas.openxmlformats.org/spreadsheetml/2006/main" count="2099" uniqueCount="683">
  <si>
    <t>Tier 1:</t>
  </si>
  <si>
    <t>Construction complete (not in commercial operation)</t>
  </si>
  <si>
    <t>Under construction</t>
  </si>
  <si>
    <t>Signed/approved interconnection service agreement</t>
  </si>
  <si>
    <t>Signed/approved PPA</t>
  </si>
  <si>
    <t>Signed/approved Interconnection Construction Service Agreement (CSA)</t>
  </si>
  <si>
    <t>Signed/approved Wholesale Market Participant Agreement (WMPA)</t>
  </si>
  <si>
    <t>Included in an IRP or under regulatory environment that mandates a resource adequacy requirement (VERTICALLY INTEGRATED UTILITY)</t>
  </si>
  <si>
    <t>Tier 2:</t>
  </si>
  <si>
    <t>Signed/approved completion of Feasibility Study</t>
  </si>
  <si>
    <t>Signed/approved completion of system impact study</t>
  </si>
  <si>
    <t>Signed/approved completion of facilities study</t>
  </si>
  <si>
    <t>Requested interconnection service agreement</t>
  </si>
  <si>
    <t>Included in an IRP or under regulatory environment that mandates a resource adequacy requirement (RTO/ISOs)</t>
  </si>
  <si>
    <t>Tier 3:</t>
  </si>
  <si>
    <t>Does not meet tier 2</t>
  </si>
  <si>
    <t>Status</t>
  </si>
  <si>
    <t>Cluster</t>
  </si>
  <si>
    <t>Accepted system access service request, currently in cluster assessment phase</t>
  </si>
  <si>
    <t>Active</t>
  </si>
  <si>
    <t>Acceped system access service request, currently in independent assessment phase/execution phase. Some energizations may be in service</t>
  </si>
  <si>
    <t>ISD under review</t>
  </si>
  <si>
    <t>Re-evaluating in-service date of system access service request</t>
  </si>
  <si>
    <t>On hold</t>
  </si>
  <si>
    <t>Activity has ceased except for 6-month check ins</t>
  </si>
  <si>
    <t>Recently energized</t>
  </si>
  <si>
    <t>Energized within past 3 months</t>
  </si>
  <si>
    <t>Recently cancelled</t>
  </si>
  <si>
    <t>Cancelled within 3 months</t>
  </si>
  <si>
    <t>Stage</t>
  </si>
  <si>
    <t>Assessment Phase
(Independent assessment, &lt; 5 MW)
(Cluster assessment, &gt; 5 MW)</t>
  </si>
  <si>
    <t>Application</t>
  </si>
  <si>
    <t>Scope</t>
  </si>
  <si>
    <t>Assessment</t>
  </si>
  <si>
    <t xml:space="preserve">Execution Phase
(Connection process)
</t>
  </si>
  <si>
    <t>Regulatory preparation</t>
  </si>
  <si>
    <t>AUC applications</t>
  </si>
  <si>
    <t>Construction</t>
  </si>
  <si>
    <t>Close out</t>
  </si>
  <si>
    <t>Types</t>
  </si>
  <si>
    <t>BTF</t>
  </si>
  <si>
    <t>Connection</t>
  </si>
  <si>
    <t>Contract</t>
  </si>
  <si>
    <t>STS = Supply Transmission Service</t>
  </si>
  <si>
    <t>DTS = Demand Transmission Service</t>
  </si>
  <si>
    <t>Modelled:</t>
  </si>
  <si>
    <t>Included in base case for connection assessment studies</t>
  </si>
  <si>
    <t>Inclusion:</t>
  </si>
  <si>
    <t>Included for system planning and long term adequacy</t>
  </si>
  <si>
    <t>Province</t>
  </si>
  <si>
    <t>Project Name</t>
  </si>
  <si>
    <t>CODERS Name</t>
  </si>
  <si>
    <t>Location</t>
  </si>
  <si>
    <t>Latitude</t>
  </si>
  <si>
    <t>Longitude</t>
  </si>
  <si>
    <t>Project Type</t>
  </si>
  <si>
    <t>Model</t>
  </si>
  <si>
    <t>Capacity</t>
  </si>
  <si>
    <t>Year</t>
  </si>
  <si>
    <t>TIER Justification</t>
  </si>
  <si>
    <t>Last Modified</t>
  </si>
  <si>
    <t>Notes</t>
  </si>
  <si>
    <t>Source</t>
  </si>
  <si>
    <t>AB</t>
  </si>
  <si>
    <t>P1828 hep Energy Alderson MPC Solar</t>
  </si>
  <si>
    <t>Solar</t>
  </si>
  <si>
    <t>Tier 1</t>
  </si>
  <si>
    <t>Stage 5</t>
  </si>
  <si>
    <t>https://www.aeso.ca/grid/transmission-projects/connection-project-reporting/</t>
  </si>
  <si>
    <t>P2034 Cold Lake Energy (Lindbergh Cogeneration)</t>
  </si>
  <si>
    <t>Cogen</t>
  </si>
  <si>
    <t>68 MW added, 20 MW for oil sands operations</t>
  </si>
  <si>
    <t>P2091 Arenosum Solar</t>
  </si>
  <si>
    <t>P2192 ENMAX FMC Change</t>
  </si>
  <si>
    <t>P2195 FortisAlberta Bassano 435S DER Solar</t>
  </si>
  <si>
    <t>P2259 FortisAlberta Metiskow 648S DER Solar</t>
  </si>
  <si>
    <t>Under Review</t>
  </si>
  <si>
    <t>100 MW battery?</t>
  </si>
  <si>
    <t>P2292 FortisAlberta Killarney Lake 267S DER Solar</t>
  </si>
  <si>
    <t>P2334 TCE Saddlebrook Solar Storage</t>
  </si>
  <si>
    <t>Battery Storage</t>
  </si>
  <si>
    <t>40MWh flow battery (8hrs)</t>
  </si>
  <si>
    <t>P2337 Dunmore Solar</t>
  </si>
  <si>
    <t>Dunmore</t>
  </si>
  <si>
    <t>CODERS says 2025, project timeline got extended</t>
  </si>
  <si>
    <t>P2354 ENMAX FMC DER Cogen</t>
  </si>
  <si>
    <t>P2192 ENMAX FMC Change duplicated, DON’T INCLUDE</t>
  </si>
  <si>
    <t>P2356 Oyen Wind</t>
  </si>
  <si>
    <t>Wind</t>
  </si>
  <si>
    <t>Phase 1</t>
  </si>
  <si>
    <t>P2369 ATCO Anderson 801S DER Solar</t>
  </si>
  <si>
    <t>P2378 RESC Nova MPC Solar</t>
  </si>
  <si>
    <t>P2396 Georgetown Solar</t>
  </si>
  <si>
    <t>P2411 Northland Power Jurassic MPC Solar Battery</t>
  </si>
  <si>
    <t>Completed</t>
  </si>
  <si>
    <t>160MWh (2hr)</t>
  </si>
  <si>
    <t>P2418 Greencells Estuary Solar</t>
  </si>
  <si>
    <t>P2445 Homestead MPC Solar</t>
  </si>
  <si>
    <t>P2446 Fortis Tilley 498S DER Solar</t>
  </si>
  <si>
    <t>Tilley</t>
  </si>
  <si>
    <t>CODERS match</t>
  </si>
  <si>
    <t>P2451 Georgetown Battery Addition</t>
  </si>
  <si>
    <t>P2453 EDTI Edmonton 3 H2 Plant Cogen</t>
  </si>
  <si>
    <t>P2454 Flipi MPC Gas</t>
  </si>
  <si>
    <t>Gas CC</t>
  </si>
  <si>
    <t>P2456 Opal Gas</t>
  </si>
  <si>
    <t>Gas</t>
  </si>
  <si>
    <t>P2457 Fortis Moon Lake DER Solar</t>
  </si>
  <si>
    <t>P2461 Aira Solar</t>
  </si>
  <si>
    <t>P2462 Fortis Stony Plain 434S DER Solar</t>
  </si>
  <si>
    <t>P2464 Sunnynook Solar Battery</t>
  </si>
  <si>
    <t>P2465 Enerfin Winnifred Wind + Solar Modification</t>
  </si>
  <si>
    <t>Additional 60 MW of solar in existing wind location</t>
  </si>
  <si>
    <t>P2467 Pteragen Peace Butte Wind</t>
  </si>
  <si>
    <t>P2471 Fortis Buford 538S DER Solar</t>
  </si>
  <si>
    <t>P2524 Shell SR Scotford Solar</t>
  </si>
  <si>
    <t>Capacity already built, 2028 is connection to grid</t>
  </si>
  <si>
    <t>P2537 Fortis Duchess 339S DER Solar</t>
  </si>
  <si>
    <t>Duchess</t>
  </si>
  <si>
    <t>P2553 Dolcy MPC Solar and Storage</t>
  </si>
  <si>
    <t>P2627 Sundre 575S DER Solar</t>
  </si>
  <si>
    <t>P2658 Rimbey 297S DER Gas</t>
  </si>
  <si>
    <t>P2676 Kaybob South 3 Cogen</t>
  </si>
  <si>
    <t>P2678 SS-37 DER Gas</t>
  </si>
  <si>
    <t>P2722 Sturgeon 734S DER Solar</t>
  </si>
  <si>
    <t>Tier 2</t>
  </si>
  <si>
    <t>Stage 3, included in AESO long term planning</t>
  </si>
  <si>
    <t>P2729 Coaldale 254S DER Solar &amp; Wind</t>
  </si>
  <si>
    <t>P2747 Vegreville 709S DER Battery</t>
  </si>
  <si>
    <t>P2751 Hussar 431S Battery</t>
  </si>
  <si>
    <t>P2753 Jarrow 252S DER Solar Battery</t>
  </si>
  <si>
    <t>Solar + Storage</t>
  </si>
  <si>
    <t>P2754 Tucuman 478S DER Solar Battery</t>
  </si>
  <si>
    <t>P2757 Sturgeon 734S DER Battery</t>
  </si>
  <si>
    <t>P2792 Cascade Gas Expansion</t>
  </si>
  <si>
    <t>Not in CODERS</t>
  </si>
  <si>
    <t>P2805 High River 65S DER Gas</t>
  </si>
  <si>
    <t>P2827 Vilna 777S DER Solar</t>
  </si>
  <si>
    <t>23 MW storage?</t>
  </si>
  <si>
    <t>P2829 Coronation 773S DER Solar</t>
  </si>
  <si>
    <t>NB</t>
  </si>
  <si>
    <t>Kci-Wocawson</t>
  </si>
  <si>
    <t>Near Springdale NB, east of Lindys</t>
  </si>
  <si>
    <t>Completion date assumed</t>
  </si>
  <si>
    <t>https://www2.gnb.ca/content/gnb/en/departments/elg/environment/content/environmental_impactassessment/registrations.html</t>
  </si>
  <si>
    <t>NS</t>
  </si>
  <si>
    <t>Ellerhouse 3</t>
  </si>
  <si>
    <t>Ellershouse III</t>
  </si>
  <si>
    <t>Ellerhouse</t>
  </si>
  <si>
    <t>NL</t>
  </si>
  <si>
    <t>Churchill Falls Expansion</t>
  </si>
  <si>
    <t>Hydro</t>
  </si>
  <si>
    <t>SCENARIO</t>
  </si>
  <si>
    <t>Deal end of april 2026</t>
  </si>
  <si>
    <t>https://www.hydroquebec.com/a/infolabrador/</t>
  </si>
  <si>
    <t>Gull Island</t>
  </si>
  <si>
    <t>Bridgewater BESS</t>
  </si>
  <si>
    <t>Bridgewater</t>
  </si>
  <si>
    <t>Operational as of Jan 30, 2026</t>
  </si>
  <si>
    <t>https://www.nspower.ca/about-us/press-releases/details/2026/01/30/nova-scotia-power-s-two-grid-scale-battery-sites-now-operational--supported-by-historic-partnership-and-investment</t>
  </si>
  <si>
    <t>Waverly BESS</t>
  </si>
  <si>
    <t>Spider Lake</t>
  </si>
  <si>
    <t>Higgins Mountain</t>
  </si>
  <si>
    <t>Wentworth, Cumberland, Colchester Counties</t>
  </si>
  <si>
    <t>TIER 1</t>
  </si>
  <si>
    <t>Provincial base rate procurement</t>
  </si>
  <si>
    <t>https://www.nspower.ca/docs/default-source/monthly-reports/10-year-system-outlook-report.pdf?sfvrsn=d39bca29_60</t>
  </si>
  <si>
    <t>Wedgeport</t>
  </si>
  <si>
    <t>White Rock BESS</t>
  </si>
  <si>
    <t>Canaan Rd</t>
  </si>
  <si>
    <t>Weavers Mountain</t>
  </si>
  <si>
    <t>Beaver Meadow</t>
  </si>
  <si>
    <t>Mersey River 1 (Renewable to retail)</t>
  </si>
  <si>
    <t>Mersey River</t>
  </si>
  <si>
    <t>https://cib-bic.ca/en/projects/clean-energy/mersey-river-wind/</t>
  </si>
  <si>
    <t>Minas Highlands/Benjamins Mill Phase 2</t>
  </si>
  <si>
    <t>Benjamins Mill</t>
  </si>
  <si>
    <t>https://www.naturalforces.ca/projects/minas-highlands-wind-project-benjamins-mill-wind-project-phase-2/</t>
  </si>
  <si>
    <t>Port Hawksbury/Goose Harbour Lake</t>
  </si>
  <si>
    <t>Guysborough County</t>
  </si>
  <si>
    <t>https://www.porthawkesburypaper.com/wind-project.html</t>
  </si>
  <si>
    <t>PE</t>
  </si>
  <si>
    <t>Bedeque Solar</t>
  </si>
  <si>
    <t>Bedeque</t>
  </si>
  <si>
    <t>https://irac.pe.ca/wp-content/uploads/SCBR-Request-for-the-On-Island-Capacity-for-Security-of-Supply-Project-filed-December-18-2024.pdf</t>
  </si>
  <si>
    <t>Bedeque Wind</t>
  </si>
  <si>
    <t>Tier 2/3</t>
  </si>
  <si>
    <t>NERC LTRA</t>
  </si>
  <si>
    <t>Eastern Kings Wind Phase 2</t>
  </si>
  <si>
    <t>East Point Eastern Kings II</t>
  </si>
  <si>
    <t>East Point</t>
  </si>
  <si>
    <t>https://www.princeedwardisland.ca/en/feature/projects-under-environmental-review-undertakings/#/service/EnvironmentalImpactAssessments/EnvironmentalImpactAssessmentSearch</t>
  </si>
  <si>
    <t>Paqt'smawei Spiu Wind</t>
  </si>
  <si>
    <t>Between Mechanic Settlement and Donegal</t>
  </si>
  <si>
    <t>PPA</t>
  </si>
  <si>
    <t>Brighton Mountain Wind</t>
  </si>
  <si>
    <t>Brighton Mountain</t>
  </si>
  <si>
    <t>PPA?
+150 MW for phase 2</t>
  </si>
  <si>
    <t>Aulds Cove Wind</t>
  </si>
  <si>
    <t>EIA in progress
NERC tier 1</t>
  </si>
  <si>
    <t>Capacity is upper limit requested in EIA, start construction 2026
Renewable to retail tariff</t>
  </si>
  <si>
    <t>https://www.naturalforces.ca/projects/aulds-mountain-wind-farm/</t>
  </si>
  <si>
    <t>Mersey River 2 (Renewable to retail)</t>
  </si>
  <si>
    <t>Salt Springs Peaker</t>
  </si>
  <si>
    <t>Gas CT</t>
  </si>
  <si>
    <t>EIA in progress, NERC says tier 2</t>
  </si>
  <si>
    <t>Feb 16, 2026 Environmental assessment decision. More likely in 2029?</t>
  </si>
  <si>
    <t>https://novascotia.ca/nse/ea/fangpgf-salt-springs/</t>
  </si>
  <si>
    <t>Mashdale Peaker</t>
  </si>
  <si>
    <t>https://novascotia.ca/nse/ea/fangpgf-marshdale/</t>
  </si>
  <si>
    <t>Wejipek Wind</t>
  </si>
  <si>
    <t>South of Middleton</t>
  </si>
  <si>
    <t>Reliability tie</t>
  </si>
  <si>
    <t>Transmission</t>
  </si>
  <si>
    <t>Salisbury to Memramcook, NB-NS 345kV</t>
  </si>
  <si>
    <t>Papoqi'ig Wind</t>
  </si>
  <si>
    <t>Caribou Depot</t>
  </si>
  <si>
    <t>EIA in progress,
NERC says 62 MW of wind is TIER 1</t>
  </si>
  <si>
    <t>PPA signed</t>
  </si>
  <si>
    <t>Tantramar Natural Gas</t>
  </si>
  <si>
    <t>Gas (peak)</t>
  </si>
  <si>
    <t>NERC says TIER 1, but 400 MW</t>
  </si>
  <si>
    <t>EIA in progress, 500 MW capacity but 100 MW reserved for NS</t>
  </si>
  <si>
    <t>Astuwicuwon Wind</t>
  </si>
  <si>
    <t>Kenneth</t>
  </si>
  <si>
    <t>This capacity doesn't seem to be included in NERC LTRA</t>
  </si>
  <si>
    <t>Eigg Mountain Wind (Green Choice Project)</t>
  </si>
  <si>
    <t>Connors Mountain Rd, Antigonish County</t>
  </si>
  <si>
    <t>Tier 1/2</t>
  </si>
  <si>
    <t>10 year system outlook</t>
  </si>
  <si>
    <t>Sugar Maple Wind (Green Choice Project)</t>
  </si>
  <si>
    <t>Between beaver mountain provincial park and eden lake</t>
  </si>
  <si>
    <t>Coal to NG</t>
  </si>
  <si>
    <t>Gas?</t>
  </si>
  <si>
    <t>Haven't seen mention outside of 2025 NERC LTRA</t>
  </si>
  <si>
    <t>On-Island Supply - Battery</t>
  </si>
  <si>
    <t>Tier 3</t>
  </si>
  <si>
    <t>Skinners Pond Wind</t>
  </si>
  <si>
    <t>Skinners Pond</t>
  </si>
  <si>
    <t>Lingan Conversion HFO</t>
  </si>
  <si>
    <t>Oil</t>
  </si>
  <si>
    <t>In IRP, no action, NERC says tier 2</t>
  </si>
  <si>
    <t>Converted to heavy fuel oil</t>
  </si>
  <si>
    <t>https://www.nspower.ca/irp</t>
  </si>
  <si>
    <t>On-Island Supply - CT</t>
  </si>
  <si>
    <t>Diesel (peak)</t>
  </si>
  <si>
    <t>Converted to gas later</t>
  </si>
  <si>
    <t>Belledune Conversion</t>
  </si>
  <si>
    <t>Biomass</t>
  </si>
  <si>
    <t>NERC says 72 MW of biomass, NBPower plans to convert entire capacity</t>
  </si>
  <si>
    <t>2028-2030 project time, wood pellets</t>
  </si>
  <si>
    <t>https://www.nbpower.com/en/about-us/projects</t>
  </si>
  <si>
    <t>ARC SMR</t>
  </si>
  <si>
    <t>Nuclear SMR</t>
  </si>
  <si>
    <t>No updates since july 2023</t>
  </si>
  <si>
    <t>QC</t>
  </si>
  <si>
    <t>Phoenegamook-Picard-Saint-Antonin-Wolastokuk</t>
  </si>
  <si>
    <t>PPAW</t>
  </si>
  <si>
    <t>Riviere du Loup/Kamouraska/Temiscouata</t>
  </si>
  <si>
    <t>https://www.hydroquebec.com/achats-electricite-quebec/appels-propositions/2021-01.html</t>
  </si>
  <si>
    <t>Madawaska</t>
  </si>
  <si>
    <t>Temiscouata</t>
  </si>
  <si>
    <t>Foret Domaniale</t>
  </si>
  <si>
    <t>Montmagny
(Cap-Saint-Ignace, Montmagny, Notre-Dame-du-Rosaire, Sainte-Apolline-de-Patton)</t>
  </si>
  <si>
    <t>Phase 2, +198 MW?</t>
  </si>
  <si>
    <t>https://www.hydroquebec.com/achats-electricite-quebec/appels-propositions/2021-02.html</t>
  </si>
  <si>
    <t>Canton MacNider</t>
  </si>
  <si>
    <t>St-Damase 2</t>
  </si>
  <si>
    <t>La Matapedia
(Saint-Noel, Saint-Damase)</t>
  </si>
  <si>
    <t>Haute-Chaudiere Wind</t>
  </si>
  <si>
    <t>Haute-ChaudiÃƒÂ¨re</t>
  </si>
  <si>
    <t>Le Granit</t>
  </si>
  <si>
    <t>Mesgi'g Ugju'sn</t>
  </si>
  <si>
    <t>RiviÃƒÂ¨re-Nouvelle 2</t>
  </si>
  <si>
    <t>Avignon</t>
  </si>
  <si>
    <t>Des Neiges Sud</t>
  </si>
  <si>
    <t>La Cote-de-Beaupre</t>
  </si>
  <si>
    <t>Lead Contractor</t>
  </si>
  <si>
    <t>Under Construction</t>
  </si>
  <si>
    <t>https://www.parcseoliensseigneuriedebeaupre.com/desneiges</t>
  </si>
  <si>
    <t>Saint-Paul-de-Montiminy</t>
  </si>
  <si>
    <t>Montmagny
(Notre-Dame-du-Rosaire, Saint-Paul-de-Montminy, Montmagny)</t>
  </si>
  <si>
    <t>2028 Completion?</t>
  </si>
  <si>
    <t>https://www.hydroquebec.com/achats-electricite-quebec/appels-propositions/2023-01.html</t>
  </si>
  <si>
    <t>Monnoir</t>
  </si>
  <si>
    <t>Le Haut-Richelieu/Rouville
(Saint-Brigide-d'Iberville, Sainte-Angele-de-Monnoir, Saint-Cesaire)</t>
  </si>
  <si>
    <t>Des Neiges Charlevoix</t>
  </si>
  <si>
    <t>Charlevoix</t>
  </si>
  <si>
    <t>Clearing work Started</t>
  </si>
  <si>
    <t>Appalaches-Maine Intertie</t>
  </si>
  <si>
    <t>Hertel-New York Intertie</t>
  </si>
  <si>
    <t>HQ Production</t>
  </si>
  <si>
    <t>Mix</t>
  </si>
  <si>
    <t>Incremental upgrades across HQ assets, model as flexible capacity? E2020 assumes wind…</t>
  </si>
  <si>
    <t>Les Jardins</t>
  </si>
  <si>
    <t>Les Jardins-de-Napierville
(Saint-Patrice-de-Sherrington, Saint-Edouard, Saint-Michel, Hemmingford)</t>
  </si>
  <si>
    <t>Lotbiniere Ndakina</t>
  </si>
  <si>
    <t>Lotbiniere</t>
  </si>
  <si>
    <t>Peshu Napeu</t>
  </si>
  <si>
    <t>Manicougan
(Nitassinan de Pessamit)</t>
  </si>
  <si>
    <t>Pohenegamook-Picard-Satint-Antonin-Wolastokuk 2</t>
  </si>
  <si>
    <t>Arthabaska</t>
  </si>
  <si>
    <t>Arthabaska 
(Sainte-Seraphine, Sainte-Elizabeth-de-Warwick, Victoriaville)</t>
  </si>
  <si>
    <t>Broughton</t>
  </si>
  <si>
    <t>Les Appalaches
(Sacre-Coeur-de-Jesus, Saint-Pierre-de-Broughton, Thetford Mines)</t>
  </si>
  <si>
    <t>Des Neiges Ouest</t>
  </si>
  <si>
    <t>EIA in progress, NERC says TIER 1</t>
  </si>
  <si>
    <t>NERC Long Term Reliability assessment has this project as TIER 1</t>
  </si>
  <si>
    <t>Call for solar power 2029</t>
  </si>
  <si>
    <t>Submissions due april 2026, decision september 2026?</t>
  </si>
  <si>
    <t>Pumped Hydro Project</t>
  </si>
  <si>
    <t>Pumped Storage</t>
  </si>
  <si>
    <t>Becancour Conversion</t>
  </si>
  <si>
    <t>Becancour</t>
  </si>
  <si>
    <t>Not sure on capacity</t>
  </si>
  <si>
    <t>Chamouchouane zone</t>
  </si>
  <si>
    <t>Study area, not specific projects</t>
  </si>
  <si>
    <t>https://www.collectiveenergy.ca/wind-power/parc-eolien-utshishkau/</t>
  </si>
  <si>
    <t>Wocawson zone</t>
  </si>
  <si>
    <t>https://www.collectiveenergy.ca/wind-power/wocawson/</t>
  </si>
  <si>
    <t>Nutinamu-Chauvin zone</t>
  </si>
  <si>
    <t>https://www.collectiveenergy.ca/wind-power/nutinamu-chauvin/</t>
  </si>
  <si>
    <t>Bay D'Espoir Unit 8</t>
  </si>
  <si>
    <t>https://nlhydro.com/about-us/our-electricity-system/major-projects/</t>
  </si>
  <si>
    <t>Avalon CT</t>
  </si>
  <si>
    <t>Gas_CT</t>
  </si>
  <si>
    <t>Salmon River Wind</t>
  </si>
  <si>
    <t>South of Hammondvale</t>
  </si>
  <si>
    <t>On-Island Supply - RICE</t>
  </si>
  <si>
    <t>Diesel (RICE)</t>
  </si>
  <si>
    <t>Mactaquac Life Achievement</t>
  </si>
  <si>
    <t>2025 to 2036/2039 1 unit out of service at a time</t>
  </si>
  <si>
    <t>IPP solar</t>
  </si>
  <si>
    <t>2026-2029</t>
  </si>
  <si>
    <t>Batteries</t>
  </si>
  <si>
    <t>2027-2029</t>
  </si>
  <si>
    <t>Wind procurement</t>
  </si>
  <si>
    <t>2029-2034</t>
  </si>
  <si>
    <t>Charlottetown Solar</t>
  </si>
  <si>
    <t>Charlottetown</t>
  </si>
  <si>
    <t>TBD</t>
  </si>
  <si>
    <t>Mount Pleasant</t>
  </si>
  <si>
    <t>Battery Storage Request</t>
  </si>
  <si>
    <t>4hr battery</t>
  </si>
  <si>
    <t xml:space="preserve"> https://www.nbpower.com/en/about-us/news-media-centre/news/2025/nb-power-invites-expressions-of-interest-for-15-year-battery-storage-partnership/</t>
  </si>
  <si>
    <t>Grandview PPA</t>
  </si>
  <si>
    <t>PPA Expire</t>
  </si>
  <si>
    <t>PPA expires but capacity still exists, still include in model?</t>
  </si>
  <si>
    <t>https://www.nbpower.com/media/1492536/2023_irp.pdf</t>
  </si>
  <si>
    <t>Bayside</t>
  </si>
  <si>
    <t>Retirement</t>
  </si>
  <si>
    <t>Coleson Cove Unit 1</t>
  </si>
  <si>
    <t>Coleson Cove_01</t>
  </si>
  <si>
    <t>Combustion Turbine #1 Borden</t>
  </si>
  <si>
    <t>Diesel</t>
  </si>
  <si>
    <t>https://www.maritimeelectric.com/media/j02ba1vx/scbr-request-for-the-on-island-capacity-for-security-of-supply-project-filed-december-18-2024.pdf</t>
  </si>
  <si>
    <t>Combustion Turbine #2 Borden</t>
  </si>
  <si>
    <t>Combustion Turbine #3 Borden</t>
  </si>
  <si>
    <t>Combustion Turbine #3</t>
  </si>
  <si>
    <t>Grand Manan</t>
  </si>
  <si>
    <t>Lingan 1</t>
  </si>
  <si>
    <t>Lingan_01</t>
  </si>
  <si>
    <t>Coal</t>
  </si>
  <si>
    <t>https://www.nspower.ca/docs/default-source/monthly-reports/10-year-system-outlook-report.pdf?sfvrsn=d39bca29_66</t>
  </si>
  <si>
    <t>Lingan 2</t>
  </si>
  <si>
    <t>Lingan_02</t>
  </si>
  <si>
    <t>Lingan 3</t>
  </si>
  <si>
    <t>Lingan_03</t>
  </si>
  <si>
    <t>Lingan 4</t>
  </si>
  <si>
    <t>Lingan_04</t>
  </si>
  <si>
    <t>Point Aconi</t>
  </si>
  <si>
    <t>Point Aconi Coal</t>
  </si>
  <si>
    <t>Point Lepreau</t>
  </si>
  <si>
    <t>Point Lepreau Nuclear</t>
  </si>
  <si>
    <t>Nuclear</t>
  </si>
  <si>
    <t>Point Tupper 2</t>
  </si>
  <si>
    <t>Point Tupper Coal</t>
  </si>
  <si>
    <t>Ste. Rose</t>
  </si>
  <si>
    <t>Ste Rose</t>
  </si>
  <si>
    <t>Trenton 5</t>
  </si>
  <si>
    <t>Trenton_05</t>
  </si>
  <si>
    <t>Trenton 6</t>
  </si>
  <si>
    <t>Trenton_06</t>
  </si>
  <si>
    <t>Churchill Falls Upgrade</t>
  </si>
  <si>
    <t>Belledune Coal Retirement</t>
  </si>
  <si>
    <t>Belledune</t>
  </si>
  <si>
    <t>Coleson Cove Unit 2</t>
  </si>
  <si>
    <t>Coleson Cove_02</t>
  </si>
  <si>
    <t>Coleson Cove Unit 3</t>
  </si>
  <si>
    <t>Coleson Cove_03</t>
  </si>
  <si>
    <t>Millbank Unit 1</t>
  </si>
  <si>
    <t>Millbank_01</t>
  </si>
  <si>
    <t>Millbank Unit 2</t>
  </si>
  <si>
    <t>Millbank_02</t>
  </si>
  <si>
    <t>Millbank Unit 3</t>
  </si>
  <si>
    <t>Millbank_03</t>
  </si>
  <si>
    <t>Millbank Unit 4</t>
  </si>
  <si>
    <t>Millbank_04</t>
  </si>
  <si>
    <t>ON</t>
  </si>
  <si>
    <t>New Capacity</t>
  </si>
  <si>
    <t>E-LT1 RDP Final Results</t>
  </si>
  <si>
    <t>20 MWh (4hr)</t>
  </si>
  <si>
    <t>https://www.ieso.ca/Sector-Participants/Resource-Acquisition-and-Contracts/Long-Term-RFP-and-Expedited-Process</t>
  </si>
  <si>
    <t>Almonte BESS</t>
  </si>
  <si>
    <t>Almonte BESS 2</t>
  </si>
  <si>
    <t>LT1 RFP Final Results</t>
  </si>
  <si>
    <t>40 MWh (4hr)</t>
  </si>
  <si>
    <t>Arlen Energy Storage 1</t>
  </si>
  <si>
    <t>80 MWh (4hr)</t>
  </si>
  <si>
    <t>Eagle Lake Power Reserve</t>
  </si>
  <si>
    <t>Oxdrift</t>
  </si>
  <si>
    <t>LT2(c-1) RFP - Initial Results</t>
  </si>
  <si>
    <t>1,600 MWh (8hr)</t>
  </si>
  <si>
    <t>https://www.ieso.ca/Sector-Participants/Resource-Acquisition-and-Contracts/Long-Term-2-RFP</t>
  </si>
  <si>
    <t>Edgeware Battery Storage Project</t>
  </si>
  <si>
    <t>300 MWh (4hr)</t>
  </si>
  <si>
    <t>Elora BESS</t>
  </si>
  <si>
    <t>800 MWh (4hr)</t>
  </si>
  <si>
    <t>Goreway BESS</t>
  </si>
  <si>
    <t>Gorway BESS</t>
  </si>
  <si>
    <t>200 MWh (4hr)</t>
  </si>
  <si>
    <t>Hagersville Battery Energy Storage Park </t>
  </si>
  <si>
    <t>Hagersville Battery Energy Storage ParkÃ‚Â </t>
  </si>
  <si>
    <t>1,200 MWh (4hr)</t>
  </si>
  <si>
    <t>Hedley BESS</t>
  </si>
  <si>
    <t>Napanee Battery Energy Storage System Phase 2</t>
  </si>
  <si>
    <t>Bath</t>
  </si>
  <si>
    <t>2,400 MWh (8hr)</t>
  </si>
  <si>
    <t>Napanee Energy Storage</t>
  </si>
  <si>
    <t>1,000 MWh (4hr)</t>
  </si>
  <si>
    <t>North Glengarry BESS</t>
  </si>
  <si>
    <t>60 MWh (4hr)</t>
  </si>
  <si>
    <t>Oxford Battery Energy Storage Project</t>
  </si>
  <si>
    <t>500 MWh (4hr)</t>
  </si>
  <si>
    <t>OZ-1</t>
  </si>
  <si>
    <t>SFF 06</t>
  </si>
  <si>
    <t>Simcoe Battery Project</t>
  </si>
  <si>
    <t>Simcoe</t>
  </si>
  <si>
    <t>1,200 MWh (8hr)</t>
  </si>
  <si>
    <t>Skyview 2 Battery Energy Storage Project</t>
  </si>
  <si>
    <t>1,560 MWh (4hr)</t>
  </si>
  <si>
    <t>South March BESS</t>
  </si>
  <si>
    <t>Tara BESS</t>
  </si>
  <si>
    <t>Arran-Elderslie</t>
  </si>
  <si>
    <t>1,600 MWh (4hr)</t>
  </si>
  <si>
    <t>Tilbury Battery Storage</t>
  </si>
  <si>
    <t>320 MWh (4hr)</t>
  </si>
  <si>
    <t>Trail Road BESS</t>
  </si>
  <si>
    <t>600 MWh (4hr)</t>
  </si>
  <si>
    <t>Vaughan 1E Energy Storage 1</t>
  </si>
  <si>
    <t>Vaughan 3 Energy Storage 1</t>
  </si>
  <si>
    <t>160 MWh (4hr)</t>
  </si>
  <si>
    <t>Walker BESS 4</t>
  </si>
  <si>
    <t>Walker BESS 5</t>
  </si>
  <si>
    <t>Walker BESS 6</t>
  </si>
  <si>
    <t>York BESS</t>
  </si>
  <si>
    <t>480 MWh (4hr)</t>
  </si>
  <si>
    <t>Goreway Station</t>
  </si>
  <si>
    <t>Natural Gas</t>
  </si>
  <si>
    <t>Same technology upgrades</t>
  </si>
  <si>
    <t>IN CODERS</t>
  </si>
  <si>
    <t>Bolton Manor Rural Power Resiliency _x000D__x000D_
Project</t>
  </si>
  <si>
    <t>Biogas</t>
  </si>
  <si>
    <t>Greenfield Energy Centre</t>
  </si>
  <si>
    <t>Calstock GS</t>
  </si>
  <si>
    <t>Calstock</t>
  </si>
  <si>
    <t>Hearst</t>
  </si>
  <si>
    <t>Recontract</t>
  </si>
  <si>
    <t>MT2(e) RFP - Final Results</t>
  </si>
  <si>
    <t>https://www.ieso.ca/Sector-Participants/Resource-Acquisition-and-Contracts/Medium-Term-RFP</t>
  </si>
  <si>
    <t>Halton Hills Generating Station</t>
  </si>
  <si>
    <t>Britannia Facility</t>
  </si>
  <si>
    <t>Mississauga</t>
  </si>
  <si>
    <t>Landfill Gas</t>
  </si>
  <si>
    <t>Trail Road Landfill GS</t>
  </si>
  <si>
    <t>Trail Road</t>
  </si>
  <si>
    <t>Ottawa</t>
  </si>
  <si>
    <t>Lennox Generating Station</t>
  </si>
  <si>
    <t>Lennox_01-04</t>
  </si>
  <si>
    <t>Greater Napanee</t>
  </si>
  <si>
    <t>MT2(c) RFP - Final Results</t>
  </si>
  <si>
    <t>Napanee Generating Station Expansion</t>
  </si>
  <si>
    <t>Upgrade</t>
  </si>
  <si>
    <t>Hydrogen Ready Power Plant</t>
  </si>
  <si>
    <t>Kingston Cogen CGS</t>
  </si>
  <si>
    <t>Loyalist Township</t>
  </si>
  <si>
    <t>Northland Iroquiois Falls CGS</t>
  </si>
  <si>
    <t>Iroquois Falls</t>
  </si>
  <si>
    <t>Greater Toronto Airports Authority</t>
  </si>
  <si>
    <t>North Bay GS</t>
  </si>
  <si>
    <t>North Bay</t>
  </si>
  <si>
    <t>Kapuskasing GS</t>
  </si>
  <si>
    <t>Kapuskasing</t>
  </si>
  <si>
    <t>Nipigon GS</t>
  </si>
  <si>
    <t>Nipigon</t>
  </si>
  <si>
    <t>London District Energy</t>
  </si>
  <si>
    <t>London</t>
  </si>
  <si>
    <t>Walker Dairy Rural Power Resiliency</t>
  </si>
  <si>
    <t>East Windsor Expansion</t>
  </si>
  <si>
    <t>East Windsor_03</t>
  </si>
  <si>
    <t>Natural Gas SC</t>
  </si>
  <si>
    <t>Darlington SMR Unit 1</t>
  </si>
  <si>
    <t>Darlington</t>
  </si>
  <si>
    <t>SMR</t>
  </si>
  <si>
    <t>Dunns Valley Solar</t>
  </si>
  <si>
    <t>Searchmont</t>
  </si>
  <si>
    <t>LT2(e-1) RFP - Final Results</t>
  </si>
  <si>
    <t>CarbonFree Fort Frances</t>
  </si>
  <si>
    <t>Fort Frances</t>
  </si>
  <si>
    <t>CarbonFree Kynoch</t>
  </si>
  <si>
    <t>Iron Bridge</t>
  </si>
  <si>
    <t>Massey Solar</t>
  </si>
  <si>
    <t>Massey</t>
  </si>
  <si>
    <t>CarbonFree Rainy River</t>
  </si>
  <si>
    <t>Barwick</t>
  </si>
  <si>
    <t>Fort Frances Solar</t>
  </si>
  <si>
    <t>Paradis Bay Solar</t>
  </si>
  <si>
    <t>North Cobalt</t>
  </si>
  <si>
    <t>Timmins Mountjoy Solar Project</t>
  </si>
  <si>
    <t>Timmins</t>
  </si>
  <si>
    <t>Portlands Energy Centre</t>
  </si>
  <si>
    <t>Elmbrook Agrivoltaics</t>
  </si>
  <si>
    <t>Picton</t>
  </si>
  <si>
    <t>Cedar Agrivoltaics</t>
  </si>
  <si>
    <t>Hanover</t>
  </si>
  <si>
    <t>Chatsworth Solar Project</t>
  </si>
  <si>
    <t>Chatsworth</t>
  </si>
  <si>
    <t>Golden Leaf Agrivoltaics</t>
  </si>
  <si>
    <t>Perth</t>
  </si>
  <si>
    <t>Wolfe Island Wind</t>
  </si>
  <si>
    <t>Wolfe Island</t>
  </si>
  <si>
    <t>Frontenac Islands</t>
  </si>
  <si>
    <t>Melancthon II</t>
  </si>
  <si>
    <t>Melancthon</t>
  </si>
  <si>
    <t>Erie Shores Wind Farm</t>
  </si>
  <si>
    <t>Bayham</t>
  </si>
  <si>
    <t>Prince I Wind Project</t>
  </si>
  <si>
    <t>Prince</t>
  </si>
  <si>
    <t>St. Clair Energy Centre</t>
  </si>
  <si>
    <t>Prince II Wind Project</t>
  </si>
  <si>
    <t>Thorold Cogeneration Project</t>
  </si>
  <si>
    <t>Melancthon I</t>
  </si>
  <si>
    <t>Northern Breeze Wind Project</t>
  </si>
  <si>
    <t>Thunder Bay</t>
  </si>
  <si>
    <t>Port Alma I</t>
  </si>
  <si>
    <t>Port Alma</t>
  </si>
  <si>
    <t>Chatham-Kent</t>
  </si>
  <si>
    <t>Clear Creek II Wind Farm</t>
  </si>
  <si>
    <t>Norfolk County</t>
  </si>
  <si>
    <t>Cultus Wind Farm</t>
  </si>
  <si>
    <t>Frogmore Wind Farm</t>
  </si>
  <si>
    <t>Mohawk Point Wind Farm</t>
  </si>
  <si>
    <t>Haldimand County</t>
  </si>
  <si>
    <t>Ripley Wind Power Project</t>
  </si>
  <si>
    <t>Ripley</t>
  </si>
  <si>
    <t>Huron-Kinloss</t>
  </si>
  <si>
    <t>Kingsbridge Wind Power Project</t>
  </si>
  <si>
    <t>Kingsbridge 1</t>
  </si>
  <si>
    <t>Ashfield-Colborne-Wawanosh</t>
  </si>
  <si>
    <t>Cruickshank Wind Farm</t>
  </si>
  <si>
    <t>Cruickshank</t>
  </si>
  <si>
    <t>Kincardine</t>
  </si>
  <si>
    <t>Ferndale Wind Farm</t>
  </si>
  <si>
    <t>Northern Bruce Peninsula</t>
  </si>
  <si>
    <t>Ravenswood Wind Farm</t>
  </si>
  <si>
    <t>Lambton Shores</t>
  </si>
  <si>
    <t>York Energy Centre</t>
  </si>
  <si>
    <t>P2924 Three Hills 770S DER Battery</t>
  </si>
  <si>
    <t>10.1 MW battery not from connection queue</t>
  </si>
  <si>
    <t>P2925 Michichi Creek 802S DER Battery</t>
  </si>
  <si>
    <t>11 MW battery not from connection queue</t>
  </si>
  <si>
    <t>P2944 Mowat 2033S DER Gas</t>
  </si>
  <si>
    <t>P2997 Three Hills 770S DER Solar</t>
  </si>
  <si>
    <t>P3013 Raymond Reservoir Battery</t>
  </si>
  <si>
    <t>P3026 Pigeon Lake 964S DER Solar</t>
  </si>
  <si>
    <t>P3029 Irrican Chin Battery</t>
  </si>
  <si>
    <t>P3031 Oyen Wind Ph 2</t>
  </si>
  <si>
    <t>P3039 Evolve Battery</t>
  </si>
  <si>
    <t>P3056 Onoway 352S DER Gas Battery</t>
  </si>
  <si>
    <t>BC</t>
  </si>
  <si>
    <t>Yayus Energy</t>
  </si>
  <si>
    <t>Campbell River</t>
  </si>
  <si>
    <t>2024 Call for Power EPA winner</t>
  </si>
  <si>
    <t>Brewster Wind, assumed 2030 start date</t>
  </si>
  <si>
    <t>https://www.bchydro.com/work-with-us/selling-clean-energy/2024-call-for-power/participants.html</t>
  </si>
  <si>
    <t>Boulder and Ekhart Wind</t>
  </si>
  <si>
    <t>Merritt</t>
  </si>
  <si>
    <t>Highland Valley Wind</t>
  </si>
  <si>
    <t>Logan Lake</t>
  </si>
  <si>
    <t>Assumed 2030 start date</t>
  </si>
  <si>
    <t>K2 Wind Project</t>
  </si>
  <si>
    <t>Kelowna</t>
  </si>
  <si>
    <t>ShTSaQU Solar</t>
  </si>
  <si>
    <t>Mount Mabel Wind</t>
  </si>
  <si>
    <t>Nihts'i Ecoener</t>
  </si>
  <si>
    <t>Prince George</t>
  </si>
  <si>
    <t>Nithi Mountain Wind</t>
  </si>
  <si>
    <t>Fraser Lake</t>
  </si>
  <si>
    <t>Stewart Creek Wind</t>
  </si>
  <si>
    <t>Fort St. John</t>
  </si>
  <si>
    <t>Taylor Wind</t>
  </si>
  <si>
    <t>Taylor</t>
  </si>
  <si>
    <t>Bessie Wind</t>
  </si>
  <si>
    <t>Dawson Creek</t>
  </si>
  <si>
    <t>2025 Call for Power EPA winner</t>
  </si>
  <si>
    <t>https://www.bchydro.com/work-with-us/selling-clean-energy/2025-call-for-power/participants.html</t>
  </si>
  <si>
    <t>Nicola Wind</t>
  </si>
  <si>
    <t>West Kelowna</t>
  </si>
  <si>
    <t>Sweetwater Wind</t>
  </si>
  <si>
    <t>Assumed 2033 start date</t>
  </si>
  <si>
    <t>Taylor South Wind</t>
  </si>
  <si>
    <t>Revelstoke Unit 6</t>
  </si>
  <si>
    <t>Revelstoke</t>
  </si>
  <si>
    <t>Powering Growth Plan</t>
  </si>
  <si>
    <t>https://www.bchydro.com/toolbar/about/strategies-plans-regulatory/supply-operations/powering-growth.html</t>
  </si>
  <si>
    <t>GM Shrum modernization</t>
  </si>
  <si>
    <t>Hudson's Hope</t>
  </si>
  <si>
    <t>Units 1-5 refurbished</t>
  </si>
  <si>
    <t>Site E</t>
  </si>
  <si>
    <t>Peace River</t>
  </si>
  <si>
    <t>Scenario</t>
  </si>
  <si>
    <t>Homathko</t>
  </si>
  <si>
    <t>Bute Inlet</t>
  </si>
  <si>
    <t>500-900</t>
  </si>
  <si>
    <t>Hydro optimization</t>
  </si>
  <si>
    <t>Various</t>
  </si>
  <si>
    <t>Revelstoke 1-4, Mica 1-4, Seven Mile, Falls River, Clowhorn, Wahleach, Kootenay Canal, and Seton</t>
  </si>
  <si>
    <t>SK</t>
  </si>
  <si>
    <t>Boundary Dam 3 Life Extension</t>
  </si>
  <si>
    <t>Estevan</t>
  </si>
  <si>
    <t>Refurbishment</t>
  </si>
  <si>
    <t>Coal CCS</t>
  </si>
  <si>
    <t>Coal Life Extension Project</t>
  </si>
  <si>
    <t>Out of service 2032-2034</t>
  </si>
  <si>
    <t>https://www.saskpower.com/our-power-future/infrastructure-projects/construction-projects/planning-and-construction-projects/coal-life-extension-project/boundary-dam-power-station-life-extension</t>
  </si>
  <si>
    <t>Boundary Dam 4 Life Extension</t>
  </si>
  <si>
    <t>OOS 2034-2036</t>
  </si>
  <si>
    <t>Boundary Dam 5 Life Extension Phase 1</t>
  </si>
  <si>
    <t>OOS 2026-2028</t>
  </si>
  <si>
    <t>Boundary Dam 5 Life Extension Phase 2</t>
  </si>
  <si>
    <t>Boundary Dam 6 Life Extension</t>
  </si>
  <si>
    <t>OOS 2028-2030</t>
  </si>
  <si>
    <t>Shand Life Extension</t>
  </si>
  <si>
    <t>OOS 2030-2032</t>
  </si>
  <si>
    <t>https://www.saskpower.com/our-power-future/infrastructure-projects/construction-projects/planning-and-construction-projects/coal-life-extension-project/shand-power-station-life-extension</t>
  </si>
  <si>
    <t>Poplar River 1 Life Extension</t>
  </si>
  <si>
    <t>Coronach</t>
  </si>
  <si>
    <t>OOS 2031-2033</t>
  </si>
  <si>
    <t>https://www.saskpower.com/our-power-future/infrastructure-projects/construction-projects/planning-and-construction-projects/coal-life-extension-project/poplar-river-power-station-life-extension</t>
  </si>
  <si>
    <t>Poplar River 2 Life Extension</t>
  </si>
  <si>
    <t>OOS 2029-2031</t>
  </si>
  <si>
    <t>MB</t>
  </si>
  <si>
    <t>Call for Wind</t>
  </si>
  <si>
    <t>No specific projects selected until spring 2027</t>
  </si>
  <si>
    <t>https://www.hydro.mb.ca/corporate/call-for-wind-power/</t>
  </si>
  <si>
    <t>Brandon Additional Turbines</t>
  </si>
  <si>
    <t>Brandon</t>
  </si>
  <si>
    <t>https://www.hydro.mb.ca/engage/brandon-dispatchable-capacity/</t>
  </si>
  <si>
    <t>Saint John's Westside Mill</t>
  </si>
  <si>
    <t>https://nextgennb.com/</t>
  </si>
  <si>
    <t>Cookville Solar</t>
  </si>
  <si>
    <t>http://cookvillesolar.com/</t>
  </si>
  <si>
    <t>Holyrood_01</t>
  </si>
  <si>
    <t>Retirement not confirmed, but mentioned in planning document</t>
  </si>
  <si>
    <t>http://www.pub.nf.ca/applications/NLH2018ReliabilityAdequacy/reports/From%20NLH%20-%20%202025%20Near-Term%20Reliability%20Annual%20Report%20-%20%202025-11-20.PDF</t>
  </si>
  <si>
    <t>Holyrood_02</t>
  </si>
  <si>
    <t>Holyrood_03</t>
  </si>
  <si>
    <t>Hardwoods</t>
  </si>
  <si>
    <t>Gasoline</t>
  </si>
  <si>
    <t>Stephenville</t>
  </si>
  <si>
    <t>Aspen Power Station</t>
  </si>
  <si>
    <t>Saskpower annual report</t>
  </si>
  <si>
    <t>https://www.saskpower.com/-/media/saskpower/about-us/reports/report-annualreport-2025-26.pdf</t>
  </si>
  <si>
    <t>Rose Valley Wind</t>
  </si>
  <si>
    <t>Seven Stars Wind</t>
  </si>
  <si>
    <t>Southern Springs Solar</t>
  </si>
  <si>
    <t>Iyuhana Solar</t>
  </si>
  <si>
    <t>Coleville Gas</t>
  </si>
  <si>
    <t>North Portal Gas</t>
  </si>
  <si>
    <t>SEEP Gas</t>
  </si>
  <si>
    <t>Steelman Gas</t>
  </si>
  <si>
    <t>Viewfield Gas</t>
  </si>
  <si>
    <t>Flying Dust 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</si>
</sst>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16" fontId="0" fillId="0" borderId="0" xfId="0" applyNumberFormat="1"/>
    <xf numFmtId="0" fontId="18" fillId="0" borderId="0" xfId="42" applyAlignment="1">
      <alignment vertical="center"/>
    </xf>
    <xf numFmtId="0" fontId="18" fillId="0" borderId="0" xfId="42"/>
    <xf numFmtId="0" fontId="18" fillId="0" borderId="0" xfId="42" applyFill="1"/>
    <xf numFmtId="14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alignment horizontal="general" vertical="bottom" textRotation="0" wrapText="1" indent="0" justifyLastLine="0" shrinkToFit="0" readingOrder="0"/>
    </dxf>
    <dxf>
      <numFmt numFmtId="21" formatCode="dd/mmm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577644</xdr:colOff>
      <xdr:row>37</xdr:row>
      <xdr:rowOff>57308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59C488-0F2B-73FB-1945-082646005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180870" cy="687843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041gc.sharepoint.com/sites/CEVRENScenario-PB-CEVRENScenario-PB/Shared%20Documents/General/Technical/Documentation/National%20Model/Planned%20Capacity/July-2026-Project-List.xlsx" TargetMode="External"/><Relationship Id="rId1" Type="http://schemas.openxmlformats.org/officeDocument/2006/relationships/externalLinkPath" Target="https://041gc.sharepoint.com/sites/CEVRENScenario-PB-CEVRENScenario-PB/Shared%20Documents/General/Technical/Documentation/National%20Model/Planned%20Capacity/July-2026-Project-List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Downloads/IESO-Active-Contracted-Generation-List.xlsx" TargetMode="External"/><Relationship Id="rId2" Type="http://schemas.openxmlformats.org/officeDocument/2006/relationships/externalLinkPath" Target="file:///C:\Users\ndematos\Downloads\IESO-Active-Contracted-Generation-List.xlsx" TargetMode="External"/><Relationship Id="rId1" Type="http://schemas.openxmlformats.org/officeDocument/2006/relationships/externalLinkPath" Target="/Users/ndematos/Downloads/IESO-Active-Contracted-Generation-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nection Project List"/>
    </sheetNames>
    <sheetDataSet>
      <sheetData sheetId="0">
        <row r="1">
          <cell r="B1" t="str">
            <v>Project Name</v>
          </cell>
          <cell r="C1" t="str">
            <v>Planning Area</v>
          </cell>
          <cell r="D1" t="str">
            <v>Cluster</v>
          </cell>
          <cell r="E1" t="str">
            <v>Project Type</v>
          </cell>
          <cell r="F1" t="str">
            <v>MW Type</v>
          </cell>
          <cell r="G1" t="str">
            <v>Stage</v>
          </cell>
        </row>
        <row r="2">
          <cell r="B2" t="str">
            <v>P1828 hep Energy Alderson MPC Solar</v>
          </cell>
          <cell r="C2" t="str">
            <v>04-Medicine Hat</v>
          </cell>
          <cell r="D2" t="str">
            <v/>
          </cell>
          <cell r="E2" t="str">
            <v>Connection</v>
          </cell>
          <cell r="F2" t="str">
            <v>Solar</v>
          </cell>
          <cell r="G2">
            <v>5</v>
          </cell>
        </row>
        <row r="3">
          <cell r="B3" t="str">
            <v>P2034 Cold Lake Energy (Lindbergh Cogeneration)</v>
          </cell>
          <cell r="C3" t="str">
            <v>28-Cold Lake</v>
          </cell>
          <cell r="D3" t="str">
            <v/>
          </cell>
          <cell r="E3" t="str">
            <v>Connection</v>
          </cell>
          <cell r="F3" t="str">
            <v>Cogen</v>
          </cell>
          <cell r="G3">
            <v>5</v>
          </cell>
        </row>
        <row r="4">
          <cell r="B4" t="str">
            <v>P2091 Arenosum Solar</v>
          </cell>
          <cell r="C4" t="str">
            <v>48-Empress</v>
          </cell>
          <cell r="D4" t="str">
            <v/>
          </cell>
          <cell r="E4" t="str">
            <v>Connection</v>
          </cell>
          <cell r="F4" t="str">
            <v>Solar</v>
          </cell>
          <cell r="G4">
            <v>4</v>
          </cell>
        </row>
        <row r="5">
          <cell r="B5" t="str">
            <v>P2192 ENMAX FMC Change</v>
          </cell>
          <cell r="C5" t="str">
            <v>06-Calgary</v>
          </cell>
          <cell r="D5" t="str">
            <v/>
          </cell>
          <cell r="E5" t="str">
            <v>BTF</v>
          </cell>
          <cell r="F5" t="str">
            <v>Cogen</v>
          </cell>
          <cell r="G5">
            <v>5</v>
          </cell>
        </row>
        <row r="6">
          <cell r="B6" t="str">
            <v>P2195 FortisAlberta Bassano 435S DER Solar</v>
          </cell>
          <cell r="C6" t="str">
            <v>47-Brooks</v>
          </cell>
          <cell r="D6" t="str">
            <v/>
          </cell>
          <cell r="E6" t="str">
            <v>BTF</v>
          </cell>
          <cell r="F6" t="str">
            <v>Solar</v>
          </cell>
          <cell r="G6">
            <v>5</v>
          </cell>
        </row>
        <row r="7">
          <cell r="B7" t="str">
            <v>P2256 ATCO Poplar Hill Load</v>
          </cell>
          <cell r="C7" t="str">
            <v>20-Grande Prairie</v>
          </cell>
          <cell r="D7" t="str">
            <v/>
          </cell>
          <cell r="E7" t="str">
            <v>Connection</v>
          </cell>
          <cell r="F7" t="str">
            <v>Distribution Load</v>
          </cell>
          <cell r="G7">
            <v>4</v>
          </cell>
        </row>
        <row r="8">
          <cell r="B8" t="str">
            <v>P2259 FortisAlberta Metiskow 648S DER Solar</v>
          </cell>
          <cell r="C8" t="str">
            <v>37-Provost</v>
          </cell>
          <cell r="D8" t="str">
            <v/>
          </cell>
          <cell r="E8" t="str">
            <v>BTF</v>
          </cell>
          <cell r="F8" t="str">
            <v>Solar</v>
          </cell>
          <cell r="G8">
            <v>5</v>
          </cell>
        </row>
        <row r="9">
          <cell r="B9" t="str">
            <v>P2292 FortisAlberta Killarney Lake 267S DER Solar</v>
          </cell>
          <cell r="C9" t="str">
            <v>37-Provost</v>
          </cell>
          <cell r="D9" t="str">
            <v/>
          </cell>
          <cell r="E9" t="str">
            <v>BTF</v>
          </cell>
          <cell r="F9" t="str">
            <v>Solar</v>
          </cell>
          <cell r="G9">
            <v>5</v>
          </cell>
        </row>
        <row r="10">
          <cell r="B10" t="str">
            <v>P2334 TCE Saddlebrook Solar Storage</v>
          </cell>
          <cell r="C10" t="str">
            <v>46-High River</v>
          </cell>
          <cell r="D10" t="str">
            <v/>
          </cell>
          <cell r="E10" t="str">
            <v>Connection</v>
          </cell>
          <cell r="F10" t="str">
            <v>Solar + Storage</v>
          </cell>
          <cell r="G10">
            <v>5</v>
          </cell>
        </row>
        <row r="11">
          <cell r="B11" t="str">
            <v>P2337 Dunmore Solar</v>
          </cell>
          <cell r="C11" t="str">
            <v>04-Medicine Hat</v>
          </cell>
          <cell r="D11" t="str">
            <v/>
          </cell>
          <cell r="E11" t="str">
            <v>Connection</v>
          </cell>
          <cell r="F11" t="str">
            <v>Solar</v>
          </cell>
          <cell r="G11">
            <v>5</v>
          </cell>
        </row>
        <row r="12">
          <cell r="B12" t="str">
            <v>P2354 ENMAX FMC DER Cogen</v>
          </cell>
          <cell r="C12" t="str">
            <v>06-Calgary</v>
          </cell>
          <cell r="D12" t="str">
            <v/>
          </cell>
          <cell r="E12" t="str">
            <v>BTF</v>
          </cell>
          <cell r="F12" t="str">
            <v>Cogen</v>
          </cell>
          <cell r="G12">
            <v>5</v>
          </cell>
        </row>
        <row r="13">
          <cell r="B13" t="str">
            <v>P2356 Oyen Wind</v>
          </cell>
          <cell r="C13" t="str">
            <v>42-Hanna</v>
          </cell>
          <cell r="D13" t="str">
            <v/>
          </cell>
          <cell r="E13" t="str">
            <v>Connection</v>
          </cell>
          <cell r="F13" t="str">
            <v>Wind</v>
          </cell>
          <cell r="G13">
            <v>5</v>
          </cell>
        </row>
        <row r="14">
          <cell r="B14" t="str">
            <v>P2369 ATCO Anderson 801S DER Solar</v>
          </cell>
          <cell r="C14" t="str">
            <v>43-Sheerness</v>
          </cell>
          <cell r="D14" t="str">
            <v/>
          </cell>
          <cell r="E14" t="str">
            <v>BTF</v>
          </cell>
          <cell r="F14" t="str">
            <v>Solar</v>
          </cell>
          <cell r="G14">
            <v>5</v>
          </cell>
        </row>
        <row r="15">
          <cell r="B15" t="str">
            <v>P2378 RESC Nova MPC Solar</v>
          </cell>
          <cell r="C15" t="str">
            <v>45-Strathmore/Blackie</v>
          </cell>
          <cell r="D15" t="str">
            <v/>
          </cell>
          <cell r="E15" t="str">
            <v>Connection</v>
          </cell>
          <cell r="F15" t="str">
            <v>Solar</v>
          </cell>
          <cell r="G15">
            <v>5</v>
          </cell>
        </row>
        <row r="16">
          <cell r="B16" t="str">
            <v>P2396 Georgetown Solar</v>
          </cell>
          <cell r="C16" t="str">
            <v>45-Strathmore/Blackie</v>
          </cell>
          <cell r="D16" t="str">
            <v/>
          </cell>
          <cell r="E16" t="str">
            <v>Connection</v>
          </cell>
          <cell r="F16" t="str">
            <v>Solar</v>
          </cell>
          <cell r="G16">
            <v>5</v>
          </cell>
        </row>
        <row r="17">
          <cell r="B17" t="str">
            <v>P2411 Northland Power Jurassic MPC Solar Battery</v>
          </cell>
          <cell r="C17" t="str">
            <v>48-Empress</v>
          </cell>
          <cell r="D17" t="str">
            <v/>
          </cell>
          <cell r="E17" t="str">
            <v>Connection</v>
          </cell>
          <cell r="F17" t="str">
            <v>Solar + Storage</v>
          </cell>
          <cell r="G17">
            <v>5</v>
          </cell>
        </row>
        <row r="18">
          <cell r="B18" t="str">
            <v>P2418 Greencells Estuary Solar</v>
          </cell>
          <cell r="C18" t="str">
            <v>48-Empress</v>
          </cell>
          <cell r="D18" t="str">
            <v/>
          </cell>
          <cell r="E18" t="str">
            <v>Connection</v>
          </cell>
          <cell r="F18" t="str">
            <v>Solar</v>
          </cell>
          <cell r="G18">
            <v>5</v>
          </cell>
        </row>
        <row r="19">
          <cell r="B19" t="str">
            <v>P2445 Homestead MPC Solar</v>
          </cell>
          <cell r="C19" t="str">
            <v>53-Fort Macleod</v>
          </cell>
          <cell r="D19" t="str">
            <v/>
          </cell>
          <cell r="E19" t="str">
            <v>Connection</v>
          </cell>
          <cell r="F19" t="str">
            <v>Solar</v>
          </cell>
          <cell r="G19">
            <v>5</v>
          </cell>
        </row>
        <row r="20">
          <cell r="B20" t="str">
            <v>P2451 Georgetown Battery Addition</v>
          </cell>
          <cell r="C20" t="str">
            <v>45-Strathmore/Blackie</v>
          </cell>
          <cell r="D20" t="str">
            <v/>
          </cell>
          <cell r="E20" t="str">
            <v>BTF</v>
          </cell>
          <cell r="F20" t="str">
            <v>Battery Storage</v>
          </cell>
          <cell r="G20">
            <v>5</v>
          </cell>
        </row>
        <row r="21">
          <cell r="B21" t="str">
            <v>P2453 EDTI Edmonton 3 H2 Plant Cogen</v>
          </cell>
          <cell r="C21" t="str">
            <v>60-Edmonton</v>
          </cell>
          <cell r="D21" t="str">
            <v/>
          </cell>
          <cell r="E21" t="str">
            <v>Connection</v>
          </cell>
          <cell r="F21" t="str">
            <v>Cogen</v>
          </cell>
          <cell r="G21">
            <v>5</v>
          </cell>
        </row>
        <row r="22">
          <cell r="B22" t="str">
            <v>P2454 Flipi MPC Gas</v>
          </cell>
          <cell r="C22" t="str">
            <v>30-Drayton Valley</v>
          </cell>
          <cell r="D22" t="str">
            <v/>
          </cell>
          <cell r="E22" t="str">
            <v>Connection</v>
          </cell>
          <cell r="F22" t="str">
            <v>Gas</v>
          </cell>
          <cell r="G22">
            <v>4</v>
          </cell>
        </row>
        <row r="23">
          <cell r="B23" t="str">
            <v>P2456 Opal Gas</v>
          </cell>
          <cell r="C23" t="str">
            <v>24-Fox Creek</v>
          </cell>
          <cell r="D23" t="str">
            <v/>
          </cell>
          <cell r="E23" t="str">
            <v>Connection</v>
          </cell>
          <cell r="F23" t="str">
            <v>Gas</v>
          </cell>
          <cell r="G23">
            <v>5</v>
          </cell>
        </row>
        <row r="24">
          <cell r="B24" t="str">
            <v>P2457 Fortis Moon Lake DER Solar</v>
          </cell>
          <cell r="C24" t="str">
            <v>30-Drayton Valley</v>
          </cell>
          <cell r="D24" t="str">
            <v/>
          </cell>
          <cell r="E24" t="str">
            <v>BTF</v>
          </cell>
          <cell r="F24" t="str">
            <v>Solar</v>
          </cell>
          <cell r="G24">
            <v>5</v>
          </cell>
        </row>
        <row r="25">
          <cell r="B25" t="str">
            <v>P2460 ABO Fox Meadows Wind</v>
          </cell>
          <cell r="C25" t="str">
            <v>37-Provost</v>
          </cell>
          <cell r="D25" t="str">
            <v/>
          </cell>
          <cell r="E25" t="str">
            <v>Connection</v>
          </cell>
          <cell r="F25" t="str">
            <v>Wind + Storage</v>
          </cell>
          <cell r="G25">
            <v>4</v>
          </cell>
        </row>
        <row r="26">
          <cell r="B26" t="str">
            <v>P2461 Aira Solar</v>
          </cell>
          <cell r="C26" t="str">
            <v>04-Medicine Hat</v>
          </cell>
          <cell r="D26" t="str">
            <v/>
          </cell>
          <cell r="E26" t="str">
            <v>Connection</v>
          </cell>
          <cell r="F26" t="str">
            <v>Solar</v>
          </cell>
          <cell r="G26">
            <v>5</v>
          </cell>
        </row>
        <row r="27">
          <cell r="B27" t="str">
            <v>P2462 Fortis Stony Plain 434S DER Solar</v>
          </cell>
          <cell r="C27" t="str">
            <v>40-Wabamun</v>
          </cell>
          <cell r="D27" t="str">
            <v/>
          </cell>
          <cell r="E27" t="str">
            <v>BTF</v>
          </cell>
          <cell r="F27" t="str">
            <v>Solar</v>
          </cell>
          <cell r="G27">
            <v>5</v>
          </cell>
        </row>
        <row r="28">
          <cell r="B28" t="str">
            <v>P2464 Sunnynook Solar Battery</v>
          </cell>
          <cell r="C28" t="str">
            <v>43-Sheerness</v>
          </cell>
          <cell r="D28" t="str">
            <v/>
          </cell>
          <cell r="E28" t="str">
            <v>Connection</v>
          </cell>
          <cell r="F28" t="str">
            <v>Solar + Storage</v>
          </cell>
          <cell r="G28">
            <v>5</v>
          </cell>
        </row>
        <row r="29">
          <cell r="B29" t="str">
            <v>P2465 Enerfin Winnifred Wind + Solar Modification</v>
          </cell>
          <cell r="C29" t="str">
            <v>04-Medicine Hat</v>
          </cell>
          <cell r="D29" t="str">
            <v/>
          </cell>
          <cell r="E29" t="str">
            <v>BTF</v>
          </cell>
          <cell r="F29" t="str">
            <v>Wind + Solar</v>
          </cell>
          <cell r="G29">
            <v>5</v>
          </cell>
        </row>
        <row r="30">
          <cell r="B30" t="str">
            <v>P2467 Pteragen Peace Butte Wind</v>
          </cell>
          <cell r="C30" t="str">
            <v>04-Medicine Hat</v>
          </cell>
          <cell r="D30" t="str">
            <v/>
          </cell>
          <cell r="E30" t="str">
            <v>Connection</v>
          </cell>
          <cell r="F30" t="str">
            <v>Wind</v>
          </cell>
          <cell r="G30">
            <v>5</v>
          </cell>
        </row>
        <row r="31">
          <cell r="B31" t="str">
            <v>P2471 Fortis Buford 538S DER Solar</v>
          </cell>
          <cell r="C31" t="str">
            <v>31-Wetaskiwin</v>
          </cell>
          <cell r="D31" t="str">
            <v/>
          </cell>
          <cell r="E31" t="str">
            <v>BTF</v>
          </cell>
          <cell r="F31" t="str">
            <v>Solar</v>
          </cell>
          <cell r="G31">
            <v>5</v>
          </cell>
        </row>
        <row r="32">
          <cell r="B32" t="str">
            <v>P2488 Kâpîsimotêt Solar</v>
          </cell>
          <cell r="C32" t="str">
            <v>31-Wetaskiwin</v>
          </cell>
          <cell r="D32" t="str">
            <v/>
          </cell>
          <cell r="E32" t="str">
            <v>Connection</v>
          </cell>
          <cell r="F32" t="str">
            <v>Solar</v>
          </cell>
          <cell r="G32">
            <v>3</v>
          </cell>
        </row>
        <row r="33">
          <cell r="B33" t="str">
            <v>P2503 Willow Ridge Battery</v>
          </cell>
          <cell r="C33" t="str">
            <v>53-Fort Macleod</v>
          </cell>
          <cell r="D33" t="str">
            <v/>
          </cell>
          <cell r="E33" t="str">
            <v>Connection</v>
          </cell>
          <cell r="F33" t="str">
            <v>Battery Storage</v>
          </cell>
          <cell r="G33">
            <v>3</v>
          </cell>
        </row>
        <row r="34">
          <cell r="B34" t="str">
            <v>P2513 Shell Scotford Substation Reliability</v>
          </cell>
          <cell r="C34" t="str">
            <v>33-Fort Saskatchewan</v>
          </cell>
          <cell r="D34" t="str">
            <v/>
          </cell>
          <cell r="E34" t="str">
            <v>Connection</v>
          </cell>
          <cell r="F34" t="str">
            <v>Other</v>
          </cell>
          <cell r="G34">
            <v>5</v>
          </cell>
        </row>
        <row r="35">
          <cell r="B35" t="str">
            <v>P2517 Hutchison MPC Battery</v>
          </cell>
          <cell r="C35" t="str">
            <v>04-Medicine Hat</v>
          </cell>
          <cell r="D35" t="str">
            <v/>
          </cell>
          <cell r="E35" t="str">
            <v>Connection</v>
          </cell>
          <cell r="F35" t="str">
            <v>Battery Storage</v>
          </cell>
          <cell r="G35">
            <v>3</v>
          </cell>
        </row>
        <row r="36">
          <cell r="B36" t="str">
            <v>P2520 Laramide MPC Battery</v>
          </cell>
          <cell r="C36" t="str">
            <v>46-High River</v>
          </cell>
          <cell r="D36" t="str">
            <v/>
          </cell>
          <cell r="E36" t="str">
            <v>Connection</v>
          </cell>
          <cell r="F36" t="str">
            <v>Battery Storage</v>
          </cell>
          <cell r="G36">
            <v>4</v>
          </cell>
        </row>
        <row r="37">
          <cell r="B37" t="str">
            <v>P2524 Shell SR Scotford Solar</v>
          </cell>
          <cell r="C37" t="str">
            <v>33-Fort Saskatchewan</v>
          </cell>
          <cell r="D37" t="str">
            <v/>
          </cell>
          <cell r="E37" t="str">
            <v>BTF</v>
          </cell>
          <cell r="F37" t="str">
            <v>Solar</v>
          </cell>
          <cell r="G37">
            <v>5</v>
          </cell>
        </row>
        <row r="38">
          <cell r="B38" t="str">
            <v>P2533 Greenlight Gas</v>
          </cell>
          <cell r="C38" t="str">
            <v>33-Fort Saskatchewan</v>
          </cell>
          <cell r="D38" t="str">
            <v/>
          </cell>
          <cell r="E38" t="str">
            <v>Connection</v>
          </cell>
          <cell r="F38" t="str">
            <v>Gas</v>
          </cell>
          <cell r="G38">
            <v>3</v>
          </cell>
        </row>
        <row r="39">
          <cell r="B39" t="str">
            <v>P2540 Rising Sun Solar</v>
          </cell>
          <cell r="C39" t="str">
            <v>37-Provost</v>
          </cell>
          <cell r="D39" t="str">
            <v/>
          </cell>
          <cell r="E39" t="str">
            <v>Connection</v>
          </cell>
          <cell r="F39" t="str">
            <v>Solar</v>
          </cell>
          <cell r="G39">
            <v>3</v>
          </cell>
        </row>
        <row r="40">
          <cell r="B40" t="str">
            <v>P2552 Lone Butte Solar</v>
          </cell>
          <cell r="C40" t="str">
            <v>39-Didsbury</v>
          </cell>
          <cell r="D40" t="str">
            <v/>
          </cell>
          <cell r="E40" t="str">
            <v>Connection</v>
          </cell>
          <cell r="F40" t="str">
            <v>Solar</v>
          </cell>
          <cell r="G40">
            <v>4</v>
          </cell>
        </row>
        <row r="41">
          <cell r="B41" t="str">
            <v>P2553 Dolcy MPC Solar and Storage</v>
          </cell>
          <cell r="C41" t="str">
            <v>37-Provost</v>
          </cell>
          <cell r="D41" t="str">
            <v/>
          </cell>
          <cell r="E41" t="str">
            <v>Connection</v>
          </cell>
          <cell r="F41" t="str">
            <v>Solar + Storage</v>
          </cell>
          <cell r="G41">
            <v>5</v>
          </cell>
        </row>
        <row r="42">
          <cell r="B42" t="str">
            <v>P2566 Eastervale Solar</v>
          </cell>
          <cell r="C42" t="str">
            <v>37-Provost</v>
          </cell>
          <cell r="D42" t="str">
            <v/>
          </cell>
          <cell r="E42" t="str">
            <v>Connection</v>
          </cell>
          <cell r="F42" t="str">
            <v>Solar</v>
          </cell>
          <cell r="G42">
            <v>4</v>
          </cell>
        </row>
        <row r="43">
          <cell r="B43" t="str">
            <v>P2582 Woodcroft Reliability</v>
          </cell>
          <cell r="C43" t="str">
            <v>60-Edmonton</v>
          </cell>
          <cell r="D43" t="str">
            <v/>
          </cell>
          <cell r="E43" t="str">
            <v>Connection</v>
          </cell>
          <cell r="F43" t="str">
            <v>Equipment Change</v>
          </cell>
          <cell r="G43">
            <v>5</v>
          </cell>
        </row>
        <row r="44">
          <cell r="B44" t="str">
            <v>P2592 Big Rock Solar Battery</v>
          </cell>
          <cell r="C44" t="str">
            <v>46-High River</v>
          </cell>
          <cell r="D44" t="str">
            <v/>
          </cell>
          <cell r="E44" t="str">
            <v>Connection</v>
          </cell>
          <cell r="F44" t="str">
            <v>Solar + Storage</v>
          </cell>
          <cell r="G44">
            <v>4</v>
          </cell>
        </row>
        <row r="45">
          <cell r="B45" t="str">
            <v>P2602 Collisard MPC Gas</v>
          </cell>
          <cell r="C45" t="str">
            <v>35-Red Deer</v>
          </cell>
          <cell r="D45" t="str">
            <v/>
          </cell>
          <cell r="E45" t="str">
            <v>Connection</v>
          </cell>
          <cell r="F45" t="str">
            <v>Gas</v>
          </cell>
          <cell r="G45">
            <v>4</v>
          </cell>
        </row>
        <row r="46">
          <cell r="B46" t="str">
            <v>P2611 UK Solar East</v>
          </cell>
          <cell r="C46" t="str">
            <v>42-Hanna</v>
          </cell>
          <cell r="D46" t="str">
            <v/>
          </cell>
          <cell r="E46" t="str">
            <v>Connection</v>
          </cell>
          <cell r="F46" t="str">
            <v>Solar</v>
          </cell>
          <cell r="G46">
            <v>4</v>
          </cell>
        </row>
        <row r="47">
          <cell r="B47" t="str">
            <v>P2614 Dow Fort Sask. Load</v>
          </cell>
          <cell r="C47" t="str">
            <v>33-Fort Saskatchewan</v>
          </cell>
          <cell r="D47" t="str">
            <v/>
          </cell>
          <cell r="E47" t="str">
            <v>Connection</v>
          </cell>
          <cell r="F47" t="str">
            <v>Industrial Load</v>
          </cell>
          <cell r="G47">
            <v>4</v>
          </cell>
        </row>
        <row r="48">
          <cell r="B48" t="str">
            <v>P2616 Jumbo Battery</v>
          </cell>
          <cell r="C48" t="str">
            <v>53-Fort Macleod</v>
          </cell>
          <cell r="D48" t="str">
            <v/>
          </cell>
          <cell r="E48" t="str">
            <v>Connection</v>
          </cell>
          <cell r="F48" t="str">
            <v>Battery Storage</v>
          </cell>
          <cell r="G48">
            <v>3</v>
          </cell>
        </row>
        <row r="49">
          <cell r="B49" t="str">
            <v>P2619 Sweetgrass MPC Solar Battery</v>
          </cell>
          <cell r="C49" t="str">
            <v>53-Fort Macleod</v>
          </cell>
          <cell r="D49" t="str">
            <v/>
          </cell>
          <cell r="E49" t="str">
            <v>Connection</v>
          </cell>
          <cell r="F49" t="str">
            <v>Solar + Storage</v>
          </cell>
          <cell r="G49">
            <v>3</v>
          </cell>
        </row>
        <row r="50">
          <cell r="B50" t="str">
            <v>P2627 Sundre 575S DER Solar</v>
          </cell>
          <cell r="C50" t="str">
            <v>38-Caroline</v>
          </cell>
          <cell r="D50" t="str">
            <v/>
          </cell>
          <cell r="E50" t="str">
            <v>BTF</v>
          </cell>
          <cell r="F50" t="str">
            <v>Solar</v>
          </cell>
          <cell r="G50">
            <v>5</v>
          </cell>
        </row>
        <row r="51">
          <cell r="B51" t="str">
            <v>P2628 Foster Creek Load</v>
          </cell>
          <cell r="C51" t="str">
            <v>28-Cold Lake</v>
          </cell>
          <cell r="D51" t="str">
            <v/>
          </cell>
          <cell r="E51" t="str">
            <v>BTF</v>
          </cell>
          <cell r="F51" t="str">
            <v>Industrial Load</v>
          </cell>
          <cell r="G51">
            <v>5</v>
          </cell>
        </row>
        <row r="52">
          <cell r="B52" t="str">
            <v>P2630 Berland River Load</v>
          </cell>
          <cell r="C52" t="str">
            <v>24-Fox Creek</v>
          </cell>
          <cell r="D52" t="str">
            <v/>
          </cell>
          <cell r="E52" t="str">
            <v>Connection</v>
          </cell>
          <cell r="F52" t="str">
            <v>Industrial Load</v>
          </cell>
          <cell r="G52">
            <v>6</v>
          </cell>
        </row>
        <row r="53">
          <cell r="B53" t="str">
            <v>P2656 Edmonton CCUS Gas</v>
          </cell>
          <cell r="C53" t="str">
            <v>60-Edmonton</v>
          </cell>
          <cell r="D53" t="str">
            <v/>
          </cell>
          <cell r="E53" t="str">
            <v>Connection</v>
          </cell>
          <cell r="F53" t="str">
            <v>Gas</v>
          </cell>
          <cell r="G53">
            <v>4</v>
          </cell>
        </row>
        <row r="54">
          <cell r="B54" t="str">
            <v>P2678 SS-37 DER Gas</v>
          </cell>
          <cell r="C54" t="str">
            <v>06-Calgary</v>
          </cell>
          <cell r="D54" t="str">
            <v/>
          </cell>
          <cell r="E54" t="str">
            <v>BTF</v>
          </cell>
          <cell r="F54" t="str">
            <v>Gas</v>
          </cell>
          <cell r="G54">
            <v>5</v>
          </cell>
        </row>
        <row r="55">
          <cell r="B55" t="str">
            <v>P2707 Sounding Creek Solar Battery</v>
          </cell>
          <cell r="C55" t="str">
            <v>42-Hanna</v>
          </cell>
          <cell r="D55" t="str">
            <v>CNTL-01</v>
          </cell>
          <cell r="E55" t="str">
            <v>Connection</v>
          </cell>
          <cell r="F55" t="str">
            <v>Solar + Storage</v>
          </cell>
          <cell r="G55">
            <v>3</v>
          </cell>
        </row>
        <row r="56">
          <cell r="B56" t="str">
            <v>P2713 Little Smoky 1 Solar</v>
          </cell>
          <cell r="C56" t="str">
            <v>23-Valleyview</v>
          </cell>
          <cell r="D56" t="str">
            <v>NW-01</v>
          </cell>
          <cell r="E56" t="str">
            <v>Connection</v>
          </cell>
          <cell r="F56" t="str">
            <v>Solar</v>
          </cell>
          <cell r="G56">
            <v>3</v>
          </cell>
        </row>
        <row r="57">
          <cell r="B57" t="str">
            <v>P2716 Wapiti 823S Load</v>
          </cell>
          <cell r="C57" t="str">
            <v>20-Grande Prairie</v>
          </cell>
          <cell r="D57" t="str">
            <v/>
          </cell>
          <cell r="E57" t="str">
            <v>Connection</v>
          </cell>
          <cell r="F57" t="str">
            <v>Distribution Load</v>
          </cell>
          <cell r="G57">
            <v>3</v>
          </cell>
        </row>
        <row r="58">
          <cell r="B58" t="str">
            <v>P2722 Sturgeon 734S DER Solar</v>
          </cell>
          <cell r="C58" t="str">
            <v>23-Valleyview</v>
          </cell>
          <cell r="D58" t="str">
            <v>NW-01</v>
          </cell>
          <cell r="E58" t="str">
            <v>BTF</v>
          </cell>
          <cell r="F58" t="str">
            <v>Solar</v>
          </cell>
          <cell r="G58">
            <v>3</v>
          </cell>
        </row>
        <row r="59">
          <cell r="B59" t="str">
            <v>P2728 Kersey Solar</v>
          </cell>
          <cell r="C59" t="str">
            <v>57-Airdrie</v>
          </cell>
          <cell r="D59" t="str">
            <v>CNTL-01</v>
          </cell>
          <cell r="E59" t="str">
            <v>Connection</v>
          </cell>
          <cell r="F59" t="str">
            <v>Solar</v>
          </cell>
          <cell r="G59">
            <v>3</v>
          </cell>
        </row>
        <row r="60">
          <cell r="B60" t="str">
            <v>P2729 Coaldale 254S DER Solar &amp; Wind</v>
          </cell>
          <cell r="C60" t="str">
            <v>54-Lethbridge</v>
          </cell>
          <cell r="D60" t="str">
            <v>SE-01</v>
          </cell>
          <cell r="E60" t="str">
            <v>BTF</v>
          </cell>
          <cell r="F60" t="str">
            <v>Wind</v>
          </cell>
          <cell r="G60">
            <v>3</v>
          </cell>
        </row>
        <row r="61">
          <cell r="B61" t="str">
            <v>P2738 Little Smoky 4 Solar</v>
          </cell>
          <cell r="C61" t="str">
            <v>23-Valleyview</v>
          </cell>
          <cell r="D61" t="str">
            <v>NW-01</v>
          </cell>
          <cell r="E61" t="str">
            <v>Connection</v>
          </cell>
          <cell r="F61" t="str">
            <v>Solar</v>
          </cell>
          <cell r="G61">
            <v>3</v>
          </cell>
        </row>
        <row r="62">
          <cell r="B62" t="str">
            <v>P2741 Great Plains Load</v>
          </cell>
          <cell r="C62" t="str">
            <v>25-Fort McMurray</v>
          </cell>
          <cell r="D62" t="str">
            <v/>
          </cell>
          <cell r="E62" t="str">
            <v>Connection</v>
          </cell>
          <cell r="F62" t="str">
            <v>Industrial Load</v>
          </cell>
          <cell r="G62">
            <v>5</v>
          </cell>
        </row>
        <row r="63">
          <cell r="B63" t="str">
            <v>P2747 Vegreville 709S DER Battery</v>
          </cell>
          <cell r="C63" t="str">
            <v>56-Vegreville</v>
          </cell>
          <cell r="D63" t="str">
            <v>CNTL-01</v>
          </cell>
          <cell r="E63" t="str">
            <v>BTF</v>
          </cell>
          <cell r="F63" t="str">
            <v>Battery Storage</v>
          </cell>
          <cell r="G63">
            <v>5</v>
          </cell>
        </row>
        <row r="64">
          <cell r="B64" t="str">
            <v>P2751 Hussar 431S Battery</v>
          </cell>
          <cell r="C64" t="str">
            <v>45-Strathmore/Blackie</v>
          </cell>
          <cell r="D64" t="str">
            <v>SW-CAL-01</v>
          </cell>
          <cell r="E64" t="str">
            <v>BTF</v>
          </cell>
          <cell r="F64" t="str">
            <v>Battery Storage</v>
          </cell>
          <cell r="G64">
            <v>3</v>
          </cell>
        </row>
        <row r="65">
          <cell r="B65" t="str">
            <v>P2753 Jarrow 252S DER Solar Battery</v>
          </cell>
          <cell r="C65" t="str">
            <v>32-Wainwright</v>
          </cell>
          <cell r="D65" t="str">
            <v>CNTL-01</v>
          </cell>
          <cell r="E65" t="str">
            <v>BTF</v>
          </cell>
          <cell r="F65" t="str">
            <v>Solar + Storage</v>
          </cell>
          <cell r="G65">
            <v>3</v>
          </cell>
        </row>
        <row r="66">
          <cell r="B66" t="str">
            <v>P2754 Tucuman 478S DER Solar Battery</v>
          </cell>
          <cell r="C66" t="str">
            <v>32-Wainwright</v>
          </cell>
          <cell r="D66" t="str">
            <v>CNTL-01</v>
          </cell>
          <cell r="E66" t="str">
            <v>BTF</v>
          </cell>
          <cell r="F66" t="str">
            <v>Solar + Storage</v>
          </cell>
          <cell r="G66">
            <v>3</v>
          </cell>
        </row>
        <row r="67">
          <cell r="B67" t="str">
            <v>P2757 Sturgeon 734S DER Battery</v>
          </cell>
          <cell r="C67" t="str">
            <v>23-Valleyview</v>
          </cell>
          <cell r="D67" t="str">
            <v>NW-01</v>
          </cell>
          <cell r="E67" t="str">
            <v>BTF</v>
          </cell>
          <cell r="F67" t="str">
            <v>Battery Storage</v>
          </cell>
          <cell r="G67">
            <v>3</v>
          </cell>
        </row>
        <row r="68">
          <cell r="B68" t="str">
            <v>P2758 UK Solar West</v>
          </cell>
          <cell r="C68" t="str">
            <v>42-Hanna</v>
          </cell>
          <cell r="D68" t="str">
            <v>CNTL-01</v>
          </cell>
          <cell r="E68" t="str">
            <v>Connection</v>
          </cell>
          <cell r="F68" t="str">
            <v>Solar</v>
          </cell>
          <cell r="G68">
            <v>3</v>
          </cell>
        </row>
        <row r="69">
          <cell r="B69" t="str">
            <v>P2774 Castor North Solar Battery</v>
          </cell>
          <cell r="C69" t="str">
            <v>42-Hanna</v>
          </cell>
          <cell r="D69" t="str">
            <v>CNTL-01</v>
          </cell>
          <cell r="E69" t="str">
            <v>Connection</v>
          </cell>
          <cell r="F69" t="str">
            <v>Solar + Storage</v>
          </cell>
          <cell r="G69">
            <v>3</v>
          </cell>
        </row>
        <row r="70">
          <cell r="B70" t="str">
            <v>P2789 Red Willow Solar Battery</v>
          </cell>
          <cell r="C70" t="str">
            <v>36-Alliance/Battle River</v>
          </cell>
          <cell r="D70" t="str">
            <v>CNTL-01</v>
          </cell>
          <cell r="E70" t="str">
            <v>Connection</v>
          </cell>
          <cell r="F70" t="str">
            <v>Solar + Storage</v>
          </cell>
          <cell r="G70">
            <v>3</v>
          </cell>
        </row>
        <row r="71">
          <cell r="B71" t="str">
            <v>P2796 Greenlight U2 Gas</v>
          </cell>
          <cell r="C71" t="str">
            <v>33-Fort Saskatchewan</v>
          </cell>
          <cell r="D71" t="str">
            <v>NE-01</v>
          </cell>
          <cell r="E71" t="str">
            <v>Connection</v>
          </cell>
          <cell r="F71" t="str">
            <v>Gas</v>
          </cell>
          <cell r="G71">
            <v>3</v>
          </cell>
        </row>
        <row r="72">
          <cell r="B72" t="str">
            <v>P2797 Greenlight U3 Gas</v>
          </cell>
          <cell r="C72" t="str">
            <v>33-Fort Saskatchewan</v>
          </cell>
          <cell r="D72" t="str">
            <v>NE-01</v>
          </cell>
          <cell r="E72" t="str">
            <v>Connection</v>
          </cell>
          <cell r="F72" t="str">
            <v>Gas</v>
          </cell>
          <cell r="G72">
            <v>3</v>
          </cell>
        </row>
        <row r="73">
          <cell r="B73" t="str">
            <v>P2805 High River 65S DER Gas</v>
          </cell>
          <cell r="C73" t="str">
            <v>46-High River</v>
          </cell>
          <cell r="D73" t="str">
            <v>SW-CAL-01</v>
          </cell>
          <cell r="E73" t="str">
            <v>BTF</v>
          </cell>
          <cell r="F73" t="str">
            <v>Gas</v>
          </cell>
          <cell r="G73">
            <v>5</v>
          </cell>
        </row>
        <row r="74">
          <cell r="B74" t="str">
            <v>P2806 Piikani Wind</v>
          </cell>
          <cell r="C74" t="str">
            <v>53-Fort Macleod</v>
          </cell>
          <cell r="D74" t="str">
            <v>SW-CAL-01</v>
          </cell>
          <cell r="E74" t="str">
            <v>Connection</v>
          </cell>
          <cell r="F74" t="str">
            <v>Wind</v>
          </cell>
          <cell r="G74">
            <v>3</v>
          </cell>
        </row>
        <row r="75">
          <cell r="B75" t="str">
            <v>P2818 Travers Battery</v>
          </cell>
          <cell r="C75" t="str">
            <v>49-Stavely</v>
          </cell>
          <cell r="D75" t="str">
            <v/>
          </cell>
          <cell r="E75" t="str">
            <v>BTF</v>
          </cell>
          <cell r="F75" t="str">
            <v>Battery Storage</v>
          </cell>
          <cell r="G75">
            <v>3</v>
          </cell>
        </row>
        <row r="76">
          <cell r="B76" t="str">
            <v>P2827 Vilna 777S DER Solar</v>
          </cell>
          <cell r="C76" t="str">
            <v>56-Vegreville</v>
          </cell>
          <cell r="D76" t="str">
            <v>CNTL-01</v>
          </cell>
          <cell r="E76" t="str">
            <v>BTF</v>
          </cell>
          <cell r="F76" t="str">
            <v>Solar</v>
          </cell>
          <cell r="G76">
            <v>5</v>
          </cell>
        </row>
        <row r="77">
          <cell r="B77" t="str">
            <v>P2826 Paul Band Solar</v>
          </cell>
          <cell r="C77" t="str">
            <v>40-Wabamun</v>
          </cell>
          <cell r="D77" t="str">
            <v>EDM-01</v>
          </cell>
          <cell r="E77" t="str">
            <v>Connection</v>
          </cell>
          <cell r="F77" t="str">
            <v>Solar</v>
          </cell>
          <cell r="G77">
            <v>3</v>
          </cell>
        </row>
        <row r="78">
          <cell r="B78" t="str">
            <v>P2829 Coronation 773S DER Solar</v>
          </cell>
          <cell r="C78" t="str">
            <v>42-Hanna</v>
          </cell>
          <cell r="D78" t="str">
            <v>CNTL-01</v>
          </cell>
          <cell r="E78" t="str">
            <v>BTF</v>
          </cell>
          <cell r="F78" t="str">
            <v>Solar</v>
          </cell>
          <cell r="G78">
            <v>5</v>
          </cell>
        </row>
        <row r="79">
          <cell r="B79" t="str">
            <v>P2952 North Calgary One Data Centre MPC Load</v>
          </cell>
          <cell r="C79" t="str">
            <v>06-Calgary</v>
          </cell>
          <cell r="D79" t="str">
            <v/>
          </cell>
          <cell r="E79" t="str">
            <v>Connection</v>
          </cell>
          <cell r="F79" t="str">
            <v>Data Load</v>
          </cell>
          <cell r="G79">
            <v>1</v>
          </cell>
        </row>
        <row r="80">
          <cell r="B80" t="str">
            <v>P2953 North Calgary Two Data Centre MPC Load</v>
          </cell>
          <cell r="C80" t="str">
            <v>06-Calgary</v>
          </cell>
          <cell r="D80" t="str">
            <v/>
          </cell>
          <cell r="E80" t="str">
            <v>Connection</v>
          </cell>
          <cell r="F80" t="str">
            <v>Data Load</v>
          </cell>
          <cell r="G80">
            <v>2</v>
          </cell>
        </row>
        <row r="81">
          <cell r="B81" t="str">
            <v>P2924 Three Hills 770S DER Battery</v>
          </cell>
          <cell r="C81" t="str">
            <v>42-Hanna</v>
          </cell>
          <cell r="D81" t="str">
            <v/>
          </cell>
          <cell r="E81" t="str">
            <v>BTF</v>
          </cell>
          <cell r="F81" t="str">
            <v>Battery Storage</v>
          </cell>
          <cell r="G81">
            <v>5</v>
          </cell>
        </row>
        <row r="82">
          <cell r="B82" t="str">
            <v>P2843 Prairie Lights Power Gas</v>
          </cell>
          <cell r="C82" t="str">
            <v>20-Grande Prairie</v>
          </cell>
          <cell r="D82" t="str">
            <v>NW-01</v>
          </cell>
          <cell r="E82" t="str">
            <v>Connection</v>
          </cell>
          <cell r="F82" t="str">
            <v>Gas</v>
          </cell>
          <cell r="G82">
            <v>3</v>
          </cell>
        </row>
        <row r="83">
          <cell r="B83" t="str">
            <v>P2845 Marguerite Lake CAE Storage</v>
          </cell>
          <cell r="C83" t="str">
            <v>28-Cold Lake</v>
          </cell>
          <cell r="D83" t="str">
            <v>CNTL-01</v>
          </cell>
          <cell r="E83" t="str">
            <v>Connection</v>
          </cell>
          <cell r="F83" t="str">
            <v>Compressed Air Energy Storage</v>
          </cell>
          <cell r="G83">
            <v>3</v>
          </cell>
        </row>
        <row r="84">
          <cell r="B84" t="str">
            <v>P2869 Provost 545S DER Gas</v>
          </cell>
          <cell r="C84" t="str">
            <v>37-Provost</v>
          </cell>
          <cell r="D84" t="str">
            <v/>
          </cell>
          <cell r="E84" t="str">
            <v>BTF</v>
          </cell>
          <cell r="F84" t="str">
            <v>Gas</v>
          </cell>
          <cell r="G84">
            <v>3</v>
          </cell>
        </row>
        <row r="85">
          <cell r="B85" t="str">
            <v>P2879 Hayter 277S DER Gas</v>
          </cell>
          <cell r="C85" t="str">
            <v>37-Provost</v>
          </cell>
          <cell r="D85" t="str">
            <v/>
          </cell>
          <cell r="E85" t="str">
            <v>BTF</v>
          </cell>
          <cell r="F85" t="str">
            <v>Gas</v>
          </cell>
          <cell r="G85">
            <v>3</v>
          </cell>
        </row>
        <row r="86">
          <cell r="B86" t="str">
            <v>P2880 Warner 344S DER Gas</v>
          </cell>
          <cell r="C86" t="str">
            <v>55-Glenwood</v>
          </cell>
          <cell r="D86" t="str">
            <v/>
          </cell>
          <cell r="E86" t="str">
            <v>BTF</v>
          </cell>
          <cell r="F86" t="str">
            <v>Gas</v>
          </cell>
          <cell r="G86">
            <v>3</v>
          </cell>
        </row>
        <row r="87">
          <cell r="B87" t="str">
            <v>P2881 South Mayerthorpe 443S DER Gas</v>
          </cell>
          <cell r="C87" t="str">
            <v>40-Wabamun</v>
          </cell>
          <cell r="D87" t="str">
            <v/>
          </cell>
          <cell r="E87" t="str">
            <v>BTF</v>
          </cell>
          <cell r="F87" t="str">
            <v>Gas</v>
          </cell>
          <cell r="G87">
            <v>3</v>
          </cell>
        </row>
        <row r="88">
          <cell r="B88" t="str">
            <v>P2882 Hughenden 213S DER Gas</v>
          </cell>
          <cell r="C88" t="str">
            <v>37-Provost</v>
          </cell>
          <cell r="D88" t="str">
            <v/>
          </cell>
          <cell r="E88" t="str">
            <v>BTF</v>
          </cell>
          <cell r="F88" t="str">
            <v>Gas</v>
          </cell>
          <cell r="G88">
            <v>3</v>
          </cell>
        </row>
        <row r="89">
          <cell r="B89" t="str">
            <v>P2921 SS-54 Area Load</v>
          </cell>
          <cell r="C89" t="str">
            <v>06-Calgary</v>
          </cell>
          <cell r="D89" t="str">
            <v/>
          </cell>
          <cell r="E89" t="str">
            <v>Connection</v>
          </cell>
          <cell r="F89" t="str">
            <v>Distribution Load</v>
          </cell>
          <cell r="G89">
            <v>3</v>
          </cell>
        </row>
        <row r="90">
          <cell r="B90" t="str">
            <v>P2925 Michichi Creek 802S DER Battery</v>
          </cell>
          <cell r="C90" t="str">
            <v>42-Hanna</v>
          </cell>
          <cell r="D90" t="str">
            <v/>
          </cell>
          <cell r="E90" t="str">
            <v>BTF</v>
          </cell>
          <cell r="F90" t="str">
            <v>Battery Storage</v>
          </cell>
          <cell r="G90">
            <v>5</v>
          </cell>
        </row>
        <row r="91">
          <cell r="B91" t="str">
            <v>P2936 GLDC Load Phase 1.1</v>
          </cell>
          <cell r="C91" t="str">
            <v>33-Fort Saskatchewan</v>
          </cell>
          <cell r="D91" t="str">
            <v/>
          </cell>
          <cell r="E91" t="str">
            <v>Connection</v>
          </cell>
          <cell r="F91" t="str">
            <v>Data Load</v>
          </cell>
          <cell r="G91">
            <v>2</v>
          </cell>
        </row>
        <row r="92">
          <cell r="B92" t="str">
            <v>P2940 Grassland 282S Modification</v>
          </cell>
          <cell r="C92" t="str">
            <v>27-Athabasca/Lac La Biche</v>
          </cell>
          <cell r="D92" t="str">
            <v/>
          </cell>
          <cell r="E92" t="str">
            <v>BTF</v>
          </cell>
          <cell r="F92" t="str">
            <v>Equipment Change</v>
          </cell>
          <cell r="G92">
            <v>6</v>
          </cell>
        </row>
        <row r="93">
          <cell r="B93" t="str">
            <v>P2941 WFS Cogen</v>
          </cell>
          <cell r="C93" t="str">
            <v>33-Fort Saskatchewan</v>
          </cell>
          <cell r="D93" t="str">
            <v>NE-02</v>
          </cell>
          <cell r="E93" t="str">
            <v>Connection</v>
          </cell>
          <cell r="F93" t="str">
            <v>Cogen</v>
          </cell>
          <cell r="G93">
            <v>3</v>
          </cell>
        </row>
        <row r="94">
          <cell r="B94" t="str">
            <v>P2944 Mowat 2033S DER Gas</v>
          </cell>
          <cell r="C94" t="str">
            <v>20-Grande Prairie</v>
          </cell>
          <cell r="D94" t="str">
            <v>NW-02</v>
          </cell>
          <cell r="E94" t="str">
            <v>BTF</v>
          </cell>
          <cell r="F94" t="str">
            <v>Gas</v>
          </cell>
          <cell r="G94">
            <v>3</v>
          </cell>
        </row>
        <row r="95">
          <cell r="B95" t="str">
            <v>P2956 High River 65S Gas DER</v>
          </cell>
          <cell r="C95" t="str">
            <v>46-High River</v>
          </cell>
          <cell r="D95" t="str">
            <v/>
          </cell>
          <cell r="E95" t="str">
            <v>BTF</v>
          </cell>
          <cell r="F95" t="str">
            <v>Gas</v>
          </cell>
          <cell r="G95">
            <v>3</v>
          </cell>
        </row>
        <row r="96">
          <cell r="B96" t="str">
            <v>P2966 Veteran Solar Battery</v>
          </cell>
          <cell r="C96" t="str">
            <v>42-Hanna</v>
          </cell>
          <cell r="D96" t="str">
            <v>CNTL-02</v>
          </cell>
          <cell r="E96" t="str">
            <v>Connection</v>
          </cell>
          <cell r="F96" t="str">
            <v>Solar + Storage</v>
          </cell>
          <cell r="G96">
            <v>3</v>
          </cell>
        </row>
        <row r="97">
          <cell r="B97" t="str">
            <v>P2967 Clearwater Facility Cogen</v>
          </cell>
          <cell r="C97" t="str">
            <v>39-Didsbury</v>
          </cell>
          <cell r="D97" t="str">
            <v>CNTL-02</v>
          </cell>
          <cell r="E97" t="str">
            <v>Connection</v>
          </cell>
          <cell r="F97" t="str">
            <v>Cogen</v>
          </cell>
          <cell r="G97">
            <v>3</v>
          </cell>
        </row>
        <row r="98">
          <cell r="B98" t="str">
            <v>P2969 Cadomin Area Load</v>
          </cell>
          <cell r="C98" t="str">
            <v>29-Hinton/Edson</v>
          </cell>
          <cell r="D98" t="str">
            <v/>
          </cell>
          <cell r="E98" t="str">
            <v>Connection</v>
          </cell>
          <cell r="F98" t="str">
            <v>Distribution Load</v>
          </cell>
          <cell r="G98">
            <v>4</v>
          </cell>
        </row>
        <row r="99">
          <cell r="B99" t="str">
            <v>P2972 SW Edmonton Area Load Meadowlark Upgrade</v>
          </cell>
          <cell r="C99" t="str">
            <v>60-Edmonton</v>
          </cell>
          <cell r="D99" t="str">
            <v/>
          </cell>
          <cell r="E99" t="str">
            <v>Connection</v>
          </cell>
          <cell r="F99" t="str">
            <v>Distribution Load</v>
          </cell>
          <cell r="G99">
            <v>5</v>
          </cell>
        </row>
        <row r="100">
          <cell r="B100" t="str">
            <v>P2975 Genesee MPC Gas</v>
          </cell>
          <cell r="C100" t="str">
            <v>40-Wabamun</v>
          </cell>
          <cell r="D100" t="str">
            <v>EDM-02</v>
          </cell>
          <cell r="E100" t="str">
            <v>Connection</v>
          </cell>
          <cell r="F100" t="str">
            <v>Gas</v>
          </cell>
          <cell r="G100">
            <v>3</v>
          </cell>
        </row>
        <row r="101">
          <cell r="B101" t="str">
            <v>P3075 Balzac Area Load</v>
          </cell>
          <cell r="C101" t="str">
            <v>06-Calgary</v>
          </cell>
          <cell r="D101" t="str">
            <v/>
          </cell>
          <cell r="E101" t="str">
            <v>Connection</v>
          </cell>
          <cell r="F101" t="str">
            <v>Data Load</v>
          </cell>
          <cell r="G101">
            <v>2</v>
          </cell>
        </row>
        <row r="102">
          <cell r="B102" t="str">
            <v>P2983 Moraine MPC Gas</v>
          </cell>
          <cell r="C102" t="str">
            <v>26-Swan Hills</v>
          </cell>
          <cell r="D102" t="str">
            <v>NW-02</v>
          </cell>
          <cell r="E102" t="str">
            <v>Connection</v>
          </cell>
          <cell r="F102" t="str">
            <v>Gas</v>
          </cell>
          <cell r="G102">
            <v>3</v>
          </cell>
        </row>
        <row r="103">
          <cell r="B103" t="str">
            <v>P3077 Calgary Enterprise A.I. Load</v>
          </cell>
          <cell r="C103" t="str">
            <v>06-Calgary</v>
          </cell>
          <cell r="D103" t="str">
            <v/>
          </cell>
          <cell r="E103" t="str">
            <v>Connection</v>
          </cell>
          <cell r="F103" t="str">
            <v>Data Load</v>
          </cell>
          <cell r="G103">
            <v>2</v>
          </cell>
        </row>
        <row r="104">
          <cell r="B104" t="str">
            <v>P3078 Calgary A.I. Centre Load</v>
          </cell>
          <cell r="C104" t="str">
            <v>06-Calgary</v>
          </cell>
          <cell r="D104" t="str">
            <v/>
          </cell>
          <cell r="E104" t="str">
            <v>Connection</v>
          </cell>
          <cell r="F104" t="str">
            <v>Data Load</v>
          </cell>
          <cell r="G104">
            <v>2</v>
          </cell>
        </row>
        <row r="105">
          <cell r="B105" t="str">
            <v>P3079 Captus Load</v>
          </cell>
          <cell r="C105" t="str">
            <v>55-Glenwood</v>
          </cell>
          <cell r="D105" t="str">
            <v/>
          </cell>
          <cell r="E105" t="str">
            <v>Connection</v>
          </cell>
          <cell r="F105" t="str">
            <v>Data Load</v>
          </cell>
          <cell r="G105">
            <v>2</v>
          </cell>
        </row>
        <row r="106">
          <cell r="B106" t="str">
            <v>P2997 Three Hills 770S DER Solar</v>
          </cell>
          <cell r="C106" t="str">
            <v>42-Hanna</v>
          </cell>
          <cell r="D106" t="str">
            <v>CNTL-02</v>
          </cell>
          <cell r="E106" t="str">
            <v>BTF</v>
          </cell>
          <cell r="F106" t="str">
            <v>Solar</v>
          </cell>
          <cell r="G106">
            <v>3</v>
          </cell>
        </row>
        <row r="107">
          <cell r="B107" t="str">
            <v>P3013 Raymond Reservoir Battery</v>
          </cell>
          <cell r="C107" t="str">
            <v>55-Glenwood</v>
          </cell>
          <cell r="D107" t="str">
            <v>SW-CAL-02</v>
          </cell>
          <cell r="E107" t="str">
            <v>BTF</v>
          </cell>
          <cell r="F107" t="str">
            <v>Battery Storage</v>
          </cell>
          <cell r="G107">
            <v>3</v>
          </cell>
        </row>
        <row r="108">
          <cell r="B108" t="str">
            <v>P3084 SW Edmonton Area Load and Reliability</v>
          </cell>
          <cell r="C108" t="str">
            <v>60-Edmonton</v>
          </cell>
          <cell r="D108" t="str">
            <v/>
          </cell>
          <cell r="E108" t="str">
            <v>Connection</v>
          </cell>
          <cell r="F108" t="str">
            <v>Distribution Load</v>
          </cell>
          <cell r="G108">
            <v>2</v>
          </cell>
        </row>
        <row r="109">
          <cell r="B109" t="str">
            <v>P3085 Dow Fort Sask. Load Phase 2</v>
          </cell>
          <cell r="C109" t="str">
            <v>33-Fort Saskatchewan</v>
          </cell>
          <cell r="D109" t="str">
            <v/>
          </cell>
          <cell r="E109" t="str">
            <v>Contract</v>
          </cell>
          <cell r="F109" t="str">
            <v>Industrial Load</v>
          </cell>
          <cell r="G109">
            <v>2</v>
          </cell>
        </row>
        <row r="110">
          <cell r="B110" t="str">
            <v>P3099 Sollair BESS</v>
          </cell>
          <cell r="C110" t="str">
            <v>57-Airdrie</v>
          </cell>
          <cell r="D110" t="str">
            <v/>
          </cell>
          <cell r="E110" t="str">
            <v>BTF</v>
          </cell>
          <cell r="F110" t="str">
            <v>Battery Storage</v>
          </cell>
          <cell r="G110">
            <v>1</v>
          </cell>
        </row>
        <row r="111">
          <cell r="B111" t="str">
            <v>P3001 Midnight MPC Battery</v>
          </cell>
          <cell r="C111" t="str">
            <v>04-Medicine Hat</v>
          </cell>
          <cell r="D111" t="str">
            <v>SE-02</v>
          </cell>
          <cell r="E111" t="str">
            <v>Connection</v>
          </cell>
          <cell r="F111" t="str">
            <v>Battery Storage</v>
          </cell>
          <cell r="G111">
            <v>3</v>
          </cell>
        </row>
        <row r="112">
          <cell r="B112" t="str">
            <v>P3126 Sollair Load</v>
          </cell>
          <cell r="C112" t="str">
            <v>57-Airdrie</v>
          </cell>
          <cell r="D112" t="str">
            <v/>
          </cell>
          <cell r="E112" t="str">
            <v>BTF</v>
          </cell>
          <cell r="F112" t="str">
            <v>Data Load</v>
          </cell>
          <cell r="G112">
            <v>2</v>
          </cell>
        </row>
        <row r="113">
          <cell r="B113" t="str">
            <v>P3006 Clairmont Energy Gas</v>
          </cell>
          <cell r="C113" t="str">
            <v>20-Grande Prairie</v>
          </cell>
          <cell r="D113" t="str">
            <v>NW-02</v>
          </cell>
          <cell r="E113" t="str">
            <v>Connection</v>
          </cell>
          <cell r="F113" t="str">
            <v>Gas</v>
          </cell>
          <cell r="G113">
            <v>3</v>
          </cell>
        </row>
        <row r="114">
          <cell r="B114" t="str">
            <v>P3134 Baseline 317S &amp; Knightsbridge 216S Contract Change</v>
          </cell>
          <cell r="C114" t="str">
            <v>60-Edmonton</v>
          </cell>
          <cell r="D114" t="str">
            <v/>
          </cell>
          <cell r="E114" t="str">
            <v>Contract</v>
          </cell>
          <cell r="F114" t="str">
            <v>Industrial Load</v>
          </cell>
          <cell r="G114">
            <v>1</v>
          </cell>
        </row>
        <row r="115">
          <cell r="B115" t="str">
            <v>P3135 Battlesands 594S, Clipper 656S &amp; Rosyth 296S Contract Change</v>
          </cell>
          <cell r="C115" t="str">
            <v>32-Wainwright</v>
          </cell>
          <cell r="D115" t="str">
            <v/>
          </cell>
          <cell r="E115" t="str">
            <v>Contract</v>
          </cell>
          <cell r="F115" t="str">
            <v>Industrial Load</v>
          </cell>
          <cell r="G115">
            <v>2</v>
          </cell>
        </row>
        <row r="116">
          <cell r="B116" t="str">
            <v>P3138 Balzac Area Distribution Load</v>
          </cell>
          <cell r="C116" t="str">
            <v>06-Calgary</v>
          </cell>
          <cell r="D116" t="str">
            <v/>
          </cell>
          <cell r="E116" t="str">
            <v>Connection</v>
          </cell>
          <cell r="F116" t="str">
            <v>Distribution Load</v>
          </cell>
          <cell r="G116">
            <v>1</v>
          </cell>
        </row>
        <row r="117">
          <cell r="B117" t="str">
            <v>P3140 Chevron Kaybob 551S Contract Change</v>
          </cell>
          <cell r="C117" t="str">
            <v>24-Fox Creek</v>
          </cell>
          <cell r="D117" t="str">
            <v/>
          </cell>
          <cell r="E117" t="str">
            <v>Contract</v>
          </cell>
          <cell r="F117" t="str">
            <v>Salvage/Decommission</v>
          </cell>
          <cell r="G117">
            <v>1</v>
          </cell>
        </row>
        <row r="118">
          <cell r="B118" t="str">
            <v>P3141 Opal Data Load</v>
          </cell>
          <cell r="C118" t="str">
            <v>24-Fox Creek</v>
          </cell>
          <cell r="D118" t="str">
            <v/>
          </cell>
          <cell r="E118" t="str">
            <v>BTF</v>
          </cell>
          <cell r="F118" t="str">
            <v>Data Load</v>
          </cell>
          <cell r="G118">
            <v>1</v>
          </cell>
        </row>
        <row r="119">
          <cell r="B119" t="str">
            <v>P3144 Westlock-WST1 Modification</v>
          </cell>
          <cell r="C119" t="str">
            <v>27-Athabasca/Lac La Biche</v>
          </cell>
          <cell r="D119" t="str">
            <v/>
          </cell>
          <cell r="E119" t="str">
            <v>BTF</v>
          </cell>
          <cell r="F119" t="str">
            <v>Equipment Change</v>
          </cell>
          <cell r="G119">
            <v>2</v>
          </cell>
        </row>
        <row r="120">
          <cell r="B120" t="str">
            <v>P3026 Pigeon Lake 964S DER Solar</v>
          </cell>
          <cell r="C120" t="str">
            <v>31-Wetaskiwin</v>
          </cell>
          <cell r="D120" t="str">
            <v>EDM-02</v>
          </cell>
          <cell r="E120" t="str">
            <v>BTF</v>
          </cell>
          <cell r="F120" t="str">
            <v>Solar</v>
          </cell>
          <cell r="G120">
            <v>3</v>
          </cell>
        </row>
        <row r="121">
          <cell r="B121" t="str">
            <v>P3147 Banff Area Distribution Load</v>
          </cell>
          <cell r="C121" t="str">
            <v>44-Seebe</v>
          </cell>
          <cell r="D121" t="str">
            <v/>
          </cell>
          <cell r="E121" t="str">
            <v>Connection</v>
          </cell>
          <cell r="F121" t="str">
            <v>Distribution Load</v>
          </cell>
          <cell r="G121">
            <v>2</v>
          </cell>
        </row>
        <row r="122">
          <cell r="B122" t="str">
            <v>P3148 Updike 886S DER Gas</v>
          </cell>
          <cell r="C122" t="str">
            <v>20-Grande Prairie</v>
          </cell>
          <cell r="D122" t="str">
            <v/>
          </cell>
          <cell r="E122" t="str">
            <v>BTF</v>
          </cell>
          <cell r="F122" t="str">
            <v>Gas</v>
          </cell>
          <cell r="G122">
            <v>1</v>
          </cell>
        </row>
        <row r="123">
          <cell r="B123" t="str">
            <v>P3014 Meadowview Solar Battery</v>
          </cell>
          <cell r="C123" t="str">
            <v>60-Edmonton</v>
          </cell>
          <cell r="D123" t="str">
            <v>EDM-02</v>
          </cell>
          <cell r="E123" t="str">
            <v>Connection</v>
          </cell>
          <cell r="F123" t="str">
            <v>Solar + Storage</v>
          </cell>
          <cell r="G123">
            <v>3</v>
          </cell>
        </row>
        <row r="124">
          <cell r="B124" t="str">
            <v>P3157 Clearwater Technology Park Data Load</v>
          </cell>
          <cell r="C124" t="str">
            <v>06-Calgary</v>
          </cell>
          <cell r="D124" t="str">
            <v/>
          </cell>
          <cell r="E124" t="str">
            <v>Connection</v>
          </cell>
          <cell r="F124" t="str">
            <v>Data Load</v>
          </cell>
          <cell r="G124">
            <v>1</v>
          </cell>
        </row>
        <row r="125">
          <cell r="B125" t="str">
            <v>P3160 Kearl Oil Sands Mine Cogen</v>
          </cell>
          <cell r="C125" t="str">
            <v>25-Fort McMurray</v>
          </cell>
          <cell r="D125" t="str">
            <v/>
          </cell>
          <cell r="E125" t="str">
            <v>BTF</v>
          </cell>
          <cell r="F125" t="str">
            <v>Cogen</v>
          </cell>
          <cell r="G125">
            <v>2</v>
          </cell>
        </row>
        <row r="126">
          <cell r="B126" t="str">
            <v>P3163 South Edmonton Area Load Reliability</v>
          </cell>
          <cell r="C126" t="str">
            <v>60-Edmonton</v>
          </cell>
          <cell r="D126" t="str">
            <v/>
          </cell>
          <cell r="E126" t="str">
            <v>Connection</v>
          </cell>
          <cell r="F126" t="str">
            <v>Distribution Load</v>
          </cell>
          <cell r="G126">
            <v>1</v>
          </cell>
        </row>
        <row r="127">
          <cell r="B127" t="str">
            <v>P3167 West Edmonton Area Load Reliability</v>
          </cell>
          <cell r="C127" t="str">
            <v>60-Edmonton</v>
          </cell>
          <cell r="D127" t="str">
            <v/>
          </cell>
          <cell r="E127" t="str">
            <v>Connection</v>
          </cell>
          <cell r="F127" t="str">
            <v>Distribution Load</v>
          </cell>
          <cell r="G127">
            <v>1</v>
          </cell>
        </row>
        <row r="128">
          <cell r="B128" t="str">
            <v>P3173 Battle Sands Gas</v>
          </cell>
          <cell r="C128" t="str">
            <v>32-Wainwright</v>
          </cell>
          <cell r="D128" t="str">
            <v/>
          </cell>
          <cell r="E128" t="str">
            <v>BTF</v>
          </cell>
          <cell r="F128" t="str">
            <v>Gas</v>
          </cell>
          <cell r="G128">
            <v>1</v>
          </cell>
        </row>
        <row r="129">
          <cell r="B129" t="str">
            <v>P3174 Sovereign Cloud Data Load</v>
          </cell>
          <cell r="C129" t="str">
            <v>60-Edmonton</v>
          </cell>
          <cell r="D129" t="str">
            <v/>
          </cell>
          <cell r="E129" t="str">
            <v>Connection</v>
          </cell>
          <cell r="F129" t="str">
            <v>Data Load</v>
          </cell>
          <cell r="G129">
            <v>2</v>
          </cell>
        </row>
        <row r="130">
          <cell r="B130" t="str">
            <v>P3176 Leming Lake 715S DER Wasteheat</v>
          </cell>
          <cell r="C130" t="str">
            <v>28-Cold Lake</v>
          </cell>
          <cell r="D130" t="str">
            <v/>
          </cell>
          <cell r="E130" t="str">
            <v>BTF</v>
          </cell>
          <cell r="F130" t="str">
            <v>Wasteheat</v>
          </cell>
          <cell r="G130">
            <v>1</v>
          </cell>
        </row>
        <row r="131">
          <cell r="B131" t="str">
            <v>P3178 Suncor Firebag Modification 1</v>
          </cell>
          <cell r="C131" t="str">
            <v>25-Fort McMurray</v>
          </cell>
          <cell r="D131" t="str">
            <v/>
          </cell>
          <cell r="E131" t="str">
            <v>BTF</v>
          </cell>
          <cell r="F131" t="str">
            <v>Equipment Change</v>
          </cell>
          <cell r="G131">
            <v>1</v>
          </cell>
        </row>
        <row r="132">
          <cell r="B132" t="str">
            <v>P3179 Suncor Firebag Modification 2</v>
          </cell>
          <cell r="C132" t="str">
            <v>25-Fort McMurray</v>
          </cell>
          <cell r="D132" t="str">
            <v/>
          </cell>
          <cell r="E132" t="str">
            <v>BTF</v>
          </cell>
          <cell r="F132" t="str">
            <v>Equipment Change</v>
          </cell>
          <cell r="G132">
            <v>1</v>
          </cell>
        </row>
        <row r="133">
          <cell r="B133" t="str">
            <v>P3181 Strome 223S Contract Change</v>
          </cell>
          <cell r="C133" t="str">
            <v>56-Vegreville</v>
          </cell>
          <cell r="D133" t="str">
            <v/>
          </cell>
          <cell r="E133" t="str">
            <v>Contract</v>
          </cell>
          <cell r="F133" t="str">
            <v>Industrial Load</v>
          </cell>
          <cell r="G133">
            <v>2</v>
          </cell>
        </row>
        <row r="134">
          <cell r="B134" t="str">
            <v>P3182 Sunken Lake 221S Contract Change</v>
          </cell>
          <cell r="C134" t="str">
            <v>37-Provost</v>
          </cell>
          <cell r="D134" t="str">
            <v/>
          </cell>
          <cell r="E134" t="str">
            <v>Contract</v>
          </cell>
          <cell r="F134" t="str">
            <v>Industrial Load</v>
          </cell>
          <cell r="G134">
            <v>2</v>
          </cell>
        </row>
        <row r="135">
          <cell r="B135" t="str">
            <v>P3183 Chestermere Area Distribution Load</v>
          </cell>
          <cell r="C135" t="str">
            <v>06-Calgary</v>
          </cell>
          <cell r="D135" t="str">
            <v/>
          </cell>
          <cell r="E135" t="str">
            <v>Connection</v>
          </cell>
          <cell r="F135" t="str">
            <v>Distribution Load</v>
          </cell>
          <cell r="G135">
            <v>2</v>
          </cell>
        </row>
        <row r="136">
          <cell r="B136" t="str">
            <v>P3189 Lloydminster 716S Contract Change</v>
          </cell>
          <cell r="C136" t="str">
            <v>13-Lloydminster</v>
          </cell>
          <cell r="D136" t="str">
            <v/>
          </cell>
          <cell r="E136" t="str">
            <v>Contract</v>
          </cell>
          <cell r="F136" t="str">
            <v>Distribution Load</v>
          </cell>
          <cell r="G136">
            <v>1</v>
          </cell>
        </row>
        <row r="137">
          <cell r="B137" t="str">
            <v>P3190 Ksituan River 754S Contract Change</v>
          </cell>
          <cell r="C137" t="str">
            <v>20-Grande Prairie</v>
          </cell>
          <cell r="D137" t="str">
            <v/>
          </cell>
          <cell r="E137" t="str">
            <v>Contract</v>
          </cell>
          <cell r="F137" t="str">
            <v>Distribution Load</v>
          </cell>
          <cell r="G137">
            <v>1</v>
          </cell>
        </row>
        <row r="138">
          <cell r="B138" t="str">
            <v>P3191 High Level 786S Contract Change</v>
          </cell>
          <cell r="C138" t="str">
            <v>18-High Level</v>
          </cell>
          <cell r="D138" t="str">
            <v/>
          </cell>
          <cell r="E138" t="str">
            <v>Contract</v>
          </cell>
          <cell r="F138" t="str">
            <v>Distribution Load</v>
          </cell>
          <cell r="G138">
            <v>1</v>
          </cell>
        </row>
        <row r="139">
          <cell r="B139" t="str">
            <v>P3192 Blumenort 832S Contract Change</v>
          </cell>
          <cell r="C139" t="str">
            <v>18-High Level</v>
          </cell>
          <cell r="D139" t="str">
            <v/>
          </cell>
          <cell r="E139" t="str">
            <v>Contract</v>
          </cell>
          <cell r="F139" t="str">
            <v>Distribution Load</v>
          </cell>
          <cell r="G139">
            <v>1</v>
          </cell>
        </row>
        <row r="140">
          <cell r="B140" t="str">
            <v>P3193 Parsons Creek 718S Contract Change</v>
          </cell>
          <cell r="C140" t="str">
            <v>25-Fort McMurray</v>
          </cell>
          <cell r="D140" t="str">
            <v/>
          </cell>
          <cell r="E140" t="str">
            <v>Contract</v>
          </cell>
          <cell r="F140" t="str">
            <v>Distribution Load</v>
          </cell>
          <cell r="G140">
            <v>1</v>
          </cell>
        </row>
        <row r="141">
          <cell r="B141" t="str">
            <v>P3195 Christina Lake Modification</v>
          </cell>
          <cell r="C141" t="str">
            <v>25-Fort McMurray</v>
          </cell>
          <cell r="D141" t="str">
            <v/>
          </cell>
          <cell r="E141" t="str">
            <v>BTF</v>
          </cell>
          <cell r="F141" t="str">
            <v>Equipment Change</v>
          </cell>
          <cell r="G141">
            <v>1</v>
          </cell>
        </row>
        <row r="142">
          <cell r="B142" t="str">
            <v>P3196 Dunmore Battery</v>
          </cell>
          <cell r="C142" t="str">
            <v>04-Medicine Hat</v>
          </cell>
          <cell r="D142" t="str">
            <v/>
          </cell>
          <cell r="E142" t="str">
            <v>BTF</v>
          </cell>
          <cell r="F142" t="str">
            <v>Battery Storage</v>
          </cell>
          <cell r="G142">
            <v>1</v>
          </cell>
        </row>
        <row r="143">
          <cell r="B143" t="str">
            <v>P3197 Brazeau Battery</v>
          </cell>
          <cell r="C143" t="str">
            <v>30-Drayton Valley</v>
          </cell>
          <cell r="D143" t="str">
            <v/>
          </cell>
          <cell r="E143" t="str">
            <v>BTF</v>
          </cell>
          <cell r="F143" t="str">
            <v>Battery Storage</v>
          </cell>
          <cell r="G143">
            <v>1</v>
          </cell>
        </row>
        <row r="144">
          <cell r="B144" t="str">
            <v>P3200 South Kaybob Industrial Load</v>
          </cell>
          <cell r="C144" t="str">
            <v>24-Fox Creek</v>
          </cell>
          <cell r="D144" t="str">
            <v/>
          </cell>
          <cell r="E144" t="str">
            <v>BTF</v>
          </cell>
          <cell r="F144" t="str">
            <v>Distribution Load</v>
          </cell>
          <cell r="G144">
            <v>1</v>
          </cell>
        </row>
        <row r="145">
          <cell r="B145" t="str">
            <v>P3201 Jasper Area Industrial Load</v>
          </cell>
          <cell r="C145" t="str">
            <v>29-Hinton/Edson</v>
          </cell>
          <cell r="D145" t="str">
            <v/>
          </cell>
          <cell r="E145" t="str">
            <v>Connection</v>
          </cell>
          <cell r="F145" t="str">
            <v>Industrial Load</v>
          </cell>
          <cell r="G145">
            <v>1</v>
          </cell>
        </row>
        <row r="146">
          <cell r="B146" t="str">
            <v>P3015 Spruce Grove North Solar Battery</v>
          </cell>
          <cell r="C146" t="str">
            <v>60-Edmonton</v>
          </cell>
          <cell r="D146" t="str">
            <v>EDM-02</v>
          </cell>
          <cell r="E146" t="str">
            <v>Connection</v>
          </cell>
          <cell r="F146" t="str">
            <v>Solar + Storage</v>
          </cell>
          <cell r="G146">
            <v>3</v>
          </cell>
        </row>
        <row r="147">
          <cell r="B147" t="str">
            <v>P3203 GTG5 Modification</v>
          </cell>
          <cell r="C147" t="str">
            <v>25-Fort McMurray</v>
          </cell>
          <cell r="D147" t="str">
            <v/>
          </cell>
          <cell r="E147" t="str">
            <v>BTF</v>
          </cell>
          <cell r="F147" t="str">
            <v>Equipment Change</v>
          </cell>
          <cell r="G147">
            <v>1</v>
          </cell>
        </row>
        <row r="148">
          <cell r="B148" t="str">
            <v>P3205 Obed Industrial Load</v>
          </cell>
          <cell r="C148" t="str">
            <v>29-Hinton/Edson</v>
          </cell>
          <cell r="D148" t="str">
            <v/>
          </cell>
          <cell r="E148" t="str">
            <v>Connection</v>
          </cell>
          <cell r="F148" t="str">
            <v>Industrial Load</v>
          </cell>
          <cell r="G148">
            <v>1</v>
          </cell>
        </row>
        <row r="149">
          <cell r="B149" t="str">
            <v>P3206 Wolf Industrial Load</v>
          </cell>
          <cell r="C149" t="str">
            <v>29-Hinton/Edson</v>
          </cell>
          <cell r="D149" t="str">
            <v/>
          </cell>
          <cell r="E149" t="str">
            <v>Connection</v>
          </cell>
          <cell r="F149" t="str">
            <v>Industrial Load</v>
          </cell>
          <cell r="G149">
            <v>1</v>
          </cell>
        </row>
        <row r="150">
          <cell r="B150" t="str">
            <v>P3207 Gainford Industrial Load</v>
          </cell>
          <cell r="C150" t="str">
            <v>40-Wabamun</v>
          </cell>
          <cell r="D150" t="str">
            <v/>
          </cell>
          <cell r="E150" t="str">
            <v>BTF</v>
          </cell>
          <cell r="F150" t="str">
            <v>Industrial Load</v>
          </cell>
          <cell r="G150">
            <v>1</v>
          </cell>
        </row>
        <row r="151">
          <cell r="B151" t="str">
            <v>P3208 Hinton Industrial Load</v>
          </cell>
          <cell r="C151" t="str">
            <v>29-Hinton/Edson</v>
          </cell>
          <cell r="D151" t="str">
            <v/>
          </cell>
          <cell r="E151" t="str">
            <v>BTF</v>
          </cell>
          <cell r="F151" t="str">
            <v>Industrial Load</v>
          </cell>
          <cell r="G151">
            <v>1</v>
          </cell>
        </row>
        <row r="152">
          <cell r="B152" t="str">
            <v>P3209 Stony Plain Industrial Load</v>
          </cell>
          <cell r="C152" t="str">
            <v>40-Wabamun</v>
          </cell>
          <cell r="D152" t="str">
            <v/>
          </cell>
          <cell r="E152" t="str">
            <v>BTF</v>
          </cell>
          <cell r="F152" t="str">
            <v>Industrial Load</v>
          </cell>
          <cell r="G152">
            <v>1</v>
          </cell>
        </row>
        <row r="153">
          <cell r="B153" t="str">
            <v>P3210 Chip Lake Industrial Load</v>
          </cell>
          <cell r="C153" t="str">
            <v>29-Hinton/Edson</v>
          </cell>
          <cell r="D153" t="str">
            <v/>
          </cell>
          <cell r="E153" t="str">
            <v>BTF</v>
          </cell>
          <cell r="F153" t="str">
            <v>Industrial Load</v>
          </cell>
          <cell r="G153">
            <v>1</v>
          </cell>
        </row>
        <row r="154">
          <cell r="B154" t="str">
            <v>P3029 Irrican Chin Battery</v>
          </cell>
          <cell r="C154" t="str">
            <v>54-Lethbridge</v>
          </cell>
          <cell r="D154" t="str">
            <v>SE-02</v>
          </cell>
          <cell r="E154" t="str">
            <v>BTF</v>
          </cell>
          <cell r="F154" t="str">
            <v>Battery Storage</v>
          </cell>
          <cell r="G154">
            <v>3</v>
          </cell>
        </row>
        <row r="155">
          <cell r="B155" t="str">
            <v>P3031 Oyen Wind Ph 2</v>
          </cell>
          <cell r="C155" t="str">
            <v>42-Hanna</v>
          </cell>
          <cell r="D155" t="str">
            <v>CNTL-02</v>
          </cell>
          <cell r="E155" t="str">
            <v>BTF</v>
          </cell>
          <cell r="F155" t="str">
            <v>Wind</v>
          </cell>
          <cell r="G155">
            <v>3</v>
          </cell>
        </row>
        <row r="156">
          <cell r="B156" t="str">
            <v>P3039 Evolve Battery</v>
          </cell>
          <cell r="C156" t="str">
            <v>26-Swan Hills</v>
          </cell>
          <cell r="D156" t="str">
            <v>NW-02</v>
          </cell>
          <cell r="E156" t="str">
            <v>BTF</v>
          </cell>
          <cell r="F156" t="str">
            <v>Battery Storage</v>
          </cell>
          <cell r="G156">
            <v>3</v>
          </cell>
        </row>
        <row r="157">
          <cell r="B157" t="str">
            <v>P2926 Beacon Foothills A.I. Hub Load</v>
          </cell>
          <cell r="C157" t="str">
            <v>46-High River</v>
          </cell>
          <cell r="D157" t="str">
            <v/>
          </cell>
          <cell r="E157" t="str">
            <v>Connection</v>
          </cell>
          <cell r="F157" t="str">
            <v>Data Load</v>
          </cell>
          <cell r="G157">
            <v>2</v>
          </cell>
        </row>
        <row r="158">
          <cell r="B158" t="str">
            <v>P2927 Beacon Harry Smith A.I. Hub Load</v>
          </cell>
          <cell r="C158" t="str">
            <v>40-Wabamun</v>
          </cell>
          <cell r="D158" t="str">
            <v/>
          </cell>
          <cell r="E158" t="str">
            <v>Connection</v>
          </cell>
          <cell r="F158" t="str">
            <v>Data Load</v>
          </cell>
          <cell r="G158">
            <v>2</v>
          </cell>
        </row>
        <row r="159">
          <cell r="B159" t="str">
            <v>P2928 Beacon Langdon A.I. Hub Load</v>
          </cell>
          <cell r="C159" t="str">
            <v>06-Calgary</v>
          </cell>
          <cell r="D159" t="str">
            <v/>
          </cell>
          <cell r="E159" t="str">
            <v>Connection</v>
          </cell>
          <cell r="F159" t="str">
            <v>Data Load</v>
          </cell>
          <cell r="G159">
            <v>2</v>
          </cell>
        </row>
        <row r="160">
          <cell r="B160" t="str">
            <v>P2934 Beacon Heartland A.I. Hub Load</v>
          </cell>
          <cell r="C160" t="str">
            <v>33-Fort Saskatchewan</v>
          </cell>
          <cell r="D160" t="str">
            <v/>
          </cell>
          <cell r="E160" t="str">
            <v>Connection</v>
          </cell>
          <cell r="F160" t="str">
            <v>Data Load</v>
          </cell>
          <cell r="G160">
            <v>2</v>
          </cell>
        </row>
        <row r="161">
          <cell r="B161" t="str">
            <v>P2935 Beacon Saunders Lake A.I. Hub Load</v>
          </cell>
          <cell r="C161" t="str">
            <v>60-Edmonton</v>
          </cell>
          <cell r="D161" t="str">
            <v/>
          </cell>
          <cell r="E161" t="str">
            <v>Connection</v>
          </cell>
          <cell r="F161" t="str">
            <v>Data Load</v>
          </cell>
          <cell r="G161">
            <v>2</v>
          </cell>
        </row>
        <row r="162">
          <cell r="B162" t="str">
            <v>P2942 Genesee Data Center 1 MPC Load</v>
          </cell>
          <cell r="C162" t="str">
            <v>40-Wabamun</v>
          </cell>
          <cell r="D162" t="str">
            <v/>
          </cell>
          <cell r="E162" t="str">
            <v>Connection</v>
          </cell>
          <cell r="F162" t="str">
            <v>Data Load</v>
          </cell>
          <cell r="G162">
            <v>2</v>
          </cell>
        </row>
        <row r="163">
          <cell r="B163" t="str">
            <v>P2946 Genesee Data Center 2 MPC Load</v>
          </cell>
          <cell r="C163" t="str">
            <v>40-Wabamun</v>
          </cell>
          <cell r="D163" t="str">
            <v/>
          </cell>
          <cell r="E163" t="str">
            <v>Connection</v>
          </cell>
          <cell r="F163" t="str">
            <v>Data Load</v>
          </cell>
          <cell r="G163">
            <v>2</v>
          </cell>
        </row>
        <row r="164">
          <cell r="B164" t="str">
            <v>P3034 Valley Edge Battery</v>
          </cell>
          <cell r="C164" t="str">
            <v>35-Red Deer</v>
          </cell>
          <cell r="D164" t="str">
            <v>CNTL-02</v>
          </cell>
          <cell r="E164" t="str">
            <v>Connection</v>
          </cell>
          <cell r="F164" t="str">
            <v>Battery Storage</v>
          </cell>
          <cell r="G164">
            <v>3</v>
          </cell>
        </row>
        <row r="165">
          <cell r="B165" t="str">
            <v>P2958 Hydrogen Canada MPC Load</v>
          </cell>
          <cell r="C165" t="str">
            <v>33-Fort Saskatchewan</v>
          </cell>
          <cell r="D165" t="str">
            <v/>
          </cell>
          <cell r="E165" t="str">
            <v>Connection</v>
          </cell>
          <cell r="F165" t="str">
            <v>Industrial Load</v>
          </cell>
          <cell r="G165">
            <v>2</v>
          </cell>
        </row>
        <row r="166">
          <cell r="B166" t="str">
            <v>P2970 Beacon Langdon A.I. Hub 2 Load</v>
          </cell>
          <cell r="C166" t="str">
            <v>06-Calgary</v>
          </cell>
          <cell r="D166" t="str">
            <v/>
          </cell>
          <cell r="E166" t="str">
            <v>Connection</v>
          </cell>
          <cell r="F166" t="str">
            <v>Data Load</v>
          </cell>
          <cell r="G166">
            <v>1</v>
          </cell>
        </row>
        <row r="167">
          <cell r="B167" t="str">
            <v>P2979 Alsike Energy Park MPC Gas</v>
          </cell>
          <cell r="C167" t="str">
            <v>30-Drayton Valley</v>
          </cell>
          <cell r="D167" t="str">
            <v/>
          </cell>
          <cell r="E167" t="str">
            <v>Connection</v>
          </cell>
          <cell r="F167" t="str">
            <v>Gas</v>
          </cell>
          <cell r="G167">
            <v>2</v>
          </cell>
        </row>
        <row r="168">
          <cell r="B168" t="str">
            <v>P2980 Lone Pine Energy Park MPC Gas</v>
          </cell>
          <cell r="C168" t="str">
            <v>57-Airdrie</v>
          </cell>
          <cell r="D168" t="str">
            <v/>
          </cell>
          <cell r="E168" t="str">
            <v>Connection</v>
          </cell>
          <cell r="F168" t="str">
            <v>Gas</v>
          </cell>
          <cell r="G168">
            <v>2</v>
          </cell>
        </row>
        <row r="169">
          <cell r="B169" t="str">
            <v>P2981 Myers Energy Park MPC Gas</v>
          </cell>
          <cell r="C169" t="str">
            <v>35-Red Deer</v>
          </cell>
          <cell r="D169" t="str">
            <v/>
          </cell>
          <cell r="E169" t="str">
            <v>Connection</v>
          </cell>
          <cell r="F169" t="str">
            <v>Gas</v>
          </cell>
          <cell r="G169">
            <v>2</v>
          </cell>
        </row>
        <row r="170">
          <cell r="B170" t="str">
            <v>P2982 Gilby Power Park MPC Gas</v>
          </cell>
          <cell r="C170" t="str">
            <v>35-Red Deer</v>
          </cell>
          <cell r="D170" t="str">
            <v/>
          </cell>
          <cell r="E170" t="str">
            <v>Connection</v>
          </cell>
          <cell r="F170" t="str">
            <v>Gas</v>
          </cell>
          <cell r="G170">
            <v>2</v>
          </cell>
        </row>
        <row r="171">
          <cell r="B171" t="str">
            <v>P3056 Onoway 352S DER Gas Battery</v>
          </cell>
          <cell r="C171" t="str">
            <v>40-Wabamun</v>
          </cell>
          <cell r="D171" t="str">
            <v>EDM-02</v>
          </cell>
          <cell r="E171" t="str">
            <v>BTF</v>
          </cell>
          <cell r="F171" t="str">
            <v>Gas + Storage</v>
          </cell>
          <cell r="G171">
            <v>3</v>
          </cell>
        </row>
        <row r="172">
          <cell r="B172" t="str">
            <v>P3066 Leedale Data Load</v>
          </cell>
          <cell r="C172" t="str">
            <v>38-Caroline</v>
          </cell>
          <cell r="D172" t="str">
            <v/>
          </cell>
          <cell r="E172" t="str">
            <v>Connection</v>
          </cell>
          <cell r="F172" t="str">
            <v>Data Load</v>
          </cell>
          <cell r="G172">
            <v>2</v>
          </cell>
        </row>
        <row r="173">
          <cell r="B173" t="str">
            <v>P3074 Genesee 330P Modification</v>
          </cell>
          <cell r="C173" t="str">
            <v>40-Wabamun</v>
          </cell>
          <cell r="D173" t="str">
            <v/>
          </cell>
          <cell r="E173" t="str">
            <v>BTF</v>
          </cell>
          <cell r="F173" t="str">
            <v>Gas</v>
          </cell>
          <cell r="G173">
            <v>2</v>
          </cell>
        </row>
        <row r="174">
          <cell r="B174" t="str">
            <v>P3095 Keephills Data Centre Phase 2</v>
          </cell>
          <cell r="C174" t="str">
            <v>40-Wabamun</v>
          </cell>
          <cell r="D174" t="str">
            <v/>
          </cell>
          <cell r="E174" t="str">
            <v>BTF</v>
          </cell>
          <cell r="F174" t="str">
            <v>Data Load</v>
          </cell>
          <cell r="G174">
            <v>2</v>
          </cell>
        </row>
        <row r="175">
          <cell r="B175" t="str">
            <v>P3101 Carstairs Technology Park MPC Load</v>
          </cell>
          <cell r="C175" t="str">
            <v>39-Didsbury</v>
          </cell>
          <cell r="D175" t="str">
            <v/>
          </cell>
          <cell r="E175" t="str">
            <v>Connection</v>
          </cell>
          <cell r="F175" t="str">
            <v>Data Load</v>
          </cell>
          <cell r="G175">
            <v>2</v>
          </cell>
        </row>
        <row r="176">
          <cell r="B176" t="str">
            <v>P3102 Goldfinch Technology Park MPC Load</v>
          </cell>
          <cell r="C176" t="str">
            <v>45-Strathmore/Blackie</v>
          </cell>
          <cell r="D176" t="str">
            <v/>
          </cell>
          <cell r="E176" t="str">
            <v>Connection</v>
          </cell>
          <cell r="F176" t="str">
            <v>Data Load</v>
          </cell>
          <cell r="G176">
            <v>2</v>
          </cell>
        </row>
        <row r="177">
          <cell r="B177" t="str">
            <v>P3106 Alberta South A.I. Load</v>
          </cell>
          <cell r="C177" t="str">
            <v>54-Lethbridge</v>
          </cell>
          <cell r="D177" t="str">
            <v/>
          </cell>
          <cell r="E177" t="str">
            <v>Connection</v>
          </cell>
          <cell r="F177" t="str">
            <v>Data Load</v>
          </cell>
          <cell r="G177">
            <v>1</v>
          </cell>
        </row>
        <row r="178">
          <cell r="B178" t="str">
            <v>P3107 Chestermere Enterprise A.I. Load</v>
          </cell>
          <cell r="C178" t="str">
            <v>06-Calgary</v>
          </cell>
          <cell r="D178" t="str">
            <v/>
          </cell>
          <cell r="E178" t="str">
            <v>Connection</v>
          </cell>
          <cell r="F178" t="str">
            <v>Data Load</v>
          </cell>
          <cell r="G178">
            <v>1</v>
          </cell>
        </row>
        <row r="179">
          <cell r="B179" t="str">
            <v>P3108 Wild Rose Power Hub Load</v>
          </cell>
          <cell r="C179" t="str">
            <v>06-Calgary</v>
          </cell>
          <cell r="D179" t="str">
            <v/>
          </cell>
          <cell r="E179" t="str">
            <v>Connection</v>
          </cell>
          <cell r="F179" t="str">
            <v>Data Load</v>
          </cell>
          <cell r="G179">
            <v>2</v>
          </cell>
        </row>
        <row r="180">
          <cell r="B180" t="str">
            <v>P3109 Newell Data Center MPC Load</v>
          </cell>
          <cell r="C180" t="str">
            <v>47-Brooks</v>
          </cell>
          <cell r="D180" t="str">
            <v/>
          </cell>
          <cell r="E180" t="str">
            <v>Connection</v>
          </cell>
          <cell r="F180" t="str">
            <v>Data Load</v>
          </cell>
          <cell r="G180">
            <v>2</v>
          </cell>
        </row>
        <row r="181">
          <cell r="B181" t="str">
            <v>P3110 Mihta Askiy Data Load</v>
          </cell>
          <cell r="C181" t="str">
            <v>19-Peace River</v>
          </cell>
          <cell r="D181" t="str">
            <v/>
          </cell>
          <cell r="E181" t="str">
            <v>Connection</v>
          </cell>
          <cell r="F181" t="str">
            <v>Data Load</v>
          </cell>
          <cell r="G181">
            <v>1</v>
          </cell>
        </row>
        <row r="182">
          <cell r="B182" t="str">
            <v>P3112 North Calgary Three Data Centre MPC Load</v>
          </cell>
          <cell r="C182" t="str">
            <v>06-Calgary</v>
          </cell>
          <cell r="D182" t="str">
            <v/>
          </cell>
          <cell r="E182" t="str">
            <v>Connection</v>
          </cell>
          <cell r="F182" t="str">
            <v>Data Load</v>
          </cell>
          <cell r="G182">
            <v>1</v>
          </cell>
        </row>
        <row r="183">
          <cell r="B183" t="str">
            <v>P3114 Banshee Data MPC Load</v>
          </cell>
          <cell r="C183" t="str">
            <v>29-Hinton/Edson</v>
          </cell>
          <cell r="D183" t="str">
            <v/>
          </cell>
          <cell r="E183" t="str">
            <v>Connection</v>
          </cell>
          <cell r="F183" t="str">
            <v>Data Load</v>
          </cell>
          <cell r="G183">
            <v>2</v>
          </cell>
        </row>
        <row r="184">
          <cell r="B184" t="str">
            <v>P3116 Rocky View Data Center MPC Load</v>
          </cell>
          <cell r="C184" t="str">
            <v>06-Calgary</v>
          </cell>
          <cell r="D184" t="str">
            <v/>
          </cell>
          <cell r="E184" t="str">
            <v>Connection</v>
          </cell>
          <cell r="F184" t="str">
            <v>Data Load</v>
          </cell>
          <cell r="G184">
            <v>2</v>
          </cell>
        </row>
        <row r="185">
          <cell r="B185" t="str">
            <v>P3040 AHI Prairie Eagle MPC Cogen</v>
          </cell>
          <cell r="C185" t="str">
            <v>35-Red Deer</v>
          </cell>
          <cell r="D185" t="str">
            <v>CNTL-02</v>
          </cell>
          <cell r="E185" t="str">
            <v>Connection</v>
          </cell>
          <cell r="F185" t="str">
            <v>Cogen + Solar + Storage</v>
          </cell>
          <cell r="G185">
            <v>3</v>
          </cell>
        </row>
        <row r="186">
          <cell r="B186" t="str">
            <v>P3136 Sundance Data MPC Load</v>
          </cell>
          <cell r="C186" t="str">
            <v>40-Wabamun</v>
          </cell>
          <cell r="D186" t="str">
            <v/>
          </cell>
          <cell r="E186" t="str">
            <v>Connection</v>
          </cell>
          <cell r="F186" t="str">
            <v>Data Load</v>
          </cell>
          <cell r="G186">
            <v>1</v>
          </cell>
        </row>
        <row r="187">
          <cell r="B187" t="str">
            <v>P3137 Sheerness Data MPC Load</v>
          </cell>
          <cell r="C187" t="str">
            <v>43-Sheerness</v>
          </cell>
          <cell r="D187" t="str">
            <v/>
          </cell>
          <cell r="E187" t="str">
            <v>Connection</v>
          </cell>
          <cell r="F187" t="str">
            <v>Data Load</v>
          </cell>
          <cell r="G187">
            <v>1</v>
          </cell>
        </row>
        <row r="188">
          <cell r="B188" t="str">
            <v>P3151 GLDC Load Phase 1.2</v>
          </cell>
          <cell r="C188" t="str">
            <v>33-Fort Saskatchewan</v>
          </cell>
          <cell r="D188" t="str">
            <v/>
          </cell>
          <cell r="E188" t="str">
            <v>Connection</v>
          </cell>
          <cell r="F188" t="str">
            <v>Data Load</v>
          </cell>
          <cell r="G188">
            <v>2</v>
          </cell>
        </row>
        <row r="189">
          <cell r="B189" t="str">
            <v>P3152 Keephills Data Centre Phase 1.2</v>
          </cell>
          <cell r="C189" t="str">
            <v>40-Wabamun</v>
          </cell>
          <cell r="D189" t="str">
            <v/>
          </cell>
          <cell r="E189" t="str">
            <v>Connection</v>
          </cell>
          <cell r="F189" t="str">
            <v>Data Load</v>
          </cell>
          <cell r="G189">
            <v>1</v>
          </cell>
        </row>
        <row r="190">
          <cell r="B190" t="str">
            <v>P3153 Alsike Energy Park MPC Data Load</v>
          </cell>
          <cell r="C190" t="str">
            <v>30-Drayton Valley</v>
          </cell>
          <cell r="D190" t="str">
            <v/>
          </cell>
          <cell r="E190" t="str">
            <v>Connection</v>
          </cell>
          <cell r="F190" t="str">
            <v>Data Load</v>
          </cell>
          <cell r="G190">
            <v>2</v>
          </cell>
        </row>
        <row r="191">
          <cell r="B191" t="str">
            <v>P3154 Lone Pine Energy Park MPC Data Load</v>
          </cell>
          <cell r="C191" t="str">
            <v>57-Airdrie</v>
          </cell>
          <cell r="D191" t="str">
            <v/>
          </cell>
          <cell r="E191" t="str">
            <v>Connection</v>
          </cell>
          <cell r="F191" t="str">
            <v>Data Load</v>
          </cell>
          <cell r="G191">
            <v>2</v>
          </cell>
        </row>
        <row r="192">
          <cell r="B192" t="str">
            <v>P3155 Myers Energy Park MPC Data Load</v>
          </cell>
          <cell r="C192" t="str">
            <v>35-Red Deer</v>
          </cell>
          <cell r="D192" t="str">
            <v/>
          </cell>
          <cell r="E192" t="str">
            <v>Connection</v>
          </cell>
          <cell r="F192" t="str">
            <v>Data Load</v>
          </cell>
          <cell r="G192">
            <v>2</v>
          </cell>
        </row>
        <row r="193">
          <cell r="B193" t="str">
            <v>P3156 High Plains East Industrial Park</v>
          </cell>
          <cell r="C193" t="str">
            <v>06-Calgary</v>
          </cell>
          <cell r="D193" t="str">
            <v/>
          </cell>
          <cell r="E193" t="str">
            <v>Connection</v>
          </cell>
          <cell r="F193" t="str">
            <v>Data Load</v>
          </cell>
          <cell r="G193">
            <v>1</v>
          </cell>
        </row>
        <row r="194">
          <cell r="B194" t="str">
            <v>P3175 Beacon Heartland Data Load</v>
          </cell>
          <cell r="C194" t="str">
            <v>33-Fort Saskatchewan</v>
          </cell>
          <cell r="D194" t="str">
            <v/>
          </cell>
          <cell r="E194" t="str">
            <v>Connection</v>
          </cell>
          <cell r="F194" t="str">
            <v>Data Load</v>
          </cell>
          <cell r="G194">
            <v>1</v>
          </cell>
        </row>
        <row r="195">
          <cell r="B195" t="str">
            <v>P3212 Dry Creek 186S Distribution Load</v>
          </cell>
          <cell r="C195" t="str">
            <v>06-Calgary</v>
          </cell>
          <cell r="D195" t="str">
            <v/>
          </cell>
          <cell r="E195" t="str">
            <v>BTF</v>
          </cell>
          <cell r="F195" t="str">
            <v>Distribution Load</v>
          </cell>
          <cell r="G195">
            <v>1</v>
          </cell>
        </row>
        <row r="196">
          <cell r="B196" t="str">
            <v>P3213 East Airdrie 199S Distribution Load</v>
          </cell>
          <cell r="C196" t="str">
            <v>57-Airdrie</v>
          </cell>
          <cell r="D196" t="str">
            <v/>
          </cell>
          <cell r="E196" t="str">
            <v>BTF</v>
          </cell>
          <cell r="F196" t="str">
            <v>Distribution Load</v>
          </cell>
          <cell r="G196">
            <v>1</v>
          </cell>
        </row>
        <row r="197">
          <cell r="B197" t="str">
            <v>P3046 Marguerite Lake Compressed Air Phase 2</v>
          </cell>
          <cell r="C197" t="str">
            <v>28-Cold Lake</v>
          </cell>
          <cell r="D197" t="str">
            <v>CNTL-02</v>
          </cell>
          <cell r="E197" t="str">
            <v>Connection</v>
          </cell>
          <cell r="F197" t="str">
            <v>Compressed Air Energy Storage</v>
          </cell>
          <cell r="G197">
            <v>3</v>
          </cell>
        </row>
        <row r="198">
          <cell r="B198" t="str">
            <v>P3082 Fort Nelson Generating Station Gas</v>
          </cell>
          <cell r="C198" t="str">
            <v>17-Rainbow Lake</v>
          </cell>
          <cell r="D198" t="str">
            <v/>
          </cell>
          <cell r="E198" t="str">
            <v>BTF</v>
          </cell>
          <cell r="F198" t="str">
            <v>Gas</v>
          </cell>
          <cell r="G198">
            <v>5</v>
          </cell>
        </row>
        <row r="199">
          <cell r="B199" t="str">
            <v>P2639 Kearl 9900S Load</v>
          </cell>
          <cell r="C199" t="str">
            <v>25-Fort McMurray</v>
          </cell>
          <cell r="D199" t="str">
            <v/>
          </cell>
          <cell r="E199" t="str">
            <v>Connection</v>
          </cell>
          <cell r="F199" t="str">
            <v>Industrial Load</v>
          </cell>
          <cell r="G199">
            <v>2</v>
          </cell>
        </row>
        <row r="200">
          <cell r="B200" t="str">
            <v>P3065 UK LS2 &amp; LS6 Solar Battery</v>
          </cell>
          <cell r="C200" t="str">
            <v>23-Valleyview</v>
          </cell>
          <cell r="D200" t="str">
            <v>NW-02</v>
          </cell>
          <cell r="E200" t="str">
            <v>Connection</v>
          </cell>
          <cell r="F200" t="str">
            <v>Solar + Storage</v>
          </cell>
          <cell r="G200">
            <v>3</v>
          </cell>
        </row>
        <row r="201">
          <cell r="B201" t="str">
            <v>P3069 Prairie Lights Power Unit 2 MPC Gas</v>
          </cell>
          <cell r="C201" t="str">
            <v>20-Grande Prairie</v>
          </cell>
          <cell r="D201" t="str">
            <v>NW-02</v>
          </cell>
          <cell r="E201" t="str">
            <v>Connection</v>
          </cell>
          <cell r="F201" t="str">
            <v>Gas</v>
          </cell>
          <cell r="G201">
            <v>3</v>
          </cell>
        </row>
        <row r="202">
          <cell r="B202" t="str">
            <v>P3072 Greenview Area Load</v>
          </cell>
          <cell r="C202" t="str">
            <v>22-Grande Cache</v>
          </cell>
          <cell r="D202" t="str">
            <v/>
          </cell>
          <cell r="E202" t="str">
            <v>Connection</v>
          </cell>
          <cell r="F202" t="str">
            <v>Distribution Load</v>
          </cell>
          <cell r="G202">
            <v>3</v>
          </cell>
        </row>
        <row r="203">
          <cell r="B203" t="str">
            <v>P3076 Thornton Area Load</v>
          </cell>
          <cell r="C203" t="str">
            <v>22-Grande Cache</v>
          </cell>
          <cell r="D203" t="str">
            <v/>
          </cell>
          <cell r="E203" t="str">
            <v>Connection</v>
          </cell>
          <cell r="F203" t="str">
            <v>Distribution Load</v>
          </cell>
          <cell r="G203">
            <v>3</v>
          </cell>
        </row>
        <row r="204">
          <cell r="B204" t="str">
            <v>P3083 Keephills Data Centre Phase 1.1</v>
          </cell>
          <cell r="C204" t="str">
            <v>40-Wabamun</v>
          </cell>
          <cell r="D204" t="str">
            <v/>
          </cell>
          <cell r="E204" t="str">
            <v>Connection</v>
          </cell>
          <cell r="F204" t="str">
            <v>Data Load</v>
          </cell>
          <cell r="G204">
            <v>2</v>
          </cell>
        </row>
        <row r="205">
          <cell r="B205" t="str">
            <v>P3100 Pembina Redwater Modification</v>
          </cell>
          <cell r="C205" t="str">
            <v>33-Fort Saskatchewan</v>
          </cell>
          <cell r="D205" t="str">
            <v/>
          </cell>
          <cell r="E205" t="str">
            <v>BTF</v>
          </cell>
          <cell r="F205" t="str">
            <v>Equipment Change</v>
          </cell>
          <cell r="G205">
            <v>3</v>
          </cell>
        </row>
        <row r="206">
          <cell r="B206" t="str">
            <v>P3131 Sollair 1055S Solar Modification</v>
          </cell>
          <cell r="C206" t="str">
            <v>57-Airdrie</v>
          </cell>
          <cell r="D206" t="str">
            <v/>
          </cell>
          <cell r="E206" t="str">
            <v>BTF</v>
          </cell>
          <cell r="F206" t="str">
            <v>Solar</v>
          </cell>
          <cell r="G206">
            <v>3</v>
          </cell>
        </row>
        <row r="207">
          <cell r="B207" t="str">
            <v>P3133 Bernese 293S Contract Change</v>
          </cell>
          <cell r="C207" t="str">
            <v>60-Edmonton</v>
          </cell>
          <cell r="D207" t="str">
            <v/>
          </cell>
          <cell r="E207" t="str">
            <v>Contract</v>
          </cell>
          <cell r="F207" t="str">
            <v>Industrial Load</v>
          </cell>
          <cell r="G207">
            <v>3</v>
          </cell>
        </row>
        <row r="208">
          <cell r="B208" t="str">
            <v>P3143 Judy Creek 638S Contract Change</v>
          </cell>
          <cell r="C208" t="str">
            <v>26-Swan Hills</v>
          </cell>
          <cell r="D208" t="str">
            <v/>
          </cell>
          <cell r="E208" t="str">
            <v>Contract</v>
          </cell>
          <cell r="F208" t="str">
            <v>Distribution Load</v>
          </cell>
          <cell r="G208">
            <v>6</v>
          </cell>
        </row>
        <row r="209">
          <cell r="B209" t="str">
            <v>P3094 HEFF Load</v>
          </cell>
          <cell r="C209" t="str">
            <v>33-Fort Saskatchewan</v>
          </cell>
          <cell r="D209" t="str">
            <v/>
          </cell>
          <cell r="E209" t="str">
            <v>Connection</v>
          </cell>
          <cell r="F209" t="str">
            <v>Industrial Load</v>
          </cell>
          <cell r="G209">
            <v>2</v>
          </cell>
        </row>
        <row r="210">
          <cell r="B210" t="str">
            <v>P3194 Olds 55S Contract Change</v>
          </cell>
          <cell r="C210" t="str">
            <v>39-Didsbury</v>
          </cell>
          <cell r="D210" t="str">
            <v/>
          </cell>
          <cell r="E210" t="str">
            <v>Contract</v>
          </cell>
          <cell r="F210" t="str">
            <v>Distribution Load</v>
          </cell>
          <cell r="G210">
            <v>1</v>
          </cell>
        </row>
        <row r="211">
          <cell r="B211" t="str">
            <v>P3145 Mobil Oil Carson Creek 887S Contract Change</v>
          </cell>
          <cell r="C211" t="str">
            <v>26-Swan Hills</v>
          </cell>
          <cell r="D211" t="str">
            <v/>
          </cell>
          <cell r="E211" t="str">
            <v>Contract</v>
          </cell>
          <cell r="F211" t="str">
            <v>Distribution Load</v>
          </cell>
          <cell r="G211">
            <v>3</v>
          </cell>
        </row>
        <row r="212">
          <cell r="B212" t="str">
            <v>P3149 Imperial Oil Carson Lake 996S Contract Change</v>
          </cell>
          <cell r="C212" t="str">
            <v>26-Swan Hills</v>
          </cell>
          <cell r="D212" t="str">
            <v/>
          </cell>
          <cell r="E212" t="str">
            <v>Contract</v>
          </cell>
          <cell r="F212" t="str">
            <v>Distribution Load</v>
          </cell>
          <cell r="G212">
            <v>3</v>
          </cell>
        </row>
        <row r="213">
          <cell r="B213" t="str">
            <v>P3180 Flatbush 500S Contract Change</v>
          </cell>
          <cell r="C213" t="str">
            <v>27-Athabasca/Lac La Biche</v>
          </cell>
          <cell r="D213" t="str">
            <v/>
          </cell>
          <cell r="E213" t="str">
            <v>Contract</v>
          </cell>
          <cell r="F213" t="str">
            <v>Distribution Load</v>
          </cell>
          <cell r="G213">
            <v>6</v>
          </cell>
        </row>
        <row r="214">
          <cell r="B214" t="str">
            <v>P3184 Big Valley 778S Contract Change</v>
          </cell>
          <cell r="C214" t="str">
            <v>42-Hanna</v>
          </cell>
          <cell r="D214" t="str">
            <v/>
          </cell>
          <cell r="E214" t="str">
            <v>Contract</v>
          </cell>
          <cell r="F214" t="str">
            <v>Distribution Load</v>
          </cell>
          <cell r="G214">
            <v>6</v>
          </cell>
        </row>
        <row r="215">
          <cell r="B215" t="str">
            <v>P3185 Anderson 801S Contract Change</v>
          </cell>
          <cell r="C215" t="str">
            <v>43-Sheerness</v>
          </cell>
          <cell r="D215" t="str">
            <v/>
          </cell>
          <cell r="E215" t="str">
            <v>Contract</v>
          </cell>
          <cell r="F215" t="str">
            <v>Distribution Load</v>
          </cell>
          <cell r="G215">
            <v>6</v>
          </cell>
        </row>
        <row r="216">
          <cell r="B216" t="str">
            <v>P3186 Briker 880S Contract Change</v>
          </cell>
          <cell r="C216" t="str">
            <v>13-Lloydminster</v>
          </cell>
          <cell r="D216" t="str">
            <v/>
          </cell>
          <cell r="E216" t="str">
            <v>Contract</v>
          </cell>
          <cell r="F216" t="str">
            <v>Distribution Load</v>
          </cell>
          <cell r="G216">
            <v>6</v>
          </cell>
        </row>
        <row r="217">
          <cell r="B217" t="str">
            <v>P3187 Marion Lake 873S Contract Change</v>
          </cell>
          <cell r="C217" t="str">
            <v>42-Hanna</v>
          </cell>
          <cell r="D217" t="str">
            <v/>
          </cell>
          <cell r="E217" t="str">
            <v>Contract</v>
          </cell>
          <cell r="F217" t="str">
            <v>Distribution Load</v>
          </cell>
          <cell r="G217">
            <v>6</v>
          </cell>
        </row>
        <row r="218">
          <cell r="B218" t="str">
            <v>P3188 Morse River 851S Contract Change</v>
          </cell>
          <cell r="C218" t="str">
            <v>26-Swan Hills</v>
          </cell>
          <cell r="D218" t="str">
            <v/>
          </cell>
          <cell r="E218" t="str">
            <v>Contract</v>
          </cell>
          <cell r="F218" t="str">
            <v>Distribution Load</v>
          </cell>
          <cell r="G218">
            <v>6</v>
          </cell>
        </row>
        <row r="219">
          <cell r="B219" t="str">
            <v>P3202 Haynes 482S Contract Change</v>
          </cell>
          <cell r="C219" t="str">
            <v>35-Red Deer</v>
          </cell>
          <cell r="D219" t="str">
            <v/>
          </cell>
          <cell r="E219" t="str">
            <v>Contract</v>
          </cell>
          <cell r="F219" t="str">
            <v>Distribution Load</v>
          </cell>
          <cell r="G219">
            <v>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isclaimer"/>
      <sheetName val="Contract Data"/>
      <sheetName val="Abbreviations"/>
      <sheetName val="Notes"/>
    </sheetNames>
    <sheetDataSet>
      <sheetData sheetId="0"/>
      <sheetData sheetId="1">
        <row r="3">
          <cell r="C3" t="str">
            <v>Facility Name</v>
          </cell>
          <cell r="D3" t="str">
            <v>Supplier Legal Name</v>
          </cell>
          <cell r="E3" t="str">
            <v>Contract Status</v>
          </cell>
          <cell r="F3" t="str">
            <v>Milestone Commercial Operation Date</v>
          </cell>
          <cell r="G3" t="str">
            <v>Term Start Date</v>
          </cell>
          <cell r="H3" t="str">
            <v>Term End Date</v>
          </cell>
          <cell r="I3" t="str">
            <v>Actual Term</v>
          </cell>
          <cell r="J3" t="str">
            <v>Fuel Group</v>
          </cell>
          <cell r="K3" t="str">
            <v>Technology</v>
          </cell>
          <cell r="L3" t="str">
            <v>Fuel Type</v>
          </cell>
          <cell r="M3" t="str">
            <v>Connection Type</v>
          </cell>
          <cell r="N3" t="str">
            <v>Closest City/Town</v>
          </cell>
          <cell r="O3" t="str">
            <v>Upper Municipality</v>
          </cell>
          <cell r="P3" t="str">
            <v>IESO Zone</v>
          </cell>
        </row>
        <row r="4">
          <cell r="C4" t="str">
            <v>Atikokan Generating Station</v>
          </cell>
          <cell r="D4" t="str">
            <v>Ontario Power Generation Inc.</v>
          </cell>
          <cell r="E4" t="str">
            <v>CO</v>
          </cell>
          <cell r="F4">
            <v>41820</v>
          </cell>
          <cell r="G4">
            <v>41844</v>
          </cell>
          <cell r="H4">
            <v>47322</v>
          </cell>
          <cell r="I4" t="str">
            <v>14 years, 11 months, 29 days</v>
          </cell>
          <cell r="J4" t="str">
            <v>Renewables</v>
          </cell>
          <cell r="K4" t="str">
            <v>Rankine Cycle</v>
          </cell>
          <cell r="L4" t="str">
            <v>Biomass</v>
          </cell>
          <cell r="M4" t="str">
            <v>Tx</v>
          </cell>
          <cell r="N4" t="str">
            <v>Atikokan</v>
          </cell>
          <cell r="O4" t="str">
            <v>Rainy River</v>
          </cell>
          <cell r="P4" t="str">
            <v>Northwest</v>
          </cell>
        </row>
        <row r="5">
          <cell r="C5" t="str">
            <v>Bruce Unit 1</v>
          </cell>
          <cell r="D5" t="str">
            <v>Bruce Power LP</v>
          </cell>
          <cell r="E5" t="str">
            <v>CO</v>
          </cell>
          <cell r="G5">
            <v>41204</v>
          </cell>
          <cell r="H5">
            <v>52596</v>
          </cell>
          <cell r="I5" t="str">
            <v>31 years, 2 months, 9 days</v>
          </cell>
          <cell r="J5" t="str">
            <v>Nuclear</v>
          </cell>
          <cell r="K5" t="str">
            <v>Rankine Cycle CANDU Reactor</v>
          </cell>
          <cell r="L5" t="str">
            <v>Uranium</v>
          </cell>
          <cell r="M5" t="str">
            <v>Tx</v>
          </cell>
          <cell r="N5" t="str">
            <v>Tiverton</v>
          </cell>
          <cell r="O5" t="str">
            <v>Bruce</v>
          </cell>
          <cell r="P5" t="str">
            <v>Bruce</v>
          </cell>
        </row>
        <row r="6">
          <cell r="C6" t="str">
            <v>Bruce Unit 2</v>
          </cell>
          <cell r="D6" t="str">
            <v>Bruce Power LP</v>
          </cell>
          <cell r="E6" t="str">
            <v>CO</v>
          </cell>
          <cell r="G6">
            <v>41213</v>
          </cell>
          <cell r="H6">
            <v>52596</v>
          </cell>
          <cell r="I6" t="str">
            <v>31 years, 2 months, 0 days</v>
          </cell>
          <cell r="J6" t="str">
            <v>Nuclear</v>
          </cell>
          <cell r="K6" t="str">
            <v>Rankine Cycle CANDU Reactor</v>
          </cell>
          <cell r="L6" t="str">
            <v>Uranium</v>
          </cell>
          <cell r="M6" t="str">
            <v>Tx</v>
          </cell>
          <cell r="N6" t="str">
            <v>Tiverton</v>
          </cell>
          <cell r="O6" t="str">
            <v>Bruce</v>
          </cell>
          <cell r="P6" t="str">
            <v>Bruce</v>
          </cell>
        </row>
        <row r="7">
          <cell r="C7" t="str">
            <v>Bruce Unit 3</v>
          </cell>
          <cell r="D7" t="str">
            <v>Bruce Power LP</v>
          </cell>
          <cell r="E7" t="str">
            <v>CO</v>
          </cell>
          <cell r="G7">
            <v>38656</v>
          </cell>
          <cell r="H7">
            <v>59171</v>
          </cell>
          <cell r="I7" t="str">
            <v>56 years, 2 months, 0 days</v>
          </cell>
          <cell r="J7" t="str">
            <v>Nuclear</v>
          </cell>
          <cell r="K7" t="str">
            <v>Rankine Cycle CANDU Reactor</v>
          </cell>
          <cell r="L7" t="str">
            <v>Uranium</v>
          </cell>
          <cell r="M7" t="str">
            <v>Tx</v>
          </cell>
          <cell r="N7" t="str">
            <v>Tiverton</v>
          </cell>
          <cell r="O7" t="str">
            <v>Bruce</v>
          </cell>
          <cell r="P7" t="str">
            <v>Bruce</v>
          </cell>
        </row>
        <row r="8">
          <cell r="C8" t="str">
            <v>Bruce Unit 4</v>
          </cell>
          <cell r="D8" t="str">
            <v>Bruce Power LP</v>
          </cell>
          <cell r="E8" t="str">
            <v>CO</v>
          </cell>
          <cell r="G8">
            <v>38656</v>
          </cell>
          <cell r="H8">
            <v>59536</v>
          </cell>
          <cell r="I8" t="str">
            <v>57 years, 2 months, 0 days</v>
          </cell>
          <cell r="J8" t="str">
            <v>Nuclear</v>
          </cell>
          <cell r="K8" t="str">
            <v>Rankine Cycle CANDU Reactor</v>
          </cell>
          <cell r="L8" t="str">
            <v>Uranium</v>
          </cell>
          <cell r="M8" t="str">
            <v>Tx</v>
          </cell>
          <cell r="N8" t="str">
            <v>Tiverton</v>
          </cell>
          <cell r="O8" t="str">
            <v>Bruce</v>
          </cell>
          <cell r="P8" t="str">
            <v>Bruce</v>
          </cell>
        </row>
        <row r="9">
          <cell r="C9" t="str">
            <v>Bruce Unit 5</v>
          </cell>
          <cell r="D9" t="str">
            <v>Bruce Power LP</v>
          </cell>
          <cell r="E9" t="str">
            <v>CO</v>
          </cell>
          <cell r="G9">
            <v>42370</v>
          </cell>
          <cell r="H9">
            <v>59536</v>
          </cell>
          <cell r="I9" t="str">
            <v>46 years, 11 months, 30 days</v>
          </cell>
          <cell r="J9" t="str">
            <v>Nuclear</v>
          </cell>
          <cell r="K9" t="str">
            <v>Rankine Cycle CANDU Reactor</v>
          </cell>
          <cell r="L9" t="str">
            <v>Uranium</v>
          </cell>
          <cell r="M9" t="str">
            <v>Tx</v>
          </cell>
          <cell r="N9" t="str">
            <v>Tiverton</v>
          </cell>
          <cell r="O9" t="str">
            <v>Bruce</v>
          </cell>
          <cell r="P9" t="str">
            <v>Bruce</v>
          </cell>
        </row>
        <row r="10">
          <cell r="C10" t="str">
            <v>Bruce Unit 6</v>
          </cell>
          <cell r="D10" t="str">
            <v>Bruce Power LP</v>
          </cell>
          <cell r="E10" t="str">
            <v>CO</v>
          </cell>
          <cell r="G10">
            <v>42370</v>
          </cell>
          <cell r="H10">
            <v>58075</v>
          </cell>
          <cell r="I10" t="str">
            <v>42 years, 11 months, 30 days</v>
          </cell>
          <cell r="J10" t="str">
            <v>Nuclear</v>
          </cell>
          <cell r="K10" t="str">
            <v>Rankine Cycle CANDU Reactor</v>
          </cell>
          <cell r="L10" t="str">
            <v>Uranium</v>
          </cell>
          <cell r="M10" t="str">
            <v>Tx</v>
          </cell>
          <cell r="N10" t="str">
            <v>Tiverton</v>
          </cell>
          <cell r="O10" t="str">
            <v>Bruce</v>
          </cell>
          <cell r="P10" t="str">
            <v>Bruce</v>
          </cell>
        </row>
        <row r="11">
          <cell r="C11" t="str">
            <v>Bruce Unit 7</v>
          </cell>
          <cell r="D11" t="str">
            <v>Bruce Power LP</v>
          </cell>
          <cell r="E11" t="str">
            <v>CO</v>
          </cell>
          <cell r="G11">
            <v>42370</v>
          </cell>
          <cell r="H11">
            <v>59901</v>
          </cell>
          <cell r="I11" t="str">
            <v>47 years, 11 months, 30 days</v>
          </cell>
          <cell r="J11" t="str">
            <v>Nuclear</v>
          </cell>
          <cell r="K11" t="str">
            <v>Rankine Cycle CANDU Reactor</v>
          </cell>
          <cell r="L11" t="str">
            <v>Uranium</v>
          </cell>
          <cell r="M11" t="str">
            <v>Tx</v>
          </cell>
          <cell r="N11" t="str">
            <v>Tiverton</v>
          </cell>
          <cell r="O11" t="str">
            <v>Bruce</v>
          </cell>
          <cell r="P11" t="str">
            <v>Bruce</v>
          </cell>
        </row>
        <row r="12">
          <cell r="C12" t="str">
            <v>Bruce Unit 8</v>
          </cell>
          <cell r="D12" t="str">
            <v>Bruce Power LP</v>
          </cell>
          <cell r="E12" t="str">
            <v>CO</v>
          </cell>
          <cell r="G12">
            <v>42370</v>
          </cell>
          <cell r="H12">
            <v>59901</v>
          </cell>
          <cell r="I12" t="str">
            <v>47 years, 11 months, 30 days</v>
          </cell>
          <cell r="J12" t="str">
            <v>Nuclear</v>
          </cell>
          <cell r="K12" t="str">
            <v>Rankine Cycle CANDU Reactor</v>
          </cell>
          <cell r="L12" t="str">
            <v>Uranium</v>
          </cell>
          <cell r="M12" t="str">
            <v>Tx</v>
          </cell>
          <cell r="N12" t="str">
            <v>Tiverton</v>
          </cell>
          <cell r="O12" t="str">
            <v>Bruce</v>
          </cell>
          <cell r="P12" t="str">
            <v>Bruce</v>
          </cell>
        </row>
        <row r="13">
          <cell r="C13" t="str">
            <v>Goreway Station</v>
          </cell>
          <cell r="D13" t="str">
            <v>Goreway Station Partnership</v>
          </cell>
          <cell r="E13" t="str">
            <v>CO</v>
          </cell>
          <cell r="F13">
            <v>39630</v>
          </cell>
          <cell r="G13">
            <v>39968</v>
          </cell>
          <cell r="H13">
            <v>49429</v>
          </cell>
          <cell r="I13" t="str">
            <v>25 years, 10 months, 26 days</v>
          </cell>
          <cell r="J13" t="str">
            <v>Gas</v>
          </cell>
          <cell r="K13" t="str">
            <v>Combined Cycle</v>
          </cell>
          <cell r="L13" t="str">
            <v>Natural Gas</v>
          </cell>
          <cell r="M13" t="str">
            <v>Tx</v>
          </cell>
          <cell r="N13" t="str">
            <v>Brampton</v>
          </cell>
          <cell r="O13" t="str">
            <v>Peel</v>
          </cell>
          <cell r="P13" t="str">
            <v>Toronto</v>
          </cell>
        </row>
        <row r="14">
          <cell r="C14" t="str">
            <v>Portlands Energy Centre</v>
          </cell>
          <cell r="D14" t="str">
            <v>Portlands Energy Centre L.P.</v>
          </cell>
          <cell r="E14" t="str">
            <v>CO</v>
          </cell>
          <cell r="F14">
            <v>39965</v>
          </cell>
          <cell r="G14">
            <v>39925</v>
          </cell>
          <cell r="H14">
            <v>49055</v>
          </cell>
          <cell r="I14" t="str">
            <v>24 years, 11 months, 30 days</v>
          </cell>
          <cell r="J14" t="str">
            <v>Gas</v>
          </cell>
          <cell r="K14" t="str">
            <v>Combined Cycle</v>
          </cell>
          <cell r="L14" t="str">
            <v>Natural Gas</v>
          </cell>
          <cell r="M14" t="str">
            <v>Tx</v>
          </cell>
          <cell r="N14" t="str">
            <v>Toronto</v>
          </cell>
          <cell r="O14" t="str">
            <v>Toronto</v>
          </cell>
          <cell r="P14" t="str">
            <v>Toronto</v>
          </cell>
        </row>
        <row r="15">
          <cell r="C15" t="str">
            <v>Halton Hills Generating Station</v>
          </cell>
          <cell r="D15" t="str">
            <v>Portlands Energy Centre L.P.</v>
          </cell>
          <cell r="E15" t="str">
            <v>CO</v>
          </cell>
          <cell r="F15">
            <v>40329</v>
          </cell>
          <cell r="G15">
            <v>40422</v>
          </cell>
          <cell r="H15">
            <v>49429</v>
          </cell>
          <cell r="I15" t="str">
            <v>24 years, 7 months, 29 days</v>
          </cell>
          <cell r="J15" t="str">
            <v>Gas</v>
          </cell>
          <cell r="K15" t="str">
            <v>Combined Cycle</v>
          </cell>
          <cell r="L15" t="str">
            <v>Natural Gas</v>
          </cell>
          <cell r="M15" t="str">
            <v>Tx</v>
          </cell>
          <cell r="N15" t="str">
            <v>Halton Hills</v>
          </cell>
          <cell r="O15" t="str">
            <v>Halton</v>
          </cell>
          <cell r="P15" t="str">
            <v>Southwest</v>
          </cell>
        </row>
        <row r="16">
          <cell r="C16" t="str">
            <v>Greenfield Energy Centre</v>
          </cell>
          <cell r="D16" t="str">
            <v>Greenfield Energy Centre LP</v>
          </cell>
          <cell r="E16" t="str">
            <v>CO</v>
          </cell>
          <cell r="F16">
            <v>39750</v>
          </cell>
          <cell r="G16">
            <v>39737</v>
          </cell>
          <cell r="H16">
            <v>49429</v>
          </cell>
          <cell r="I16" t="str">
            <v>26 years, 6 months, 14 days</v>
          </cell>
          <cell r="J16" t="str">
            <v>Gas</v>
          </cell>
          <cell r="K16" t="str">
            <v>Combined Cycle</v>
          </cell>
          <cell r="L16" t="str">
            <v>Natural Gas</v>
          </cell>
          <cell r="M16" t="str">
            <v>Tx</v>
          </cell>
          <cell r="N16" t="str">
            <v>Courtright</v>
          </cell>
          <cell r="O16" t="str">
            <v>Lambton</v>
          </cell>
          <cell r="P16" t="str">
            <v>West</v>
          </cell>
        </row>
        <row r="17">
          <cell r="C17" t="str">
            <v>St. Clair Energy Centre</v>
          </cell>
          <cell r="D17" t="str">
            <v>St. Clair Power LP</v>
          </cell>
          <cell r="E17" t="str">
            <v>CO</v>
          </cell>
          <cell r="F17">
            <v>39902</v>
          </cell>
          <cell r="G17">
            <v>39902</v>
          </cell>
          <cell r="H17">
            <v>49429</v>
          </cell>
          <cell r="I17" t="str">
            <v>26 years, 1 months, 0 days</v>
          </cell>
          <cell r="J17" t="str">
            <v>Gas</v>
          </cell>
          <cell r="K17" t="str">
            <v>Combined Cycle</v>
          </cell>
          <cell r="L17" t="str">
            <v>Natural Gas</v>
          </cell>
          <cell r="M17" t="str">
            <v>Tx</v>
          </cell>
          <cell r="N17" t="str">
            <v>Corunna</v>
          </cell>
          <cell r="O17" t="str">
            <v>Lambton</v>
          </cell>
          <cell r="P17" t="str">
            <v>West</v>
          </cell>
        </row>
        <row r="18">
          <cell r="C18" t="str">
            <v>St. Clair Energy Centre (Expansion)</v>
          </cell>
          <cell r="D18" t="str">
            <v>St. Clair Power LP</v>
          </cell>
          <cell r="E18" t="str">
            <v>UD</v>
          </cell>
          <cell r="F18">
            <v>45778</v>
          </cell>
          <cell r="J18" t="str">
            <v>Gas</v>
          </cell>
          <cell r="K18" t="str">
            <v>Combined Cycle</v>
          </cell>
          <cell r="L18" t="str">
            <v>Natural Gas</v>
          </cell>
          <cell r="M18" t="str">
            <v>Tx</v>
          </cell>
          <cell r="N18" t="str">
            <v>Corunna</v>
          </cell>
          <cell r="O18" t="str">
            <v>Lambton</v>
          </cell>
          <cell r="P18" t="str">
            <v>West</v>
          </cell>
        </row>
        <row r="19">
          <cell r="C19" t="str">
            <v>Green Electron Power Plant</v>
          </cell>
          <cell r="D19" t="str">
            <v>Greenfield South Power Corporation</v>
          </cell>
          <cell r="E19" t="str">
            <v>CO</v>
          </cell>
          <cell r="F19">
            <v>42979</v>
          </cell>
          <cell r="G19">
            <v>42809</v>
          </cell>
          <cell r="H19">
            <v>50113</v>
          </cell>
          <cell r="I19" t="str">
            <v>19 years, 11 months, 27 days</v>
          </cell>
          <cell r="J19" t="str">
            <v>Gas</v>
          </cell>
          <cell r="K19" t="str">
            <v>Combined Cycle</v>
          </cell>
          <cell r="L19" t="str">
            <v>Natural Gas</v>
          </cell>
          <cell r="M19" t="str">
            <v>Tx</v>
          </cell>
          <cell r="N19" t="str">
            <v>Oakville</v>
          </cell>
          <cell r="O19" t="str">
            <v>Halton</v>
          </cell>
          <cell r="P19" t="str">
            <v>West</v>
          </cell>
        </row>
        <row r="20">
          <cell r="C20" t="str">
            <v>Napanee Generating Station</v>
          </cell>
          <cell r="D20" t="str">
            <v>Portlands Energy Centre L.P.</v>
          </cell>
          <cell r="E20" t="str">
            <v>CO</v>
          </cell>
          <cell r="F20">
            <v>43465</v>
          </cell>
          <cell r="G20">
            <v>43903</v>
          </cell>
          <cell r="H20">
            <v>51207</v>
          </cell>
          <cell r="I20" t="str">
            <v>19 years, 11 months, 28 days</v>
          </cell>
          <cell r="J20" t="str">
            <v>Gas</v>
          </cell>
          <cell r="K20" t="str">
            <v>Combined Cycle</v>
          </cell>
          <cell r="L20" t="str">
            <v>Natural Gas</v>
          </cell>
          <cell r="M20" t="str">
            <v>Tx</v>
          </cell>
          <cell r="N20" t="str">
            <v>Belmont</v>
          </cell>
          <cell r="O20" t="str">
            <v>Elgin</v>
          </cell>
          <cell r="P20" t="str">
            <v>East</v>
          </cell>
        </row>
        <row r="21">
          <cell r="C21" t="str">
            <v>Brighton Beach Power Station</v>
          </cell>
          <cell r="D21" t="str">
            <v>Brighton Beach Power L.P.</v>
          </cell>
          <cell r="E21" t="str">
            <v>CO</v>
          </cell>
          <cell r="F21">
            <v>45489</v>
          </cell>
          <cell r="G21">
            <v>45489</v>
          </cell>
          <cell r="H21">
            <v>49140</v>
          </cell>
          <cell r="I21" t="str">
            <v>9 years, 11 months, 29 days</v>
          </cell>
          <cell r="J21" t="str">
            <v>Gas</v>
          </cell>
          <cell r="K21" t="str">
            <v>Combined Cycle</v>
          </cell>
          <cell r="L21" t="str">
            <v>Natural Gas</v>
          </cell>
          <cell r="M21" t="str">
            <v>Tx</v>
          </cell>
          <cell r="N21" t="str">
            <v>Windsor</v>
          </cell>
          <cell r="O21" t="str">
            <v>Essex</v>
          </cell>
          <cell r="P21" t="str">
            <v>West</v>
          </cell>
        </row>
        <row r="22">
          <cell r="C22" t="str">
            <v>Gatineau No. 1</v>
          </cell>
          <cell r="D22" t="str">
            <v>Chaudière Hydro North LP</v>
          </cell>
          <cell r="E22" t="str">
            <v>CO</v>
          </cell>
          <cell r="F22">
            <v>43874</v>
          </cell>
          <cell r="G22">
            <v>43874</v>
          </cell>
          <cell r="H22">
            <v>58484</v>
          </cell>
          <cell r="I22" t="str">
            <v>40 years, 0 months, 0 days</v>
          </cell>
          <cell r="J22" t="str">
            <v>Renewables</v>
          </cell>
          <cell r="K22" t="str">
            <v>Run-of-River</v>
          </cell>
          <cell r="L22" t="str">
            <v>Waterpower</v>
          </cell>
          <cell r="M22" t="str">
            <v>Dx</v>
          </cell>
          <cell r="N22" t="str">
            <v>Ottawa</v>
          </cell>
          <cell r="O22" t="str">
            <v>Ottawa</v>
          </cell>
          <cell r="P22" t="str">
            <v>Ottawa</v>
          </cell>
        </row>
        <row r="23">
          <cell r="C23" t="str">
            <v>Hull No. 2</v>
          </cell>
          <cell r="D23" t="str">
            <v>Hull Energy LP</v>
          </cell>
          <cell r="E23" t="str">
            <v>CO</v>
          </cell>
          <cell r="F23">
            <v>43830</v>
          </cell>
          <cell r="G23">
            <v>44325</v>
          </cell>
          <cell r="H23">
            <v>58935</v>
          </cell>
          <cell r="I23" t="str">
            <v>40 years, 0 months, 0 days</v>
          </cell>
          <cell r="J23" t="str">
            <v>Renewables</v>
          </cell>
          <cell r="K23" t="str">
            <v>Run-of-River</v>
          </cell>
          <cell r="L23" t="str">
            <v>Waterpower</v>
          </cell>
          <cell r="M23" t="str">
            <v>Dx</v>
          </cell>
          <cell r="N23" t="str">
            <v>Ottawa</v>
          </cell>
          <cell r="O23" t="str">
            <v>Ottawa</v>
          </cell>
          <cell r="P23" t="str">
            <v>Ottawa</v>
          </cell>
        </row>
        <row r="24">
          <cell r="C24" t="str">
            <v>Durham College CHP</v>
          </cell>
          <cell r="D24" t="str">
            <v>Oshawa PUC Energy Services Inc.</v>
          </cell>
          <cell r="E24" t="str">
            <v>CO</v>
          </cell>
          <cell r="F24">
            <v>39598</v>
          </cell>
          <cell r="G24">
            <v>39518</v>
          </cell>
          <cell r="H24">
            <v>46822</v>
          </cell>
          <cell r="I24" t="str">
            <v>19 years, 11 months, 28 days</v>
          </cell>
          <cell r="J24" t="str">
            <v>Gas</v>
          </cell>
          <cell r="K24" t="str">
            <v>Simple Cycle CHP</v>
          </cell>
          <cell r="L24" t="str">
            <v>Natural Gas</v>
          </cell>
          <cell r="M24" t="str">
            <v>Dx</v>
          </cell>
          <cell r="N24" t="str">
            <v>Oshawa</v>
          </cell>
          <cell r="O24" t="str">
            <v>Durham</v>
          </cell>
          <cell r="P24" t="str">
            <v>Toronto</v>
          </cell>
        </row>
        <row r="25">
          <cell r="C25" t="str">
            <v>Warden Energy Centre</v>
          </cell>
          <cell r="D25" t="str">
            <v>Markham District Energy Inc.</v>
          </cell>
          <cell r="E25" t="str">
            <v>CO</v>
          </cell>
          <cell r="F25">
            <v>39600</v>
          </cell>
          <cell r="G25">
            <v>39603</v>
          </cell>
          <cell r="H25">
            <v>46907</v>
          </cell>
          <cell r="I25" t="str">
            <v>19 years, 11 months, 30 days</v>
          </cell>
          <cell r="J25" t="str">
            <v>Gas</v>
          </cell>
          <cell r="K25" t="str">
            <v>Simple Cycle CHP</v>
          </cell>
          <cell r="L25" t="str">
            <v>Natural Gas</v>
          </cell>
          <cell r="M25" t="str">
            <v>Dx</v>
          </cell>
          <cell r="N25" t="str">
            <v>Markham</v>
          </cell>
          <cell r="O25" t="str">
            <v>York</v>
          </cell>
          <cell r="P25" t="str">
            <v>Toronto</v>
          </cell>
        </row>
        <row r="26">
          <cell r="C26" t="str">
            <v>Great Northern Tri-Gen</v>
          </cell>
          <cell r="D26" t="str">
            <v>Soave Hydroponics Company</v>
          </cell>
          <cell r="E26" t="str">
            <v>CO</v>
          </cell>
          <cell r="F26">
            <v>39630</v>
          </cell>
          <cell r="G26">
            <v>39752</v>
          </cell>
          <cell r="H26">
            <v>47056</v>
          </cell>
          <cell r="I26" t="str">
            <v>19 years, 11 months, 29 days</v>
          </cell>
          <cell r="J26" t="str">
            <v>Gas</v>
          </cell>
          <cell r="K26" t="str">
            <v>Simple Cycle CHP</v>
          </cell>
          <cell r="L26" t="str">
            <v>Natural Gas</v>
          </cell>
          <cell r="M26" t="str">
            <v>Dx</v>
          </cell>
          <cell r="N26" t="str">
            <v>Kingsville</v>
          </cell>
          <cell r="O26" t="str">
            <v>Essex</v>
          </cell>
          <cell r="P26" t="str">
            <v>West</v>
          </cell>
        </row>
        <row r="27">
          <cell r="C27" t="str">
            <v>London District Energy</v>
          </cell>
          <cell r="D27" t="str">
            <v>London District Energy LP</v>
          </cell>
          <cell r="E27" t="str">
            <v>CO</v>
          </cell>
          <cell r="F27">
            <v>39600</v>
          </cell>
          <cell r="G27">
            <v>39813</v>
          </cell>
          <cell r="H27">
            <v>47238</v>
          </cell>
          <cell r="I27" t="str">
            <v>20 years, 3 months, 30 days</v>
          </cell>
          <cell r="J27" t="str">
            <v>Gas</v>
          </cell>
          <cell r="K27" t="str">
            <v>Combined Heat and Power</v>
          </cell>
          <cell r="L27" t="str">
            <v>Natural Gas</v>
          </cell>
          <cell r="M27" t="str">
            <v>Dx</v>
          </cell>
          <cell r="N27" t="str">
            <v>London</v>
          </cell>
          <cell r="O27" t="str">
            <v>Middlesex</v>
          </cell>
          <cell r="P27" t="str">
            <v>West</v>
          </cell>
        </row>
        <row r="28">
          <cell r="C28" t="str">
            <v>Algoma Energy By-Product Fuel Cogeneration Facility</v>
          </cell>
          <cell r="D28" t="str">
            <v>Essar Power Canada Ltd.</v>
          </cell>
          <cell r="E28" t="str">
            <v>CO</v>
          </cell>
          <cell r="F28">
            <v>39963</v>
          </cell>
          <cell r="G28">
            <v>39977</v>
          </cell>
          <cell r="H28">
            <v>47281</v>
          </cell>
          <cell r="I28" t="str">
            <v>19 years, 11 months, 30 days</v>
          </cell>
          <cell r="J28" t="str">
            <v>Gas</v>
          </cell>
          <cell r="K28" t="str">
            <v>Rankine Cycle CHP</v>
          </cell>
          <cell r="L28" t="str">
            <v>By Product Gas</v>
          </cell>
          <cell r="M28" t="str">
            <v>Dx</v>
          </cell>
          <cell r="N28" t="str">
            <v>Sault Ste. Marie</v>
          </cell>
          <cell r="O28" t="str">
            <v>Algoma</v>
          </cell>
          <cell r="P28" t="str">
            <v>Northeast</v>
          </cell>
        </row>
        <row r="29">
          <cell r="C29" t="str">
            <v>East Windsor CoGen</v>
          </cell>
          <cell r="D29" t="str">
            <v>East Windsor Cogeneration LP</v>
          </cell>
          <cell r="E29" t="str">
            <v>CO</v>
          </cell>
          <cell r="F29">
            <v>39965</v>
          </cell>
          <cell r="G29">
            <v>40123</v>
          </cell>
          <cell r="H29">
            <v>47427</v>
          </cell>
          <cell r="I29" t="str">
            <v>19 years, 11 months, 30 days</v>
          </cell>
          <cell r="J29" t="str">
            <v>Gas</v>
          </cell>
          <cell r="K29" t="str">
            <v>Simple Cycle CHP</v>
          </cell>
          <cell r="L29" t="str">
            <v>Natural Gas</v>
          </cell>
          <cell r="M29" t="str">
            <v>Tx</v>
          </cell>
          <cell r="N29" t="str">
            <v>Windsor</v>
          </cell>
          <cell r="O29" t="str">
            <v>Essex</v>
          </cell>
          <cell r="P29" t="str">
            <v>West</v>
          </cell>
        </row>
        <row r="30">
          <cell r="C30" t="str">
            <v>Thorold Cogeneration Project</v>
          </cell>
          <cell r="D30" t="str">
            <v>Thorold CoGen L.P.</v>
          </cell>
          <cell r="E30" t="str">
            <v>CO</v>
          </cell>
          <cell r="F30">
            <v>40329</v>
          </cell>
          <cell r="G30">
            <v>40265</v>
          </cell>
          <cell r="H30">
            <v>49429</v>
          </cell>
          <cell r="I30" t="str">
            <v>25 years, 1 months, 2 days</v>
          </cell>
          <cell r="J30" t="str">
            <v>Gas</v>
          </cell>
          <cell r="K30" t="str">
            <v>Combined Cycle CHP</v>
          </cell>
          <cell r="L30" t="str">
            <v>Natural Gas</v>
          </cell>
          <cell r="M30" t="str">
            <v>Tx</v>
          </cell>
          <cell r="N30" t="str">
            <v>St. Catharines</v>
          </cell>
          <cell r="O30" t="str">
            <v>Niagara</v>
          </cell>
          <cell r="P30" t="str">
            <v>Niagara</v>
          </cell>
        </row>
        <row r="31">
          <cell r="C31" t="str">
            <v>Hornepayne Power Inc. Plant</v>
          </cell>
          <cell r="D31" t="str">
            <v>Hornepayne Power Inc.</v>
          </cell>
          <cell r="E31" t="str">
            <v>CO</v>
          </cell>
          <cell r="F31">
            <v>41578</v>
          </cell>
          <cell r="G31">
            <v>41685</v>
          </cell>
          <cell r="H31">
            <v>47163</v>
          </cell>
          <cell r="I31" t="str">
            <v>14 years, 11 months, 30 days</v>
          </cell>
          <cell r="J31" t="str">
            <v>Renewables</v>
          </cell>
          <cell r="K31" t="str">
            <v>Rankine Cycle CHP</v>
          </cell>
          <cell r="L31" t="str">
            <v>Biomass</v>
          </cell>
          <cell r="M31" t="str">
            <v>Dx</v>
          </cell>
          <cell r="N31" t="str">
            <v>Hornepayne</v>
          </cell>
          <cell r="O31" t="str">
            <v>Algoma</v>
          </cell>
          <cell r="P31" t="str">
            <v>Northwest</v>
          </cell>
        </row>
        <row r="32">
          <cell r="C32" t="str">
            <v>Thunder Bay Condensing Turbine Project</v>
          </cell>
          <cell r="D32" t="str">
            <v>Thunder Bay Pulp and Paper Inc.</v>
          </cell>
          <cell r="E32" t="str">
            <v>CO</v>
          </cell>
          <cell r="F32">
            <v>45231</v>
          </cell>
          <cell r="G32">
            <v>45231</v>
          </cell>
          <cell r="H32">
            <v>47016</v>
          </cell>
          <cell r="I32" t="str">
            <v>4 years, 10 months, 19 days</v>
          </cell>
          <cell r="J32" t="str">
            <v>Renewables</v>
          </cell>
          <cell r="K32" t="str">
            <v>Combined Heat and Power</v>
          </cell>
          <cell r="L32" t="str">
            <v>Biomass</v>
          </cell>
          <cell r="M32" t="str">
            <v>Tx</v>
          </cell>
          <cell r="N32" t="str">
            <v>Thunder Bay</v>
          </cell>
          <cell r="O32" t="str">
            <v>Thunder Bay</v>
          </cell>
          <cell r="P32" t="str">
            <v>Northwest</v>
          </cell>
        </row>
        <row r="33">
          <cell r="C33" t="str">
            <v>Regent Park Cogeneration Facility</v>
          </cell>
          <cell r="D33" t="str">
            <v>Regent Park Energy Inc.</v>
          </cell>
          <cell r="E33" t="str">
            <v>CO</v>
          </cell>
          <cell r="F33">
            <v>43100</v>
          </cell>
          <cell r="G33">
            <v>43727</v>
          </cell>
          <cell r="H33">
            <v>51031</v>
          </cell>
          <cell r="I33" t="str">
            <v>19 years, 11 months, 30 days</v>
          </cell>
          <cell r="J33" t="str">
            <v>Gas</v>
          </cell>
          <cell r="K33" t="str">
            <v>Combined Heat and Power</v>
          </cell>
          <cell r="L33" t="str">
            <v>Natural Gas</v>
          </cell>
          <cell r="M33" t="str">
            <v>Dx</v>
          </cell>
          <cell r="N33" t="str">
            <v>Toronto</v>
          </cell>
          <cell r="O33" t="str">
            <v>Toronto</v>
          </cell>
          <cell r="P33" t="str">
            <v>Toronto</v>
          </cell>
        </row>
        <row r="34">
          <cell r="C34" t="str">
            <v>Villa Colombo Vaughan GS</v>
          </cell>
          <cell r="D34" t="str">
            <v>Villa Charities Inc.</v>
          </cell>
          <cell r="E34" t="str">
            <v>CO</v>
          </cell>
          <cell r="F34">
            <v>41989</v>
          </cell>
          <cell r="G34">
            <v>41592</v>
          </cell>
          <cell r="H34">
            <v>47693</v>
          </cell>
          <cell r="I34" t="str">
            <v>16 years, 8 months, 15 days</v>
          </cell>
          <cell r="J34" t="str">
            <v>Gas</v>
          </cell>
          <cell r="K34" t="str">
            <v>Combined Heat and Power</v>
          </cell>
          <cell r="L34" t="str">
            <v>Natural Gas</v>
          </cell>
          <cell r="M34" t="str">
            <v>Dx</v>
          </cell>
          <cell r="N34" t="str">
            <v>Kleinburg</v>
          </cell>
          <cell r="O34" t="str">
            <v>York</v>
          </cell>
          <cell r="P34" t="str">
            <v>Toronto</v>
          </cell>
        </row>
        <row r="35">
          <cell r="C35" t="str">
            <v>Birchmount Energy Centre</v>
          </cell>
          <cell r="D35" t="str">
            <v>Markham District Energy Inc.</v>
          </cell>
          <cell r="E35" t="str">
            <v>CO</v>
          </cell>
          <cell r="F35">
            <v>41888</v>
          </cell>
          <cell r="G35">
            <v>41631</v>
          </cell>
          <cell r="H35">
            <v>48935</v>
          </cell>
          <cell r="I35" t="str">
            <v>19 years, 11 months, 29 days</v>
          </cell>
          <cell r="J35" t="str">
            <v>Gas</v>
          </cell>
          <cell r="K35" t="str">
            <v>Combined Heat and Power</v>
          </cell>
          <cell r="L35" t="str">
            <v>Natural Gas</v>
          </cell>
          <cell r="M35" t="str">
            <v>Dx</v>
          </cell>
          <cell r="N35" t="str">
            <v>Markham</v>
          </cell>
          <cell r="O35" t="str">
            <v>York</v>
          </cell>
          <cell r="P35" t="str">
            <v>Toronto</v>
          </cell>
        </row>
        <row r="36">
          <cell r="C36" t="str">
            <v>Rosa Flora Growers Limited</v>
          </cell>
          <cell r="D36" t="str">
            <v>Rosa Flora Growers Limited</v>
          </cell>
          <cell r="E36" t="str">
            <v>CO</v>
          </cell>
          <cell r="F36">
            <v>42320</v>
          </cell>
          <cell r="G36">
            <v>42320</v>
          </cell>
          <cell r="H36">
            <v>49624</v>
          </cell>
          <cell r="I36" t="str">
            <v>19 years, 11 months, 30 days</v>
          </cell>
          <cell r="J36" t="str">
            <v>Gas</v>
          </cell>
          <cell r="K36" t="str">
            <v>Combined Heat and Power</v>
          </cell>
          <cell r="L36" t="str">
            <v>Natural Gas</v>
          </cell>
          <cell r="M36" t="str">
            <v>Dx</v>
          </cell>
          <cell r="N36" t="str">
            <v>Dunnville</v>
          </cell>
          <cell r="O36" t="str">
            <v>Haldimand</v>
          </cell>
          <cell r="P36" t="str">
            <v>Niagara</v>
          </cell>
        </row>
        <row r="37">
          <cell r="C37" t="str">
            <v>Bur Oak Energy Centre</v>
          </cell>
          <cell r="D37" t="str">
            <v>Markham District Energy Inc.</v>
          </cell>
          <cell r="E37" t="str">
            <v>CO</v>
          </cell>
          <cell r="F37">
            <v>41888</v>
          </cell>
          <cell r="G37">
            <v>41690</v>
          </cell>
          <cell r="H37">
            <v>48994</v>
          </cell>
          <cell r="I37" t="str">
            <v>19 years, 11 months, 30 days</v>
          </cell>
          <cell r="J37" t="str">
            <v>Gas</v>
          </cell>
          <cell r="K37" t="str">
            <v>Combined Heat and Power</v>
          </cell>
          <cell r="L37" t="str">
            <v>Natural Gas</v>
          </cell>
          <cell r="M37" t="str">
            <v>Dx</v>
          </cell>
          <cell r="N37" t="str">
            <v>Markham</v>
          </cell>
          <cell r="O37" t="str">
            <v>York</v>
          </cell>
          <cell r="P37" t="str">
            <v>Toronto</v>
          </cell>
        </row>
        <row r="38">
          <cell r="C38" t="str">
            <v>Elliott CHP</v>
          </cell>
          <cell r="D38" t="str">
            <v>Elliott Cogeneration Inc.</v>
          </cell>
          <cell r="E38" t="str">
            <v>CO</v>
          </cell>
          <cell r="F38">
            <v>44012</v>
          </cell>
          <cell r="G38">
            <v>44008</v>
          </cell>
          <cell r="H38">
            <v>51312</v>
          </cell>
          <cell r="I38" t="str">
            <v>19 years, 11 months, 30 days</v>
          </cell>
          <cell r="J38" t="str">
            <v>Gas</v>
          </cell>
          <cell r="K38" t="str">
            <v>Combined Heat and Power</v>
          </cell>
          <cell r="L38" t="str">
            <v>Natural Gas</v>
          </cell>
          <cell r="M38" t="str">
            <v>Dx</v>
          </cell>
          <cell r="N38" t="str">
            <v>Leamington</v>
          </cell>
          <cell r="O38" t="str">
            <v>Essex</v>
          </cell>
          <cell r="P38" t="str">
            <v>West</v>
          </cell>
        </row>
        <row r="39">
          <cell r="C39" t="str">
            <v>Ravensbergen CHP</v>
          </cell>
          <cell r="D39" t="str">
            <v>P. Ravensbergen &amp; Sons Limited</v>
          </cell>
          <cell r="E39" t="str">
            <v>CO</v>
          </cell>
          <cell r="F39">
            <v>44012</v>
          </cell>
          <cell r="G39">
            <v>43067</v>
          </cell>
          <cell r="H39">
            <v>50371</v>
          </cell>
          <cell r="I39" t="str">
            <v>19 years, 11 months, 30 days</v>
          </cell>
          <cell r="J39" t="str">
            <v>Gas</v>
          </cell>
          <cell r="K39" t="str">
            <v>Combined Heat and Power</v>
          </cell>
          <cell r="L39" t="str">
            <v>Natural Gas</v>
          </cell>
          <cell r="M39" t="str">
            <v>Dx</v>
          </cell>
          <cell r="N39" t="str">
            <v>Smithville</v>
          </cell>
          <cell r="O39" t="str">
            <v>Niagara</v>
          </cell>
          <cell r="P39" t="str">
            <v>Niagara</v>
          </cell>
        </row>
        <row r="40">
          <cell r="C40" t="str">
            <v>Cedarline Greenhouse CHP</v>
          </cell>
          <cell r="D40" t="str">
            <v>1579303 Ontario Ltd</v>
          </cell>
          <cell r="E40" t="str">
            <v>CO</v>
          </cell>
          <cell r="F40">
            <v>44012</v>
          </cell>
          <cell r="G40">
            <v>43986</v>
          </cell>
          <cell r="H40">
            <v>51290</v>
          </cell>
          <cell r="I40" t="str">
            <v>19 years, 11 months, 30 days</v>
          </cell>
          <cell r="J40" t="str">
            <v>Gas</v>
          </cell>
          <cell r="K40" t="str">
            <v>Combined Heat and Power</v>
          </cell>
          <cell r="L40" t="str">
            <v>Natural Gas</v>
          </cell>
          <cell r="M40" t="str">
            <v>Dx</v>
          </cell>
          <cell r="N40" t="str">
            <v>Dresden</v>
          </cell>
          <cell r="O40" t="str">
            <v>Chatham-Kent</v>
          </cell>
          <cell r="P40" t="str">
            <v>West</v>
          </cell>
        </row>
        <row r="41">
          <cell r="C41" t="str">
            <v>London District Energy II</v>
          </cell>
          <cell r="D41" t="str">
            <v>London District Energy LP</v>
          </cell>
          <cell r="E41" t="str">
            <v>CO</v>
          </cell>
          <cell r="F41">
            <v>44012</v>
          </cell>
          <cell r="G41">
            <v>43845</v>
          </cell>
          <cell r="H41">
            <v>51149</v>
          </cell>
          <cell r="I41" t="str">
            <v>19 years, 11 months, 30 days</v>
          </cell>
          <cell r="J41" t="str">
            <v>Gas</v>
          </cell>
          <cell r="K41" t="str">
            <v>Combined Heat and Power</v>
          </cell>
          <cell r="L41" t="str">
            <v>Natural Gas</v>
          </cell>
          <cell r="M41" t="str">
            <v>Dx</v>
          </cell>
          <cell r="N41" t="str">
            <v>London</v>
          </cell>
          <cell r="O41" t="str">
            <v>Middlesex</v>
          </cell>
          <cell r="P41" t="str">
            <v>West</v>
          </cell>
        </row>
        <row r="42">
          <cell r="C42" t="str">
            <v>Foothill CHP</v>
          </cell>
          <cell r="D42" t="str">
            <v>Foothill Greenhouses Limited</v>
          </cell>
          <cell r="E42" t="str">
            <v>CO</v>
          </cell>
          <cell r="F42">
            <v>44012</v>
          </cell>
          <cell r="G42">
            <v>42968</v>
          </cell>
          <cell r="H42">
            <v>50272</v>
          </cell>
          <cell r="I42" t="str">
            <v>19 years, 11 months, 30 days</v>
          </cell>
          <cell r="J42" t="str">
            <v>Gas</v>
          </cell>
          <cell r="K42" t="str">
            <v>Combined Heat and Power</v>
          </cell>
          <cell r="L42" t="str">
            <v>Natural Gas</v>
          </cell>
          <cell r="M42" t="str">
            <v>Dx</v>
          </cell>
          <cell r="N42" t="str">
            <v>King City</v>
          </cell>
          <cell r="O42" t="str">
            <v>York</v>
          </cell>
          <cell r="P42" t="str">
            <v>Toronto</v>
          </cell>
        </row>
        <row r="43">
          <cell r="C43" t="str">
            <v>Neven Produce Cogen</v>
          </cell>
          <cell r="D43" t="str">
            <v>Neven Produce Inc.</v>
          </cell>
          <cell r="E43" t="str">
            <v>CO</v>
          </cell>
          <cell r="F43">
            <v>44012</v>
          </cell>
          <cell r="G43">
            <v>42884</v>
          </cell>
          <cell r="H43">
            <v>50188</v>
          </cell>
          <cell r="I43" t="str">
            <v>19 years, 11 months, 29 days</v>
          </cell>
          <cell r="J43" t="str">
            <v>Gas</v>
          </cell>
          <cell r="K43" t="str">
            <v>Combined Heat and Power</v>
          </cell>
          <cell r="L43" t="str">
            <v>Natural Gas</v>
          </cell>
          <cell r="M43" t="str">
            <v>Dx</v>
          </cell>
          <cell r="N43" t="str">
            <v>Lynden</v>
          </cell>
          <cell r="O43" t="str">
            <v>Hamilton</v>
          </cell>
          <cell r="P43" t="str">
            <v>Southwest</v>
          </cell>
        </row>
        <row r="44">
          <cell r="C44" t="str">
            <v>Under Sun CHP</v>
          </cell>
          <cell r="D44" t="str">
            <v>Under Sun Acres Green Energy Inc.</v>
          </cell>
          <cell r="E44" t="str">
            <v>CO</v>
          </cell>
          <cell r="F44">
            <v>44012</v>
          </cell>
          <cell r="G44">
            <v>43998</v>
          </cell>
          <cell r="H44">
            <v>51302</v>
          </cell>
          <cell r="I44" t="str">
            <v>19 years, 11 months, 30 days</v>
          </cell>
          <cell r="J44" t="str">
            <v>Gas</v>
          </cell>
          <cell r="K44" t="str">
            <v>Combined Heat and Power</v>
          </cell>
          <cell r="L44" t="str">
            <v>Natural Gas</v>
          </cell>
          <cell r="M44" t="str">
            <v>Dx</v>
          </cell>
          <cell r="N44" t="str">
            <v>Leamington</v>
          </cell>
          <cell r="O44" t="str">
            <v>Essex</v>
          </cell>
          <cell r="P44" t="str">
            <v>West</v>
          </cell>
        </row>
        <row r="45">
          <cell r="C45" t="str">
            <v>eNature CHP</v>
          </cell>
          <cell r="D45" t="str">
            <v xml:space="preserve">2553187 ONTARIO Inc. </v>
          </cell>
          <cell r="E45" t="str">
            <v>CO</v>
          </cell>
          <cell r="F45">
            <v>44012</v>
          </cell>
          <cell r="G45">
            <v>43886</v>
          </cell>
          <cell r="H45">
            <v>51190</v>
          </cell>
          <cell r="I45" t="str">
            <v>19 years, 11 months, 30 days</v>
          </cell>
          <cell r="J45" t="str">
            <v>Gas</v>
          </cell>
          <cell r="K45" t="str">
            <v>Combined Heat and Power</v>
          </cell>
          <cell r="L45" t="str">
            <v>Natural Gas</v>
          </cell>
          <cell r="M45" t="str">
            <v>Dx</v>
          </cell>
          <cell r="N45" t="str">
            <v>Freelton</v>
          </cell>
          <cell r="O45" t="str">
            <v>Hamilton</v>
          </cell>
          <cell r="P45" t="str">
            <v>Southwest</v>
          </cell>
        </row>
        <row r="46">
          <cell r="C46" t="str">
            <v>Hamilton Port Lands West CHP</v>
          </cell>
          <cell r="D46" t="str">
            <v>HIPCO-Portlands Project Corporation</v>
          </cell>
          <cell r="E46" t="str">
            <v>CO</v>
          </cell>
          <cell r="F46">
            <v>44012</v>
          </cell>
          <cell r="G46">
            <v>43564</v>
          </cell>
          <cell r="H46">
            <v>50868</v>
          </cell>
          <cell r="I46" t="str">
            <v>19 years, 11 months, 30 days</v>
          </cell>
          <cell r="J46" t="str">
            <v>Gas</v>
          </cell>
          <cell r="K46" t="str">
            <v>Combined Heat and Power</v>
          </cell>
          <cell r="L46" t="str">
            <v>Natural Gas</v>
          </cell>
          <cell r="M46" t="str">
            <v>Dx</v>
          </cell>
          <cell r="N46" t="str">
            <v>Hamilton</v>
          </cell>
          <cell r="O46" t="str">
            <v>Hamilton</v>
          </cell>
          <cell r="P46" t="str">
            <v>Southwest</v>
          </cell>
        </row>
        <row r="47">
          <cell r="C47" t="str">
            <v>Pearl Street Steam Plant</v>
          </cell>
          <cell r="D47" t="str">
            <v>Enwave Energy Corporation</v>
          </cell>
          <cell r="E47" t="str">
            <v>CO</v>
          </cell>
          <cell r="F47">
            <v>44012</v>
          </cell>
          <cell r="G47">
            <v>42808</v>
          </cell>
          <cell r="H47">
            <v>50112</v>
          </cell>
          <cell r="I47" t="str">
            <v>19 years, 11 months, 27 days</v>
          </cell>
          <cell r="J47" t="str">
            <v>Gas</v>
          </cell>
          <cell r="K47" t="str">
            <v>Combined Heat and Power</v>
          </cell>
          <cell r="L47" t="str">
            <v>Natural Gas</v>
          </cell>
          <cell r="M47" t="str">
            <v>Dx</v>
          </cell>
          <cell r="N47" t="str">
            <v>Toronto</v>
          </cell>
          <cell r="O47" t="str">
            <v>Toronto</v>
          </cell>
          <cell r="P47" t="str">
            <v>Toronto</v>
          </cell>
        </row>
        <row r="48">
          <cell r="C48" t="str">
            <v>Durham-York Energy Centre</v>
          </cell>
          <cell r="D48" t="str">
            <v>The Regional Municipality of Durham and the Regional Municipality of York</v>
          </cell>
          <cell r="E48" t="str">
            <v>CO</v>
          </cell>
          <cell r="F48">
            <v>42619</v>
          </cell>
          <cell r="G48">
            <v>42293</v>
          </cell>
          <cell r="H48">
            <v>49597</v>
          </cell>
          <cell r="I48" t="str">
            <v>19 years, 11 months, 29 days</v>
          </cell>
          <cell r="J48" t="str">
            <v>Other</v>
          </cell>
          <cell r="K48" t="str">
            <v>Rankine Cycle</v>
          </cell>
          <cell r="L48" t="str">
            <v>Municipal Waste</v>
          </cell>
          <cell r="M48" t="str">
            <v>Dx</v>
          </cell>
          <cell r="N48" t="str">
            <v>Bowmanville</v>
          </cell>
          <cell r="O48" t="str">
            <v>Durham</v>
          </cell>
          <cell r="P48" t="str">
            <v>Toronto</v>
          </cell>
        </row>
        <row r="49">
          <cell r="C49" t="str">
            <v>East Windsor Expansion</v>
          </cell>
          <cell r="D49" t="str">
            <v>East Windsor (Expansion) L.P.</v>
          </cell>
          <cell r="E49" t="str">
            <v>UD</v>
          </cell>
          <cell r="F49">
            <v>46173</v>
          </cell>
          <cell r="J49" t="str">
            <v>Gas</v>
          </cell>
          <cell r="K49" t="str">
            <v>Simple Cycle</v>
          </cell>
          <cell r="L49" t="str">
            <v>Natural Gas</v>
          </cell>
          <cell r="M49" t="str">
            <v>Tx</v>
          </cell>
          <cell r="N49" t="str">
            <v>Windsor</v>
          </cell>
          <cell r="O49" t="str">
            <v>Essex</v>
          </cell>
          <cell r="P49" t="str">
            <v>West</v>
          </cell>
        </row>
        <row r="50">
          <cell r="C50" t="str">
            <v>Hydrogen Ready Power Plant</v>
          </cell>
          <cell r="D50" t="str">
            <v>Greenfield South Power Inc.</v>
          </cell>
          <cell r="E50" t="str">
            <v>CO</v>
          </cell>
          <cell r="F50">
            <v>46065</v>
          </cell>
          <cell r="G50">
            <v>46065</v>
          </cell>
          <cell r="H50">
            <v>51256</v>
          </cell>
          <cell r="I50" t="str">
            <v>14 years, 2 months, 18 days</v>
          </cell>
          <cell r="J50" t="str">
            <v>Gas</v>
          </cell>
          <cell r="K50" t="str">
            <v>Simple Cycle</v>
          </cell>
          <cell r="L50" t="str">
            <v>Natural Gas</v>
          </cell>
          <cell r="M50" t="str">
            <v>Tx</v>
          </cell>
          <cell r="N50" t="str">
            <v>Courtright</v>
          </cell>
          <cell r="O50" t="str">
            <v>Lambton</v>
          </cell>
          <cell r="P50" t="str">
            <v>West</v>
          </cell>
        </row>
        <row r="51">
          <cell r="C51" t="str">
            <v>Napanee Energy Storage</v>
          </cell>
          <cell r="D51" t="str">
            <v>Napanee BESS Inc.</v>
          </cell>
          <cell r="E51" t="str">
            <v>UD</v>
          </cell>
          <cell r="F51">
            <v>46173</v>
          </cell>
          <cell r="J51" t="str">
            <v>Storage</v>
          </cell>
          <cell r="K51" t="str">
            <v>Battery Energy Storage System</v>
          </cell>
          <cell r="L51" t="str">
            <v>Battery</v>
          </cell>
          <cell r="M51" t="str">
            <v>Tx</v>
          </cell>
          <cell r="N51" t="str">
            <v>Belmont</v>
          </cell>
          <cell r="O51" t="str">
            <v>Elgin</v>
          </cell>
          <cell r="P51" t="str">
            <v>East</v>
          </cell>
        </row>
        <row r="52">
          <cell r="C52" t="str">
            <v>Hagersville Battery Energy Storage Park </v>
          </cell>
          <cell r="D52" t="str">
            <v>Hagersville Battery Storage Inc</v>
          </cell>
          <cell r="E52" t="str">
            <v>CO</v>
          </cell>
          <cell r="F52">
            <v>46071</v>
          </cell>
          <cell r="G52">
            <v>46071</v>
          </cell>
          <cell r="H52">
            <v>53812</v>
          </cell>
          <cell r="I52" t="str">
            <v>21 years, 2 months, 12 days</v>
          </cell>
          <cell r="J52" t="str">
            <v>Storage</v>
          </cell>
          <cell r="K52" t="str">
            <v>Battery Energy Storage System</v>
          </cell>
          <cell r="L52" t="str">
            <v>Battery</v>
          </cell>
          <cell r="M52" t="str">
            <v>Tx</v>
          </cell>
          <cell r="N52" t="str">
            <v>Hagersville</v>
          </cell>
          <cell r="O52" t="str">
            <v>Haldimand</v>
          </cell>
          <cell r="P52" t="str">
            <v>Southwest</v>
          </cell>
        </row>
        <row r="53">
          <cell r="C53" t="str">
            <v>Tilbury Battery Storage</v>
          </cell>
          <cell r="D53" t="str">
            <v>Tilbury Battery Storage Inc</v>
          </cell>
          <cell r="E53" t="str">
            <v>CO</v>
          </cell>
          <cell r="F53">
            <v>46173</v>
          </cell>
          <cell r="G53">
            <v>46014</v>
          </cell>
          <cell r="H53">
            <v>53812</v>
          </cell>
          <cell r="I53" t="str">
            <v>21 years, 4 months, 7 days</v>
          </cell>
          <cell r="J53" t="str">
            <v>Storage</v>
          </cell>
          <cell r="K53" t="str">
            <v>Battery Energy Storage System</v>
          </cell>
          <cell r="L53" t="str">
            <v>Battery</v>
          </cell>
          <cell r="M53" t="str">
            <v>Tx</v>
          </cell>
          <cell r="N53" t="str">
            <v>Tilbury</v>
          </cell>
          <cell r="O53" t="str">
            <v>Chatham-Kent</v>
          </cell>
          <cell r="P53" t="str">
            <v>West</v>
          </cell>
        </row>
        <row r="54">
          <cell r="C54" t="str">
            <v>Walker BESS 4</v>
          </cell>
          <cell r="D54" t="str">
            <v>Walker BESS 4 Inc.</v>
          </cell>
          <cell r="E54" t="str">
            <v>CO</v>
          </cell>
          <cell r="F54">
            <v>46173</v>
          </cell>
          <cell r="G54">
            <v>45828</v>
          </cell>
          <cell r="H54">
            <v>53812</v>
          </cell>
          <cell r="I54" t="str">
            <v>21 years, 10 months, 10 days</v>
          </cell>
          <cell r="J54" t="str">
            <v>Storage</v>
          </cell>
          <cell r="K54" t="str">
            <v>Battery Energy Storage System</v>
          </cell>
          <cell r="L54" t="str">
            <v>Battery</v>
          </cell>
          <cell r="M54" t="str">
            <v>Dx</v>
          </cell>
          <cell r="N54" t="str">
            <v>Windsor</v>
          </cell>
          <cell r="O54" t="str">
            <v>Essex</v>
          </cell>
          <cell r="P54" t="str">
            <v>West</v>
          </cell>
        </row>
        <row r="55">
          <cell r="C55" t="str">
            <v>Almonte BESS</v>
          </cell>
          <cell r="D55" t="str">
            <v>Walker BESS 4 Inc.</v>
          </cell>
          <cell r="E55" t="str">
            <v>CO</v>
          </cell>
          <cell r="F55">
            <v>46173</v>
          </cell>
          <cell r="G55">
            <v>46099</v>
          </cell>
          <cell r="H55">
            <v>53812</v>
          </cell>
          <cell r="I55" t="str">
            <v>21 years, 1 months, 12 days</v>
          </cell>
          <cell r="J55" t="str">
            <v>Storage</v>
          </cell>
          <cell r="K55" t="str">
            <v>Battery Energy Storage System</v>
          </cell>
          <cell r="L55" t="str">
            <v>Battery</v>
          </cell>
          <cell r="M55" t="str">
            <v>Dx</v>
          </cell>
          <cell r="N55" t="str">
            <v>Almonte</v>
          </cell>
          <cell r="O55" t="str">
            <v>Lanark</v>
          </cell>
          <cell r="P55" t="str">
            <v>Ottawa</v>
          </cell>
        </row>
        <row r="56">
          <cell r="C56" t="str">
            <v>Walker BESS 6</v>
          </cell>
          <cell r="D56" t="str">
            <v>Walker BESS 4 Inc.</v>
          </cell>
          <cell r="E56" t="str">
            <v>CO</v>
          </cell>
          <cell r="F56">
            <v>46173</v>
          </cell>
          <cell r="G56">
            <v>45828</v>
          </cell>
          <cell r="H56">
            <v>53812</v>
          </cell>
          <cell r="I56" t="str">
            <v>21 years, 10 months, 10 days</v>
          </cell>
          <cell r="J56" t="str">
            <v>Storage</v>
          </cell>
          <cell r="K56" t="str">
            <v>Battery Energy Storage System</v>
          </cell>
          <cell r="L56" t="str">
            <v>Battery</v>
          </cell>
          <cell r="M56" t="str">
            <v>Dx</v>
          </cell>
          <cell r="N56" t="str">
            <v>Windsor</v>
          </cell>
          <cell r="O56" t="str">
            <v>Essex</v>
          </cell>
          <cell r="P56" t="str">
            <v>West</v>
          </cell>
        </row>
        <row r="57">
          <cell r="C57" t="str">
            <v>Walker BESS 5</v>
          </cell>
          <cell r="D57" t="str">
            <v>Walker BESS 4 Inc.</v>
          </cell>
          <cell r="E57" t="str">
            <v>CO</v>
          </cell>
          <cell r="F57">
            <v>46173</v>
          </cell>
          <cell r="G57">
            <v>45828</v>
          </cell>
          <cell r="H57">
            <v>53812</v>
          </cell>
          <cell r="I57" t="str">
            <v>21 years, 10 months, 10 days</v>
          </cell>
          <cell r="J57" t="str">
            <v>Storage</v>
          </cell>
          <cell r="K57" t="str">
            <v>Battery Energy Storage System</v>
          </cell>
          <cell r="L57" t="str">
            <v>Battery</v>
          </cell>
          <cell r="M57" t="str">
            <v>Dx</v>
          </cell>
          <cell r="N57" t="str">
            <v>Windsor</v>
          </cell>
          <cell r="O57" t="str">
            <v>Essex</v>
          </cell>
          <cell r="P57" t="str">
            <v>West</v>
          </cell>
        </row>
        <row r="58">
          <cell r="C58" t="str">
            <v>Vaughan 1E Energy Storage 1</v>
          </cell>
          <cell r="D58" t="str">
            <v>Vaughan 1E Energy Storage 1 LP</v>
          </cell>
          <cell r="E58" t="str">
            <v>UD</v>
          </cell>
          <cell r="F58">
            <v>46173</v>
          </cell>
          <cell r="J58" t="str">
            <v>Storage</v>
          </cell>
          <cell r="K58" t="str">
            <v>Battery Energy Storage System</v>
          </cell>
          <cell r="L58" t="str">
            <v>Battery</v>
          </cell>
          <cell r="M58" t="str">
            <v>Dx</v>
          </cell>
          <cell r="N58" t="str">
            <v>Concord</v>
          </cell>
          <cell r="O58" t="str">
            <v>York</v>
          </cell>
          <cell r="P58" t="str">
            <v>Toronto</v>
          </cell>
        </row>
        <row r="59">
          <cell r="C59" t="str">
            <v>Vaughan 3 Energy Storage 1</v>
          </cell>
          <cell r="D59" t="str">
            <v>Vaughan 3 Energy Storage 1 LP</v>
          </cell>
          <cell r="E59" t="str">
            <v>UD</v>
          </cell>
          <cell r="F59">
            <v>46173</v>
          </cell>
          <cell r="J59" t="str">
            <v>Storage</v>
          </cell>
          <cell r="K59" t="str">
            <v>Battery Energy Storage System</v>
          </cell>
          <cell r="L59" t="str">
            <v>Battery</v>
          </cell>
          <cell r="M59" t="str">
            <v>Dx</v>
          </cell>
          <cell r="N59" t="str">
            <v>Woodbridge</v>
          </cell>
          <cell r="O59" t="str">
            <v>York</v>
          </cell>
          <cell r="P59" t="str">
            <v>Toronto</v>
          </cell>
        </row>
        <row r="60">
          <cell r="C60" t="str">
            <v>Arlen Energy Storage 1</v>
          </cell>
          <cell r="D60" t="str">
            <v>Arlen Energy Storage 1 LP</v>
          </cell>
          <cell r="E60" t="str">
            <v>UD</v>
          </cell>
          <cell r="F60">
            <v>46173</v>
          </cell>
          <cell r="J60" t="str">
            <v>Storage</v>
          </cell>
          <cell r="K60" t="str">
            <v>Battery Energy Storage System</v>
          </cell>
          <cell r="L60" t="str">
            <v>Battery</v>
          </cell>
          <cell r="M60" t="str">
            <v>Dx</v>
          </cell>
          <cell r="N60" t="str">
            <v>Guelph</v>
          </cell>
          <cell r="O60" t="str">
            <v>Wellington</v>
          </cell>
          <cell r="P60" t="str">
            <v>Southwest</v>
          </cell>
        </row>
        <row r="61">
          <cell r="C61">
            <v>903</v>
          </cell>
          <cell r="D61" t="str">
            <v>1000234763 Ontario Inc.</v>
          </cell>
          <cell r="E61" t="str">
            <v>UD</v>
          </cell>
          <cell r="F61">
            <v>46173</v>
          </cell>
          <cell r="J61" t="str">
            <v>Storage</v>
          </cell>
          <cell r="K61" t="str">
            <v>Battery Energy Storage System</v>
          </cell>
          <cell r="L61" t="str">
            <v>Battery</v>
          </cell>
          <cell r="M61" t="str">
            <v>Dx</v>
          </cell>
          <cell r="N61" t="str">
            <v>Burks Falls</v>
          </cell>
          <cell r="O61" t="str">
            <v>Parry Sound</v>
          </cell>
          <cell r="P61" t="str">
            <v>Essa</v>
          </cell>
        </row>
        <row r="62">
          <cell r="C62" t="str">
            <v>SFF 06</v>
          </cell>
          <cell r="D62" t="str">
            <v>1000234763 Ontario Inc.</v>
          </cell>
          <cell r="E62" t="str">
            <v>UD</v>
          </cell>
          <cell r="F62">
            <v>46173</v>
          </cell>
          <cell r="J62" t="str">
            <v>Storage</v>
          </cell>
          <cell r="K62" t="str">
            <v>Battery Energy Storage System</v>
          </cell>
          <cell r="L62" t="str">
            <v>Battery</v>
          </cell>
          <cell r="M62" t="str">
            <v>Dx</v>
          </cell>
          <cell r="N62" t="str">
            <v>Grafton</v>
          </cell>
          <cell r="O62" t="str">
            <v>Northumberland</v>
          </cell>
          <cell r="P62" t="str">
            <v>East</v>
          </cell>
        </row>
        <row r="63">
          <cell r="C63" t="str">
            <v>York BESS</v>
          </cell>
          <cell r="D63" t="str">
            <v>York (Battery) LP</v>
          </cell>
          <cell r="E63" t="str">
            <v>CO</v>
          </cell>
          <cell r="F63">
            <v>46173</v>
          </cell>
          <cell r="G63">
            <v>45900</v>
          </cell>
          <cell r="H63">
            <v>53812</v>
          </cell>
          <cell r="I63" t="str">
            <v>21 years, 7 months, 30 days</v>
          </cell>
          <cell r="J63" t="str">
            <v>Storage</v>
          </cell>
          <cell r="K63" t="str">
            <v>Battery Energy Storage System</v>
          </cell>
          <cell r="L63" t="str">
            <v>Battery</v>
          </cell>
          <cell r="M63" t="str">
            <v>Tx</v>
          </cell>
          <cell r="N63" t="str">
            <v>Monetville</v>
          </cell>
          <cell r="O63" t="str">
            <v>Sudbury</v>
          </cell>
          <cell r="P63" t="str">
            <v>Essa</v>
          </cell>
        </row>
        <row r="64">
          <cell r="C64" t="str">
            <v>Goreway BESS</v>
          </cell>
          <cell r="D64" t="str">
            <v>Goreway (Battery) L.P.</v>
          </cell>
          <cell r="E64" t="str">
            <v>CO</v>
          </cell>
          <cell r="F64">
            <v>46173</v>
          </cell>
          <cell r="G64">
            <v>45899</v>
          </cell>
          <cell r="H64">
            <v>53812</v>
          </cell>
          <cell r="I64" t="str">
            <v>21 years, 8 months, 0 days</v>
          </cell>
          <cell r="J64" t="str">
            <v>Storage</v>
          </cell>
          <cell r="K64" t="str">
            <v>Battery Energy Storage System</v>
          </cell>
          <cell r="L64" t="str">
            <v>Battery</v>
          </cell>
          <cell r="M64" t="str">
            <v>Tx</v>
          </cell>
          <cell r="N64" t="str">
            <v>Brampton</v>
          </cell>
          <cell r="O64" t="str">
            <v>Peel</v>
          </cell>
          <cell r="P64" t="str">
            <v>Toronto</v>
          </cell>
        </row>
        <row r="65">
          <cell r="C65" t="str">
            <v>OZ-1</v>
          </cell>
          <cell r="D65" t="str">
            <v>1000234813 Ontario Inc.</v>
          </cell>
          <cell r="E65" t="str">
            <v>UD</v>
          </cell>
          <cell r="F65">
            <v>46173</v>
          </cell>
          <cell r="J65" t="str">
            <v>Storage</v>
          </cell>
          <cell r="K65" t="str">
            <v>Battery Energy Storage System</v>
          </cell>
          <cell r="L65" t="str">
            <v>Battery</v>
          </cell>
          <cell r="M65" t="str">
            <v>Dx</v>
          </cell>
          <cell r="N65" t="str">
            <v>Chesley</v>
          </cell>
          <cell r="O65" t="str">
            <v>Bruce</v>
          </cell>
          <cell r="P65" t="str">
            <v>Southwest</v>
          </cell>
        </row>
        <row r="66">
          <cell r="C66" t="str">
            <v>Sarnia Cogeneration Plant</v>
          </cell>
          <cell r="D66" t="str">
            <v>TransAlta (SC) L.P.</v>
          </cell>
          <cell r="E66" t="str">
            <v>CO</v>
          </cell>
          <cell r="G66">
            <v>39995</v>
          </cell>
          <cell r="H66">
            <v>46143</v>
          </cell>
          <cell r="I66" t="str">
            <v>16 years, 10 months, 0 days</v>
          </cell>
          <cell r="J66" t="str">
            <v>Gas</v>
          </cell>
          <cell r="K66" t="str">
            <v>Combined Cycle CHP</v>
          </cell>
          <cell r="L66" t="str">
            <v>Natural Gas</v>
          </cell>
          <cell r="M66" t="str">
            <v>Tx</v>
          </cell>
          <cell r="N66" t="str">
            <v>Sarnia</v>
          </cell>
          <cell r="O66" t="str">
            <v>Lambton</v>
          </cell>
          <cell r="P66" t="str">
            <v>West</v>
          </cell>
        </row>
        <row r="67">
          <cell r="C67" t="str">
            <v>AM Energy Storage 1</v>
          </cell>
          <cell r="D67" t="str">
            <v>Ameresco Newmarket Energy Storage Inc.</v>
          </cell>
          <cell r="E67" t="str">
            <v>CO</v>
          </cell>
          <cell r="F67">
            <v>43225</v>
          </cell>
          <cell r="G67">
            <v>43609</v>
          </cell>
          <cell r="H67">
            <v>46878</v>
          </cell>
          <cell r="I67" t="str">
            <v>8 years, 11 months, 11 days</v>
          </cell>
          <cell r="J67" t="str">
            <v>Storage</v>
          </cell>
          <cell r="K67" t="str">
            <v>Battery Energy Storage System</v>
          </cell>
          <cell r="L67" t="str">
            <v>Battery</v>
          </cell>
          <cell r="M67" t="str">
            <v>Dx</v>
          </cell>
          <cell r="N67" t="str">
            <v>Newmarket</v>
          </cell>
          <cell r="O67" t="str">
            <v>York</v>
          </cell>
          <cell r="P67" t="str">
            <v>Essa</v>
          </cell>
        </row>
        <row r="68">
          <cell r="C68" t="str">
            <v>AM Energy Storage 2</v>
          </cell>
          <cell r="D68" t="str">
            <v>Ameresco Newmarket Energy Storage Inc.</v>
          </cell>
          <cell r="E68" t="str">
            <v>CO</v>
          </cell>
          <cell r="F68">
            <v>43225</v>
          </cell>
          <cell r="G68">
            <v>43616</v>
          </cell>
          <cell r="H68">
            <v>46878</v>
          </cell>
          <cell r="I68" t="str">
            <v>8 years, 11 months, 4 days</v>
          </cell>
          <cell r="J68" t="str">
            <v>Storage</v>
          </cell>
          <cell r="K68" t="str">
            <v>Battery Energy Storage System</v>
          </cell>
          <cell r="L68" t="str">
            <v>Battery</v>
          </cell>
          <cell r="M68" t="str">
            <v>Dx</v>
          </cell>
          <cell r="N68" t="str">
            <v>Newmarket</v>
          </cell>
          <cell r="O68" t="str">
            <v>York</v>
          </cell>
          <cell r="P68" t="str">
            <v>Essa</v>
          </cell>
        </row>
        <row r="69">
          <cell r="C69" t="str">
            <v>Elmira Solid Battery Energy Storage System</v>
          </cell>
          <cell r="D69" t="str">
            <v>Elmira Energy Storage, LP</v>
          </cell>
          <cell r="E69" t="str">
            <v>CO</v>
          </cell>
          <cell r="F69">
            <v>43226</v>
          </cell>
          <cell r="G69">
            <v>43181</v>
          </cell>
          <cell r="H69">
            <v>46833</v>
          </cell>
          <cell r="I69" t="str">
            <v>9 years, 11 months, 28 days</v>
          </cell>
          <cell r="J69" t="str">
            <v>Storage</v>
          </cell>
          <cell r="K69" t="str">
            <v>Battery Energy Storage System</v>
          </cell>
          <cell r="L69" t="str">
            <v>Battery</v>
          </cell>
          <cell r="M69" t="str">
            <v>Dx</v>
          </cell>
          <cell r="N69" t="str">
            <v>Elmira</v>
          </cell>
          <cell r="O69" t="str">
            <v>Waterloo</v>
          </cell>
          <cell r="P69" t="str">
            <v>Southwest</v>
          </cell>
        </row>
        <row r="70">
          <cell r="C70" t="str">
            <v>Parry Solid Battery Energy Storage System</v>
          </cell>
          <cell r="D70" t="str">
            <v>Parry Energy Storage, LP</v>
          </cell>
          <cell r="E70" t="str">
            <v>CO</v>
          </cell>
          <cell r="F70">
            <v>43226</v>
          </cell>
          <cell r="G70">
            <v>43132</v>
          </cell>
          <cell r="H70">
            <v>46783</v>
          </cell>
          <cell r="I70" t="str">
            <v>9 years, 11 months, 30 days</v>
          </cell>
          <cell r="J70" t="str">
            <v>Storage</v>
          </cell>
          <cell r="K70" t="str">
            <v>Battery Energy Storage System</v>
          </cell>
          <cell r="L70" t="str">
            <v>Battery</v>
          </cell>
          <cell r="M70" t="str">
            <v>Dx</v>
          </cell>
          <cell r="N70" t="str">
            <v>Parry Sound</v>
          </cell>
          <cell r="O70" t="str">
            <v>Parry Sound</v>
          </cell>
          <cell r="P70" t="str">
            <v>Essa</v>
          </cell>
        </row>
        <row r="71">
          <cell r="C71" t="str">
            <v>Goderich CAES Project</v>
          </cell>
          <cell r="D71" t="str">
            <v>NRStor Goderich CAES L.P.</v>
          </cell>
          <cell r="E71" t="str">
            <v>CO</v>
          </cell>
          <cell r="F71">
            <v>43226</v>
          </cell>
          <cell r="G71">
            <v>44044</v>
          </cell>
          <cell r="H71">
            <v>47311</v>
          </cell>
          <cell r="I71" t="str">
            <v>8 years, 11 months, 11 days</v>
          </cell>
          <cell r="J71" t="str">
            <v>Storage</v>
          </cell>
          <cell r="K71" t="str">
            <v>Compressed Air</v>
          </cell>
          <cell r="L71" t="str">
            <v>Compressed Air</v>
          </cell>
          <cell r="M71" t="str">
            <v>Dx</v>
          </cell>
          <cell r="N71" t="str">
            <v>Goderich</v>
          </cell>
          <cell r="O71" t="str">
            <v>Huron</v>
          </cell>
          <cell r="P71" t="str">
            <v>Southwest</v>
          </cell>
        </row>
        <row r="72">
          <cell r="C72" t="str">
            <v>IKEA Solar PV Etobicoke</v>
          </cell>
          <cell r="D72" t="str">
            <v>IKEA Properties Limited</v>
          </cell>
          <cell r="E72" t="str">
            <v>CO</v>
          </cell>
          <cell r="F72">
            <v>40663</v>
          </cell>
          <cell r="G72">
            <v>40589</v>
          </cell>
          <cell r="H72">
            <v>47893</v>
          </cell>
          <cell r="I72" t="str">
            <v>19 years, 11 months, 30 days</v>
          </cell>
          <cell r="J72" t="str">
            <v>Renewables</v>
          </cell>
          <cell r="K72" t="str">
            <v>Solar (Rooftop)</v>
          </cell>
          <cell r="L72" t="str">
            <v>Solar</v>
          </cell>
          <cell r="M72" t="str">
            <v>Dx</v>
          </cell>
          <cell r="N72" t="str">
            <v>Toronto</v>
          </cell>
          <cell r="O72" t="str">
            <v>Toronto</v>
          </cell>
          <cell r="P72" t="str">
            <v>Toronto</v>
          </cell>
        </row>
        <row r="73">
          <cell r="C73" t="str">
            <v>C13-3020 Hawthorne Building 200</v>
          </cell>
          <cell r="D73" t="str">
            <v>PSI Solar Finance 1 Limited Partnership</v>
          </cell>
          <cell r="E73" t="str">
            <v>CO</v>
          </cell>
          <cell r="F73">
            <v>41799</v>
          </cell>
          <cell r="G73">
            <v>41817</v>
          </cell>
          <cell r="H73">
            <v>49121</v>
          </cell>
          <cell r="I73" t="str">
            <v>19 years, 11 months, 30 days</v>
          </cell>
          <cell r="J73" t="str">
            <v>Renewables</v>
          </cell>
          <cell r="K73" t="str">
            <v>Solar (Rooftop)</v>
          </cell>
          <cell r="L73" t="str">
            <v>Solar</v>
          </cell>
          <cell r="M73" t="str">
            <v>Dx</v>
          </cell>
          <cell r="N73" t="str">
            <v>Ottawa</v>
          </cell>
          <cell r="O73" t="str">
            <v>Ottawa</v>
          </cell>
          <cell r="P73" t="str">
            <v>Ottawa</v>
          </cell>
        </row>
        <row r="74">
          <cell r="C74" t="str">
            <v>540-ParkAve-Unit6</v>
          </cell>
          <cell r="D74" t="str">
            <v>1806701 Ontario inc</v>
          </cell>
          <cell r="E74" t="str">
            <v>CO</v>
          </cell>
          <cell r="F74">
            <v>41804</v>
          </cell>
          <cell r="G74">
            <v>41940</v>
          </cell>
          <cell r="H74">
            <v>49244</v>
          </cell>
          <cell r="I74" t="str">
            <v>19 years, 11 months, 29 days</v>
          </cell>
          <cell r="J74" t="str">
            <v>Renewables</v>
          </cell>
          <cell r="K74" t="str">
            <v>Solar (Rooftop)</v>
          </cell>
          <cell r="L74" t="str">
            <v>Solar</v>
          </cell>
          <cell r="M74" t="str">
            <v>Dx</v>
          </cell>
          <cell r="N74" t="str">
            <v>Chatham</v>
          </cell>
          <cell r="O74" t="str">
            <v>Chatham-Kent</v>
          </cell>
          <cell r="P74" t="str">
            <v>West</v>
          </cell>
        </row>
        <row r="75">
          <cell r="C75" t="str">
            <v>Burnham Machine Shop</v>
          </cell>
          <cell r="D75" t="str">
            <v>Paul Burnham</v>
          </cell>
          <cell r="E75" t="str">
            <v>CO</v>
          </cell>
          <cell r="F75">
            <v>41679</v>
          </cell>
          <cell r="G75">
            <v>40898</v>
          </cell>
          <cell r="H75">
            <v>48202</v>
          </cell>
          <cell r="I75" t="str">
            <v>19 years, 11 months, 29 days</v>
          </cell>
          <cell r="J75" t="str">
            <v>Renewables</v>
          </cell>
          <cell r="K75" t="str">
            <v>Solar (Rooftop)</v>
          </cell>
          <cell r="L75" t="str">
            <v>Solar</v>
          </cell>
          <cell r="M75" t="str">
            <v>Dx</v>
          </cell>
          <cell r="N75" t="str">
            <v>Cobourg</v>
          </cell>
          <cell r="O75" t="str">
            <v>Northumberland</v>
          </cell>
          <cell r="P75" t="str">
            <v>East</v>
          </cell>
        </row>
        <row r="76">
          <cell r="C76" t="str">
            <v>Ailsa Craig Solar Project</v>
          </cell>
          <cell r="D76" t="str">
            <v>Ernald Enterprises Limited</v>
          </cell>
          <cell r="E76" t="str">
            <v>CO</v>
          </cell>
          <cell r="F76">
            <v>41834</v>
          </cell>
          <cell r="G76">
            <v>41096</v>
          </cell>
          <cell r="H76">
            <v>48400</v>
          </cell>
          <cell r="I76" t="str">
            <v>19 years, 11 months, 29 days</v>
          </cell>
          <cell r="J76" t="str">
            <v>Renewables</v>
          </cell>
          <cell r="K76" t="str">
            <v>Solar (Rooftop)</v>
          </cell>
          <cell r="L76" t="str">
            <v>Solar</v>
          </cell>
          <cell r="M76" t="str">
            <v>Dx</v>
          </cell>
          <cell r="N76" t="str">
            <v>Ailsa Craig</v>
          </cell>
          <cell r="O76" t="str">
            <v>Middlesex</v>
          </cell>
          <cell r="P76" t="str">
            <v>Southwest</v>
          </cell>
        </row>
        <row r="77">
          <cell r="C77" t="str">
            <v>O02-3770 Richmond</v>
          </cell>
          <cell r="D77" t="str">
            <v>PSI Solar Finance 1 Limited Partnership</v>
          </cell>
          <cell r="E77" t="str">
            <v>CO</v>
          </cell>
          <cell r="F77">
            <v>41834</v>
          </cell>
          <cell r="G77">
            <v>41549</v>
          </cell>
          <cell r="H77">
            <v>48853</v>
          </cell>
          <cell r="I77" t="str">
            <v>19 years, 11 months, 29 days</v>
          </cell>
          <cell r="J77" t="str">
            <v>Renewables</v>
          </cell>
          <cell r="K77" t="str">
            <v>Solar (Rooftop)</v>
          </cell>
          <cell r="L77" t="str">
            <v>Solar</v>
          </cell>
          <cell r="M77" t="str">
            <v>Dx</v>
          </cell>
          <cell r="N77" t="str">
            <v>Ottawa</v>
          </cell>
          <cell r="O77" t="str">
            <v>Ottawa</v>
          </cell>
          <cell r="P77" t="str">
            <v>Ottawa</v>
          </cell>
        </row>
        <row r="78">
          <cell r="C78" t="str">
            <v>SA3</v>
          </cell>
          <cell r="D78" t="str">
            <v>2246253 Ontario Inc.</v>
          </cell>
          <cell r="E78" t="str">
            <v>CO</v>
          </cell>
          <cell r="F78">
            <v>41498</v>
          </cell>
          <cell r="G78">
            <v>42002</v>
          </cell>
          <cell r="H78">
            <v>49306</v>
          </cell>
          <cell r="I78" t="str">
            <v>19 years, 11 months, 29 days</v>
          </cell>
          <cell r="J78" t="str">
            <v>Renewables</v>
          </cell>
          <cell r="K78" t="str">
            <v>Solar (Ground Mounted)</v>
          </cell>
          <cell r="L78" t="str">
            <v>Solar</v>
          </cell>
          <cell r="M78" t="str">
            <v>Dx</v>
          </cell>
          <cell r="N78" t="str">
            <v>Dresden</v>
          </cell>
          <cell r="O78" t="str">
            <v>Chatham-Kent</v>
          </cell>
          <cell r="P78" t="str">
            <v>West</v>
          </cell>
        </row>
        <row r="79">
          <cell r="C79" t="str">
            <v>H06-10 BARRIE</v>
          </cell>
          <cell r="D79" t="str">
            <v>PSI Solar Finance 1 Limited Partnership</v>
          </cell>
          <cell r="E79" t="str">
            <v>CO</v>
          </cell>
          <cell r="F79">
            <v>41805</v>
          </cell>
          <cell r="G79">
            <v>41858</v>
          </cell>
          <cell r="H79">
            <v>49162</v>
          </cell>
          <cell r="I79" t="str">
            <v>19 years, 11 months, 30 days</v>
          </cell>
          <cell r="J79" t="str">
            <v>Renewables</v>
          </cell>
          <cell r="K79" t="str">
            <v>Solar (Rooftop)</v>
          </cell>
          <cell r="L79" t="str">
            <v>Solar</v>
          </cell>
          <cell r="M79" t="str">
            <v>Dx</v>
          </cell>
          <cell r="N79" t="str">
            <v>Barrie</v>
          </cell>
          <cell r="O79" t="str">
            <v>Simcoe</v>
          </cell>
          <cell r="P79" t="str">
            <v>Essa</v>
          </cell>
        </row>
        <row r="80">
          <cell r="C80" t="str">
            <v>Poulettes Skye Pullets</v>
          </cell>
          <cell r="D80" t="str">
            <v>3898644 Canada Inc</v>
          </cell>
          <cell r="E80" t="str">
            <v>CO</v>
          </cell>
          <cell r="F80">
            <v>41029</v>
          </cell>
          <cell r="G80">
            <v>40736</v>
          </cell>
          <cell r="H80">
            <v>48040</v>
          </cell>
          <cell r="I80" t="str">
            <v>19 years, 11 months, 29 days</v>
          </cell>
          <cell r="J80" t="str">
            <v>Renewables</v>
          </cell>
          <cell r="K80" t="str">
            <v>Solar (Rooftop)</v>
          </cell>
          <cell r="L80" t="str">
            <v>Solar</v>
          </cell>
          <cell r="M80" t="str">
            <v>Dx</v>
          </cell>
          <cell r="N80" t="str">
            <v>Dunvegan</v>
          </cell>
          <cell r="O80" t="str">
            <v>Stormont, Dundas and Glengarry</v>
          </cell>
          <cell r="P80" t="str">
            <v>Ottawa</v>
          </cell>
        </row>
        <row r="81">
          <cell r="C81" t="str">
            <v>Dupuis Solar PV</v>
          </cell>
          <cell r="D81" t="str">
            <v>Michael Dupuis, Gail Dupuis</v>
          </cell>
          <cell r="E81" t="str">
            <v>CO</v>
          </cell>
          <cell r="F81">
            <v>41813</v>
          </cell>
          <cell r="G81">
            <v>41187</v>
          </cell>
          <cell r="H81">
            <v>48491</v>
          </cell>
          <cell r="I81" t="str">
            <v>19 years, 11 months, 29 days</v>
          </cell>
          <cell r="J81" t="str">
            <v>Renewables</v>
          </cell>
          <cell r="K81" t="str">
            <v>Solar (Rooftop)</v>
          </cell>
          <cell r="L81" t="str">
            <v>Solar</v>
          </cell>
          <cell r="M81" t="str">
            <v>Dx</v>
          </cell>
          <cell r="N81" t="str">
            <v>Walkerton</v>
          </cell>
          <cell r="O81" t="str">
            <v>Bruce</v>
          </cell>
          <cell r="P81" t="str">
            <v>Southwest</v>
          </cell>
        </row>
        <row r="82">
          <cell r="C82" t="str">
            <v>Stoney Creek Decor Centre 1</v>
          </cell>
          <cell r="D82" t="str">
            <v>Solar Sunbelt General Partnership</v>
          </cell>
          <cell r="E82" t="str">
            <v>CO</v>
          </cell>
          <cell r="F82">
            <v>41811</v>
          </cell>
          <cell r="G82">
            <v>41264</v>
          </cell>
          <cell r="H82">
            <v>48568</v>
          </cell>
          <cell r="I82" t="str">
            <v>19 years, 11 months, 29 days</v>
          </cell>
          <cell r="J82" t="str">
            <v>Renewables</v>
          </cell>
          <cell r="K82" t="str">
            <v>Solar (Rooftop)</v>
          </cell>
          <cell r="L82" t="str">
            <v>Solar</v>
          </cell>
          <cell r="M82" t="str">
            <v>Dx</v>
          </cell>
          <cell r="N82" t="str">
            <v>Hamilton</v>
          </cell>
          <cell r="O82" t="str">
            <v>Hamilton</v>
          </cell>
          <cell r="P82" t="str">
            <v>Niagara</v>
          </cell>
        </row>
        <row r="83">
          <cell r="C83" t="str">
            <v>Rehorst Solar</v>
          </cell>
          <cell r="D83" t="str">
            <v>Adrian Martin Rehorst</v>
          </cell>
          <cell r="E83" t="str">
            <v>CO</v>
          </cell>
          <cell r="F83">
            <v>41827</v>
          </cell>
          <cell r="G83">
            <v>41278</v>
          </cell>
          <cell r="H83">
            <v>48582</v>
          </cell>
          <cell r="I83" t="str">
            <v>19 years, 11 months, 30 days</v>
          </cell>
          <cell r="J83" t="str">
            <v>Renewables</v>
          </cell>
          <cell r="K83" t="str">
            <v>Solar (Rooftop)</v>
          </cell>
          <cell r="L83" t="str">
            <v>Solar</v>
          </cell>
          <cell r="M83" t="str">
            <v>Dx</v>
          </cell>
          <cell r="N83" t="str">
            <v>Teeswater</v>
          </cell>
          <cell r="O83" t="str">
            <v>Bruce</v>
          </cell>
          <cell r="P83" t="str">
            <v>Southwest</v>
          </cell>
        </row>
        <row r="84">
          <cell r="C84" t="str">
            <v>505 Hespeler Road</v>
          </cell>
          <cell r="D84" t="str">
            <v>TerraForm MP Solar, LLC</v>
          </cell>
          <cell r="E84" t="str">
            <v>CO</v>
          </cell>
          <cell r="F84">
            <v>41820</v>
          </cell>
          <cell r="G84">
            <v>41076</v>
          </cell>
          <cell r="H84">
            <v>48380</v>
          </cell>
          <cell r="I84" t="str">
            <v>19 years, 11 months, 30 days</v>
          </cell>
          <cell r="J84" t="str">
            <v>Renewables</v>
          </cell>
          <cell r="K84" t="str">
            <v>Solar (Rooftop)</v>
          </cell>
          <cell r="L84" t="str">
            <v>Solar</v>
          </cell>
          <cell r="M84" t="str">
            <v>Dx</v>
          </cell>
          <cell r="N84" t="str">
            <v>Cambridge</v>
          </cell>
          <cell r="O84" t="str">
            <v>Waterloo</v>
          </cell>
          <cell r="P84" t="str">
            <v>Southwest</v>
          </cell>
        </row>
        <row r="85">
          <cell r="C85" t="str">
            <v>Donnandale Farms Inc.</v>
          </cell>
          <cell r="D85" t="str">
            <v>Donnandale Farms Inc.</v>
          </cell>
          <cell r="E85" t="str">
            <v>CO</v>
          </cell>
          <cell r="F85">
            <v>41343</v>
          </cell>
          <cell r="G85">
            <v>40413</v>
          </cell>
          <cell r="H85">
            <v>47717</v>
          </cell>
          <cell r="I85" t="str">
            <v>19 years, 11 months, 30 days</v>
          </cell>
          <cell r="J85" t="str">
            <v>Renewables</v>
          </cell>
          <cell r="K85" t="str">
            <v>Bioenergy</v>
          </cell>
          <cell r="L85" t="str">
            <v>Biogas</v>
          </cell>
          <cell r="M85" t="str">
            <v>Dx</v>
          </cell>
          <cell r="N85" t="str">
            <v>Stirling</v>
          </cell>
          <cell r="O85" t="str">
            <v>Hastings</v>
          </cell>
          <cell r="P85" t="str">
            <v>East</v>
          </cell>
        </row>
        <row r="86">
          <cell r="C86" t="str">
            <v>Dayton Manufacturing Co. Limited</v>
          </cell>
          <cell r="D86" t="str">
            <v>Alectra Utilities Corporation</v>
          </cell>
          <cell r="E86" t="str">
            <v>CO</v>
          </cell>
          <cell r="F86">
            <v>41818</v>
          </cell>
          <cell r="G86">
            <v>41967</v>
          </cell>
          <cell r="H86">
            <v>49271</v>
          </cell>
          <cell r="I86" t="str">
            <v>19 years, 11 months, 30 days</v>
          </cell>
          <cell r="J86" t="str">
            <v>Renewables</v>
          </cell>
          <cell r="K86" t="str">
            <v>Solar (Rooftop)</v>
          </cell>
          <cell r="L86" t="str">
            <v>Solar</v>
          </cell>
          <cell r="M86" t="str">
            <v>Dx</v>
          </cell>
          <cell r="N86" t="str">
            <v>Windsor</v>
          </cell>
          <cell r="O86" t="str">
            <v>Essex</v>
          </cell>
          <cell r="P86" t="str">
            <v>West</v>
          </cell>
        </row>
        <row r="87">
          <cell r="C87" t="str">
            <v>H06-1925 DIVISION</v>
          </cell>
          <cell r="D87" t="str">
            <v>PSI Solar Finance 1 Limited Partnership</v>
          </cell>
          <cell r="E87" t="str">
            <v>CO</v>
          </cell>
          <cell r="F87">
            <v>41714</v>
          </cell>
          <cell r="G87">
            <v>41848</v>
          </cell>
          <cell r="H87">
            <v>49018</v>
          </cell>
          <cell r="I87" t="str">
            <v>19 years, 7 months, 15 days</v>
          </cell>
          <cell r="J87" t="str">
            <v>Renewables</v>
          </cell>
          <cell r="K87" t="str">
            <v>Solar (Rooftop)</v>
          </cell>
          <cell r="L87" t="str">
            <v>Solar</v>
          </cell>
          <cell r="M87" t="str">
            <v>Dx</v>
          </cell>
          <cell r="N87" t="str">
            <v>Windsor</v>
          </cell>
          <cell r="O87" t="str">
            <v>Essex</v>
          </cell>
          <cell r="P87" t="str">
            <v>West</v>
          </cell>
        </row>
        <row r="88">
          <cell r="C88" t="str">
            <v>Hallstead Farm</v>
          </cell>
          <cell r="D88" t="str">
            <v>Hallstead Farms Ltd.</v>
          </cell>
          <cell r="E88" t="str">
            <v>CO</v>
          </cell>
          <cell r="F88">
            <v>41806</v>
          </cell>
          <cell r="G88">
            <v>41660</v>
          </cell>
          <cell r="H88">
            <v>48964</v>
          </cell>
          <cell r="I88" t="str">
            <v>19 years, 11 months, 30 days</v>
          </cell>
          <cell r="J88" t="str">
            <v>Renewables</v>
          </cell>
          <cell r="K88" t="str">
            <v>Solar (Rooftop)</v>
          </cell>
          <cell r="L88" t="str">
            <v>Solar</v>
          </cell>
          <cell r="M88" t="str">
            <v>Dx</v>
          </cell>
          <cell r="N88" t="str">
            <v>Springfield</v>
          </cell>
          <cell r="O88" t="str">
            <v>Elgin</v>
          </cell>
          <cell r="P88" t="str">
            <v>West</v>
          </cell>
        </row>
        <row r="89">
          <cell r="C89" t="str">
            <v>4890 Line 61</v>
          </cell>
          <cell r="D89" t="str">
            <v>Napal Acres</v>
          </cell>
          <cell r="E89" t="str">
            <v>CO</v>
          </cell>
          <cell r="F89">
            <v>41797</v>
          </cell>
          <cell r="G89">
            <v>41375</v>
          </cell>
          <cell r="H89">
            <v>48679</v>
          </cell>
          <cell r="I89" t="str">
            <v>19 years, 11 months, 30 days</v>
          </cell>
          <cell r="J89" t="str">
            <v>Renewables</v>
          </cell>
          <cell r="K89" t="str">
            <v>Solar (Rooftop)</v>
          </cell>
          <cell r="L89" t="str">
            <v>Solar</v>
          </cell>
          <cell r="M89" t="str">
            <v>Dx</v>
          </cell>
          <cell r="N89" t="str">
            <v>Milverton</v>
          </cell>
          <cell r="O89" t="str">
            <v>Perth</v>
          </cell>
          <cell r="P89" t="str">
            <v>Southwest</v>
          </cell>
        </row>
        <row r="90">
          <cell r="C90" t="str">
            <v>Russell West</v>
          </cell>
          <cell r="D90" t="str">
            <v>Roberge Energy West Inc.</v>
          </cell>
          <cell r="E90" t="str">
            <v>CO</v>
          </cell>
          <cell r="F90">
            <v>41818</v>
          </cell>
          <cell r="G90">
            <v>42251</v>
          </cell>
          <cell r="H90">
            <v>49122</v>
          </cell>
          <cell r="I90" t="str">
            <v>18 years, 9 months, 23 days</v>
          </cell>
          <cell r="J90" t="str">
            <v>Renewables</v>
          </cell>
          <cell r="K90" t="str">
            <v>Solar (Ground Mounted)</v>
          </cell>
          <cell r="L90" t="str">
            <v>Solar</v>
          </cell>
          <cell r="M90" t="str">
            <v>Dx</v>
          </cell>
          <cell r="N90" t="str">
            <v>Fauquier</v>
          </cell>
          <cell r="O90" t="str">
            <v>Cochrane</v>
          </cell>
          <cell r="P90" t="str">
            <v>Northeast</v>
          </cell>
        </row>
        <row r="91">
          <cell r="C91" t="str">
            <v>(C78) Real Canadian Superstore Guelph Street</v>
          </cell>
          <cell r="D91" t="str">
            <v>Firelight Solar LP</v>
          </cell>
          <cell r="E91" t="str">
            <v>CO</v>
          </cell>
          <cell r="F91">
            <v>41805</v>
          </cell>
          <cell r="G91">
            <v>41625</v>
          </cell>
          <cell r="H91">
            <v>48929</v>
          </cell>
          <cell r="I91" t="str">
            <v>19 years, 11 months, 29 days</v>
          </cell>
          <cell r="J91" t="str">
            <v>Renewables</v>
          </cell>
          <cell r="K91" t="str">
            <v>Solar (Rooftop)</v>
          </cell>
          <cell r="L91" t="str">
            <v>Solar</v>
          </cell>
          <cell r="M91" t="str">
            <v>Dx</v>
          </cell>
          <cell r="N91" t="str">
            <v>Halton Hills</v>
          </cell>
          <cell r="O91" t="str">
            <v>Halton</v>
          </cell>
          <cell r="P91" t="str">
            <v>Toronto</v>
          </cell>
        </row>
        <row r="92">
          <cell r="C92" t="str">
            <v>C10-106 Aviva Park</v>
          </cell>
          <cell r="D92" t="str">
            <v>Grand River Energy Solutions Corp.</v>
          </cell>
          <cell r="E92" t="str">
            <v>CO</v>
          </cell>
          <cell r="F92">
            <v>41735</v>
          </cell>
          <cell r="G92">
            <v>41918</v>
          </cell>
          <cell r="H92">
            <v>49222</v>
          </cell>
          <cell r="I92" t="str">
            <v>19 years, 11 months, 29 days</v>
          </cell>
          <cell r="J92" t="str">
            <v>Renewables</v>
          </cell>
          <cell r="K92" t="str">
            <v>Solar (Rooftop)</v>
          </cell>
          <cell r="L92" t="str">
            <v>Solar</v>
          </cell>
          <cell r="M92" t="str">
            <v>Dx</v>
          </cell>
          <cell r="N92" t="str">
            <v>Woodbridge</v>
          </cell>
          <cell r="O92" t="str">
            <v>York</v>
          </cell>
          <cell r="P92" t="str">
            <v>Toronto</v>
          </cell>
        </row>
        <row r="93">
          <cell r="C93">
            <v>15</v>
          </cell>
          <cell r="D93" t="str">
            <v>Marley Farms Ltd.</v>
          </cell>
          <cell r="E93" t="str">
            <v>CO</v>
          </cell>
          <cell r="F93">
            <v>41799</v>
          </cell>
          <cell r="G93">
            <v>41901</v>
          </cell>
          <cell r="H93">
            <v>49103</v>
          </cell>
          <cell r="I93" t="str">
            <v>19 years, 8 months, 20 days</v>
          </cell>
          <cell r="J93" t="str">
            <v>Renewables</v>
          </cell>
          <cell r="K93" t="str">
            <v>Solar (Rooftop)</v>
          </cell>
          <cell r="L93" t="str">
            <v>Solar</v>
          </cell>
          <cell r="M93" t="str">
            <v>Dx</v>
          </cell>
          <cell r="N93" t="str">
            <v>Teeswater</v>
          </cell>
          <cell r="O93" t="str">
            <v>Bruce</v>
          </cell>
          <cell r="P93" t="str">
            <v>Southwest</v>
          </cell>
        </row>
        <row r="94">
          <cell r="C94" t="str">
            <v>Across the road</v>
          </cell>
          <cell r="D94" t="str">
            <v>Joseph Nicholas Daunt</v>
          </cell>
          <cell r="E94" t="str">
            <v>CO</v>
          </cell>
          <cell r="F94">
            <v>41799</v>
          </cell>
          <cell r="G94">
            <v>41297</v>
          </cell>
          <cell r="H94">
            <v>48601</v>
          </cell>
          <cell r="I94" t="str">
            <v>19 years, 11 months, 30 days</v>
          </cell>
          <cell r="J94" t="str">
            <v>Renewables</v>
          </cell>
          <cell r="K94" t="str">
            <v>Solar (Rooftop)</v>
          </cell>
          <cell r="L94" t="str">
            <v>Solar</v>
          </cell>
          <cell r="M94" t="str">
            <v>Dx</v>
          </cell>
          <cell r="N94" t="str">
            <v>Gorrie</v>
          </cell>
          <cell r="O94" t="str">
            <v>Huron</v>
          </cell>
          <cell r="P94" t="str">
            <v>Southwest</v>
          </cell>
        </row>
        <row r="95">
          <cell r="C95" t="str">
            <v>1166 Caledonia</v>
          </cell>
          <cell r="D95" t="str">
            <v>Fovere Glenbarra Energy Fund II Limited Partnership</v>
          </cell>
          <cell r="E95" t="str">
            <v>CO</v>
          </cell>
          <cell r="F95">
            <v>41832</v>
          </cell>
          <cell r="G95">
            <v>41815</v>
          </cell>
          <cell r="H95">
            <v>49119</v>
          </cell>
          <cell r="I95" t="str">
            <v>19 years, 11 months, 30 days</v>
          </cell>
          <cell r="J95" t="str">
            <v>Renewables</v>
          </cell>
          <cell r="K95" t="str">
            <v>Solar (Rooftop)</v>
          </cell>
          <cell r="L95" t="str">
            <v>Solar</v>
          </cell>
          <cell r="M95" t="str">
            <v>Dx</v>
          </cell>
          <cell r="N95" t="str">
            <v>Toronto</v>
          </cell>
          <cell r="O95" t="str">
            <v>Toronto</v>
          </cell>
          <cell r="P95" t="str">
            <v>Toronto</v>
          </cell>
        </row>
        <row r="96">
          <cell r="C96" t="str">
            <v>The Frank Hasenfratz Centre of Excellence</v>
          </cell>
          <cell r="D96" t="str">
            <v>Linamar Holdings Inc.</v>
          </cell>
          <cell r="E96" t="str">
            <v>CO</v>
          </cell>
          <cell r="F96">
            <v>41029</v>
          </cell>
          <cell r="G96">
            <v>40728</v>
          </cell>
          <cell r="H96">
            <v>48032</v>
          </cell>
          <cell r="I96" t="str">
            <v>19 years, 11 months, 29 days</v>
          </cell>
          <cell r="J96" t="str">
            <v>Renewables</v>
          </cell>
          <cell r="K96" t="str">
            <v>Solar (Rooftop)</v>
          </cell>
          <cell r="L96" t="str">
            <v>Solar</v>
          </cell>
          <cell r="M96" t="str">
            <v>Dx</v>
          </cell>
          <cell r="N96" t="str">
            <v>Guelph</v>
          </cell>
          <cell r="O96" t="str">
            <v>Wellington</v>
          </cell>
          <cell r="P96" t="str">
            <v>Southwest</v>
          </cell>
        </row>
        <row r="97">
          <cell r="C97" t="str">
            <v>Fotheringham Agra Ltd Commercial Solar</v>
          </cell>
          <cell r="D97" t="str">
            <v>Fotheringham Agra Holdings Ltd.</v>
          </cell>
          <cell r="E97" t="str">
            <v>CO</v>
          </cell>
          <cell r="F97">
            <v>41832</v>
          </cell>
          <cell r="G97">
            <v>41548</v>
          </cell>
          <cell r="H97">
            <v>48852</v>
          </cell>
          <cell r="I97" t="str">
            <v>19 years, 11 months, 29 days</v>
          </cell>
          <cell r="J97" t="str">
            <v>Renewables</v>
          </cell>
          <cell r="K97" t="str">
            <v>Solar (Rooftop)</v>
          </cell>
          <cell r="L97" t="str">
            <v>Solar</v>
          </cell>
          <cell r="M97" t="str">
            <v>Dx</v>
          </cell>
          <cell r="N97" t="str">
            <v>Palmerston</v>
          </cell>
          <cell r="O97" t="str">
            <v>Wellington</v>
          </cell>
          <cell r="P97" t="str">
            <v>Southwest</v>
          </cell>
        </row>
        <row r="98">
          <cell r="C98" t="str">
            <v>Trinity College Larkin Building Rooftop PV System</v>
          </cell>
          <cell r="D98" t="str">
            <v>Trinity College</v>
          </cell>
          <cell r="E98" t="str">
            <v>CO</v>
          </cell>
          <cell r="F98">
            <v>40663</v>
          </cell>
          <cell r="G98">
            <v>40648</v>
          </cell>
          <cell r="H98">
            <v>47952</v>
          </cell>
          <cell r="I98" t="str">
            <v>19 years, 11 months, 30 days</v>
          </cell>
          <cell r="J98" t="str">
            <v>Renewables</v>
          </cell>
          <cell r="K98" t="str">
            <v>Solar (Rooftop)</v>
          </cell>
          <cell r="L98" t="str">
            <v>Solar</v>
          </cell>
          <cell r="M98" t="str">
            <v>Dx</v>
          </cell>
          <cell r="N98" t="str">
            <v>Toronto</v>
          </cell>
          <cell r="O98" t="str">
            <v>Toronto</v>
          </cell>
          <cell r="P98" t="str">
            <v>Toronto</v>
          </cell>
        </row>
        <row r="99">
          <cell r="C99" t="str">
            <v>Northland Power Solar North Burgess</v>
          </cell>
          <cell r="D99" t="str">
            <v>Northland Power Solar North Burgess L.P.</v>
          </cell>
          <cell r="E99" t="str">
            <v>CO</v>
          </cell>
          <cell r="F99">
            <v>41410</v>
          </cell>
          <cell r="G99">
            <v>41672</v>
          </cell>
          <cell r="H99">
            <v>48976</v>
          </cell>
          <cell r="I99" t="str">
            <v>19 years, 11 months, 30 days</v>
          </cell>
          <cell r="J99" t="str">
            <v>Renewables</v>
          </cell>
          <cell r="K99" t="str">
            <v>Solar (Ground Mounted)</v>
          </cell>
          <cell r="L99" t="str">
            <v>Solar</v>
          </cell>
          <cell r="M99" t="str">
            <v>Dx</v>
          </cell>
          <cell r="N99" t="str">
            <v>Perth</v>
          </cell>
          <cell r="O99" t="str">
            <v>Lanark</v>
          </cell>
          <cell r="P99" t="str">
            <v>East</v>
          </cell>
        </row>
        <row r="100">
          <cell r="C100" t="str">
            <v>O02-170 Stoneway</v>
          </cell>
          <cell r="D100" t="str">
            <v>PSI Solar Finance 1 Limited Partnership</v>
          </cell>
          <cell r="E100" t="str">
            <v>CO</v>
          </cell>
          <cell r="F100">
            <v>41832</v>
          </cell>
          <cell r="G100">
            <v>41312</v>
          </cell>
          <cell r="H100">
            <v>48616</v>
          </cell>
          <cell r="I100" t="str">
            <v>19 years, 11 months, 30 days</v>
          </cell>
          <cell r="J100" t="str">
            <v>Renewables</v>
          </cell>
          <cell r="K100" t="str">
            <v>Solar (Rooftop)</v>
          </cell>
          <cell r="L100" t="str">
            <v>Solar</v>
          </cell>
          <cell r="M100" t="str">
            <v>Dx</v>
          </cell>
          <cell r="N100" t="str">
            <v>Ottawa</v>
          </cell>
          <cell r="O100" t="str">
            <v>Ottawa</v>
          </cell>
          <cell r="P100" t="str">
            <v>Ottawa</v>
          </cell>
        </row>
        <row r="101">
          <cell r="C101" t="str">
            <v>7171 Jane Streeet</v>
          </cell>
          <cell r="D101" t="str">
            <v>Stellarbridge Management Inc.</v>
          </cell>
          <cell r="E101" t="str">
            <v>CO</v>
          </cell>
          <cell r="F101">
            <v>41476</v>
          </cell>
          <cell r="G101">
            <v>41008</v>
          </cell>
          <cell r="H101">
            <v>48312</v>
          </cell>
          <cell r="I101" t="str">
            <v>19 years, 11 months, 30 days</v>
          </cell>
          <cell r="J101" t="str">
            <v>Renewables</v>
          </cell>
          <cell r="K101" t="str">
            <v>Solar (Rooftop)</v>
          </cell>
          <cell r="L101" t="str">
            <v>Solar</v>
          </cell>
          <cell r="M101" t="str">
            <v>Dx</v>
          </cell>
          <cell r="N101" t="str">
            <v>Concord</v>
          </cell>
          <cell r="O101" t="str">
            <v>York</v>
          </cell>
          <cell r="P101" t="str">
            <v>Toronto</v>
          </cell>
        </row>
        <row r="102">
          <cell r="C102" t="str">
            <v>78 SIGNET</v>
          </cell>
          <cell r="D102" t="str">
            <v>PSI Solar Finance 1 Limited Partnership</v>
          </cell>
          <cell r="E102" t="str">
            <v>CO</v>
          </cell>
          <cell r="F102">
            <v>41029</v>
          </cell>
          <cell r="G102">
            <v>40780</v>
          </cell>
          <cell r="H102">
            <v>48084</v>
          </cell>
          <cell r="I102" t="str">
            <v>19 years, 11 months, 30 days</v>
          </cell>
          <cell r="J102" t="str">
            <v>Renewables</v>
          </cell>
          <cell r="K102" t="str">
            <v>Solar (Rooftop)</v>
          </cell>
          <cell r="L102" t="str">
            <v>Solar</v>
          </cell>
          <cell r="M102" t="str">
            <v>Dx</v>
          </cell>
          <cell r="N102" t="str">
            <v>Toronto</v>
          </cell>
          <cell r="O102" t="str">
            <v>Toronto</v>
          </cell>
          <cell r="P102" t="str">
            <v>Toronto</v>
          </cell>
        </row>
        <row r="103">
          <cell r="C103" t="str">
            <v>Better Living Centre Solar PV, Exhibition Place</v>
          </cell>
          <cell r="D103" t="str">
            <v>Toronto Hydro-Electric System Limited</v>
          </cell>
          <cell r="E103" t="str">
            <v>CO</v>
          </cell>
          <cell r="F103">
            <v>41029</v>
          </cell>
          <cell r="G103">
            <v>40838</v>
          </cell>
          <cell r="H103">
            <v>48142</v>
          </cell>
          <cell r="I103" t="str">
            <v>19 years, 11 months, 29 days</v>
          </cell>
          <cell r="J103" t="str">
            <v>Renewables</v>
          </cell>
          <cell r="K103" t="str">
            <v>Solar (Rooftop)</v>
          </cell>
          <cell r="L103" t="str">
            <v>Solar</v>
          </cell>
          <cell r="M103" t="str">
            <v>Dx</v>
          </cell>
          <cell r="N103" t="str">
            <v>Toronto</v>
          </cell>
          <cell r="O103" t="str">
            <v>Toronto</v>
          </cell>
          <cell r="P103" t="str">
            <v>Toronto</v>
          </cell>
        </row>
        <row r="104">
          <cell r="C104" t="str">
            <v>Carleton Corner Farms Ltd.</v>
          </cell>
          <cell r="D104" t="str">
            <v>Carleton Corner Farms Ltd.</v>
          </cell>
          <cell r="E104" t="str">
            <v>CO</v>
          </cell>
          <cell r="F104">
            <v>41723</v>
          </cell>
          <cell r="G104">
            <v>41129</v>
          </cell>
          <cell r="H104">
            <v>48433</v>
          </cell>
          <cell r="I104" t="str">
            <v>19 years, 11 months, 30 days</v>
          </cell>
          <cell r="J104" t="str">
            <v>Renewables</v>
          </cell>
          <cell r="K104" t="str">
            <v>Bioenergy</v>
          </cell>
          <cell r="L104" t="str">
            <v>Biogas</v>
          </cell>
          <cell r="M104" t="str">
            <v>Dx</v>
          </cell>
          <cell r="N104" t="str">
            <v>Russell</v>
          </cell>
          <cell r="O104" t="str">
            <v>Prescott and Russell</v>
          </cell>
          <cell r="P104" t="str">
            <v>Ottawa</v>
          </cell>
        </row>
        <row r="105">
          <cell r="C105" t="str">
            <v>Calsavara, Danila</v>
          </cell>
          <cell r="D105" t="str">
            <v>Alectra Utilities Corporation</v>
          </cell>
          <cell r="E105" t="str">
            <v>CO</v>
          </cell>
          <cell r="F105">
            <v>41820</v>
          </cell>
          <cell r="G105">
            <v>41332</v>
          </cell>
          <cell r="H105">
            <v>48636</v>
          </cell>
          <cell r="I105" t="str">
            <v>19 years, 11 months, 30 days</v>
          </cell>
          <cell r="J105" t="str">
            <v>Renewables</v>
          </cell>
          <cell r="K105" t="str">
            <v>Solar (Rooftop)</v>
          </cell>
          <cell r="L105" t="str">
            <v>Solar</v>
          </cell>
          <cell r="M105" t="str">
            <v>Dx</v>
          </cell>
          <cell r="N105" t="str">
            <v>Oldcastle</v>
          </cell>
          <cell r="O105" t="str">
            <v>Essex</v>
          </cell>
          <cell r="P105" t="str">
            <v>West</v>
          </cell>
        </row>
        <row r="106">
          <cell r="C106" t="str">
            <v>MightySolar</v>
          </cell>
          <cell r="D106" t="str">
            <v>Concord MightySolar Partnership</v>
          </cell>
          <cell r="E106" t="str">
            <v>CO</v>
          </cell>
          <cell r="F106">
            <v>41704</v>
          </cell>
          <cell r="G106">
            <v>41843</v>
          </cell>
          <cell r="H106">
            <v>49147</v>
          </cell>
          <cell r="I106" t="str">
            <v>19 years, 11 months, 29 days</v>
          </cell>
          <cell r="J106" t="str">
            <v>Renewables</v>
          </cell>
          <cell r="K106" t="str">
            <v>Solar (Ground Mounted)</v>
          </cell>
          <cell r="L106" t="str">
            <v>Solar</v>
          </cell>
          <cell r="M106" t="str">
            <v>Dx</v>
          </cell>
          <cell r="N106" t="str">
            <v>Chesterville</v>
          </cell>
          <cell r="O106" t="str">
            <v>Stormont, Dundas and Glengarry</v>
          </cell>
          <cell r="P106" t="str">
            <v>East</v>
          </cell>
        </row>
        <row r="107">
          <cell r="C107" t="str">
            <v>R.J. CYR CO. LIMITED</v>
          </cell>
          <cell r="D107" t="str">
            <v>Alectra Utilities Corporation</v>
          </cell>
          <cell r="E107" t="str">
            <v>CO</v>
          </cell>
          <cell r="F107">
            <v>41820</v>
          </cell>
          <cell r="G107">
            <v>41255</v>
          </cell>
          <cell r="H107">
            <v>48559</v>
          </cell>
          <cell r="I107" t="str">
            <v>19 years, 11 months, 29 days</v>
          </cell>
          <cell r="J107" t="str">
            <v>Renewables</v>
          </cell>
          <cell r="K107" t="str">
            <v>Solar (Rooftop)</v>
          </cell>
          <cell r="L107" t="str">
            <v>Solar</v>
          </cell>
          <cell r="M107" t="str">
            <v>Dx</v>
          </cell>
          <cell r="N107" t="str">
            <v>Maidstone</v>
          </cell>
          <cell r="O107" t="str">
            <v>Essex</v>
          </cell>
          <cell r="P107" t="str">
            <v>West</v>
          </cell>
        </row>
        <row r="108">
          <cell r="C108" t="str">
            <v>Woolwich Bio-En Inc.</v>
          </cell>
          <cell r="D108" t="str">
            <v>SBE Limited Partnership</v>
          </cell>
          <cell r="E108" t="str">
            <v>CO</v>
          </cell>
          <cell r="F108">
            <v>41763</v>
          </cell>
          <cell r="G108">
            <v>41737</v>
          </cell>
          <cell r="H108">
            <v>49041</v>
          </cell>
          <cell r="I108" t="str">
            <v>19 years, 11 months, 30 days</v>
          </cell>
          <cell r="J108" t="str">
            <v>Renewables</v>
          </cell>
          <cell r="K108" t="str">
            <v>Bioenergy</v>
          </cell>
          <cell r="L108" t="str">
            <v>Biogas</v>
          </cell>
          <cell r="M108" t="str">
            <v>Dx</v>
          </cell>
          <cell r="N108" t="str">
            <v>Elmira</v>
          </cell>
          <cell r="O108" t="str">
            <v>Waterloo</v>
          </cell>
          <cell r="P108" t="str">
            <v>Southwest</v>
          </cell>
        </row>
        <row r="109">
          <cell r="C109" t="str">
            <v>855 Industrial</v>
          </cell>
          <cell r="D109" t="str">
            <v>PSI Solar Finance 1 Limited Partnership</v>
          </cell>
          <cell r="E109" t="str">
            <v>CO</v>
          </cell>
          <cell r="F109">
            <v>41345</v>
          </cell>
          <cell r="G109">
            <v>41526</v>
          </cell>
          <cell r="H109">
            <v>48649</v>
          </cell>
          <cell r="I109" t="str">
            <v>19 years, 6 months, 2 days</v>
          </cell>
          <cell r="J109" t="str">
            <v>Renewables</v>
          </cell>
          <cell r="K109" t="str">
            <v>Solar (Rooftop)</v>
          </cell>
          <cell r="L109" t="str">
            <v>Solar</v>
          </cell>
          <cell r="M109" t="str">
            <v>Dx</v>
          </cell>
          <cell r="N109" t="str">
            <v>Ottawa</v>
          </cell>
          <cell r="O109" t="str">
            <v>Ottawa</v>
          </cell>
          <cell r="P109" t="str">
            <v>Ottawa</v>
          </cell>
        </row>
        <row r="110">
          <cell r="C110" t="str">
            <v>Owens Solar</v>
          </cell>
          <cell r="D110" t="str">
            <v>Solaire Kapuskasing Solar Inc.</v>
          </cell>
          <cell r="E110" t="str">
            <v>CO</v>
          </cell>
          <cell r="F110">
            <v>41863</v>
          </cell>
          <cell r="G110">
            <v>41918</v>
          </cell>
          <cell r="H110">
            <v>49222</v>
          </cell>
          <cell r="I110" t="str">
            <v>19 years, 11 months, 29 days</v>
          </cell>
          <cell r="J110" t="str">
            <v>Renewables</v>
          </cell>
          <cell r="K110" t="str">
            <v>Solar (Ground Mounted)</v>
          </cell>
          <cell r="L110" t="str">
            <v>Solar</v>
          </cell>
          <cell r="M110" t="str">
            <v>Dx</v>
          </cell>
          <cell r="N110" t="str">
            <v>Val Rita</v>
          </cell>
          <cell r="O110" t="str">
            <v>Cochrane</v>
          </cell>
          <cell r="P110" t="str">
            <v>Northeast</v>
          </cell>
        </row>
        <row r="111">
          <cell r="C111" t="str">
            <v>745 Burnett Street</v>
          </cell>
          <cell r="D111" t="str">
            <v>Jay Patry Enterprises Inc.</v>
          </cell>
          <cell r="E111" t="str">
            <v>CO</v>
          </cell>
          <cell r="F111">
            <v>41825</v>
          </cell>
          <cell r="G111">
            <v>42004</v>
          </cell>
          <cell r="H111">
            <v>49308</v>
          </cell>
          <cell r="I111" t="str">
            <v>19 years, 11 months, 29 days</v>
          </cell>
          <cell r="J111" t="str">
            <v>Renewables</v>
          </cell>
          <cell r="K111" t="str">
            <v>Solar (Rooftop)</v>
          </cell>
          <cell r="L111" t="str">
            <v>Solar</v>
          </cell>
          <cell r="M111" t="str">
            <v>Dx</v>
          </cell>
          <cell r="N111" t="str">
            <v>Kingston</v>
          </cell>
          <cell r="O111" t="str">
            <v>Frontenac</v>
          </cell>
          <cell r="P111" t="str">
            <v>East</v>
          </cell>
        </row>
        <row r="112">
          <cell r="C112" t="str">
            <v>Van Der Veen Solar</v>
          </cell>
          <cell r="D112" t="str">
            <v>Peter Van Der Veen</v>
          </cell>
          <cell r="E112" t="str">
            <v>CO</v>
          </cell>
          <cell r="F112">
            <v>41029</v>
          </cell>
          <cell r="G112">
            <v>40815</v>
          </cell>
          <cell r="H112">
            <v>48119</v>
          </cell>
          <cell r="I112" t="str">
            <v>19 years, 11 months, 30 days</v>
          </cell>
          <cell r="J112" t="str">
            <v>Renewables</v>
          </cell>
          <cell r="K112" t="str">
            <v>Solar (Rooftop)</v>
          </cell>
          <cell r="L112" t="str">
            <v>Solar</v>
          </cell>
          <cell r="M112" t="str">
            <v>Dx</v>
          </cell>
          <cell r="N112" t="str">
            <v>Grand Valley</v>
          </cell>
          <cell r="O112" t="str">
            <v>Dufferin</v>
          </cell>
          <cell r="P112" t="str">
            <v>Southwest</v>
          </cell>
        </row>
        <row r="113">
          <cell r="C113" t="str">
            <v>M07-20 Commander</v>
          </cell>
          <cell r="D113" t="str">
            <v>Alectra Utilities Corporation</v>
          </cell>
          <cell r="E113" t="str">
            <v>CO</v>
          </cell>
          <cell r="F113">
            <v>41722</v>
          </cell>
          <cell r="G113">
            <v>41906</v>
          </cell>
          <cell r="H113">
            <v>49210</v>
          </cell>
          <cell r="I113" t="str">
            <v>19 years, 11 months, 30 days</v>
          </cell>
          <cell r="J113" t="str">
            <v>Renewables</v>
          </cell>
          <cell r="K113" t="str">
            <v>Solar (Rooftop)</v>
          </cell>
          <cell r="L113" t="str">
            <v>Solar</v>
          </cell>
          <cell r="M113" t="str">
            <v>Dx</v>
          </cell>
          <cell r="N113" t="str">
            <v>Toronto</v>
          </cell>
          <cell r="O113" t="str">
            <v>Toronto</v>
          </cell>
          <cell r="P113" t="str">
            <v>Toronto</v>
          </cell>
        </row>
        <row r="114">
          <cell r="C114" t="str">
            <v>Ferme 3V Solaire</v>
          </cell>
          <cell r="D114" t="str">
            <v>8303703 Canada Inc.</v>
          </cell>
          <cell r="E114" t="str">
            <v>CO</v>
          </cell>
          <cell r="F114">
            <v>41813</v>
          </cell>
          <cell r="G114">
            <v>41409</v>
          </cell>
          <cell r="H114">
            <v>48713</v>
          </cell>
          <cell r="I114" t="str">
            <v>19 years, 11 months, 29 days</v>
          </cell>
          <cell r="J114" t="str">
            <v>Renewables</v>
          </cell>
          <cell r="K114" t="str">
            <v>Solar (Rooftop)</v>
          </cell>
          <cell r="L114" t="str">
            <v>Solar</v>
          </cell>
          <cell r="M114" t="str">
            <v>Dx</v>
          </cell>
          <cell r="N114" t="str">
            <v>St. Eugene</v>
          </cell>
          <cell r="O114" t="str">
            <v>Prescott and Russell</v>
          </cell>
          <cell r="P114" t="str">
            <v>Ottawa</v>
          </cell>
        </row>
        <row r="115">
          <cell r="C115" t="str">
            <v>Southwestern 100</v>
          </cell>
          <cell r="D115" t="str">
            <v>Southwestern Manufacturing Inc.</v>
          </cell>
          <cell r="E115" t="str">
            <v>CO</v>
          </cell>
          <cell r="F115">
            <v>41545</v>
          </cell>
          <cell r="G115">
            <v>41682</v>
          </cell>
          <cell r="H115">
            <v>48849</v>
          </cell>
          <cell r="I115" t="str">
            <v>19 years, 7 months, 15 days</v>
          </cell>
          <cell r="J115" t="str">
            <v>Renewables</v>
          </cell>
          <cell r="K115" t="str">
            <v>Solar (Rooftop)</v>
          </cell>
          <cell r="L115" t="str">
            <v>Solar</v>
          </cell>
          <cell r="M115" t="str">
            <v>Dx</v>
          </cell>
          <cell r="N115" t="str">
            <v>Windsor</v>
          </cell>
          <cell r="O115" t="str">
            <v>Essex</v>
          </cell>
          <cell r="P115" t="str">
            <v>West</v>
          </cell>
        </row>
        <row r="116">
          <cell r="C116" t="str">
            <v>G03-7200 Martin</v>
          </cell>
          <cell r="D116" t="str">
            <v>Martin Grove Solar LP</v>
          </cell>
          <cell r="E116" t="str">
            <v>CO</v>
          </cell>
          <cell r="F116">
            <v>41720</v>
          </cell>
          <cell r="G116">
            <v>41891</v>
          </cell>
          <cell r="H116">
            <v>49024</v>
          </cell>
          <cell r="I116" t="str">
            <v>19 years, 6 months, 12 days</v>
          </cell>
          <cell r="J116" t="str">
            <v>Renewables</v>
          </cell>
          <cell r="K116" t="str">
            <v>Solar (Rooftop)</v>
          </cell>
          <cell r="L116" t="str">
            <v>Solar</v>
          </cell>
          <cell r="M116" t="str">
            <v>Dx</v>
          </cell>
          <cell r="N116" t="str">
            <v>Woodbridge</v>
          </cell>
          <cell r="O116" t="str">
            <v>York</v>
          </cell>
          <cell r="P116" t="str">
            <v>Toronto</v>
          </cell>
        </row>
        <row r="117">
          <cell r="C117" t="str">
            <v>O02-7859 Decarie</v>
          </cell>
          <cell r="D117" t="str">
            <v>PSI Solar Finance 1 Limited Partnership</v>
          </cell>
          <cell r="E117" t="str">
            <v>CO</v>
          </cell>
          <cell r="F117">
            <v>41832</v>
          </cell>
          <cell r="G117">
            <v>41788</v>
          </cell>
          <cell r="H117">
            <v>49092</v>
          </cell>
          <cell r="I117" t="str">
            <v>19 years, 11 months, 29 days</v>
          </cell>
          <cell r="J117" t="str">
            <v>Renewables</v>
          </cell>
          <cell r="K117" t="str">
            <v>Solar (Rooftop)</v>
          </cell>
          <cell r="L117" t="str">
            <v>Solar</v>
          </cell>
          <cell r="M117" t="str">
            <v>Dx</v>
          </cell>
          <cell r="N117" t="str">
            <v>Ottawa</v>
          </cell>
          <cell r="O117" t="str">
            <v>Ottawa</v>
          </cell>
          <cell r="P117" t="str">
            <v>Ottawa</v>
          </cell>
        </row>
        <row r="118">
          <cell r="C118" t="str">
            <v>Central Huron Arena Solar PV Project</v>
          </cell>
          <cell r="D118" t="str">
            <v>Municipality of Central Huron</v>
          </cell>
          <cell r="E118" t="str">
            <v>CO</v>
          </cell>
          <cell r="F118">
            <v>41827</v>
          </cell>
          <cell r="G118">
            <v>41698</v>
          </cell>
          <cell r="H118">
            <v>49002</v>
          </cell>
          <cell r="I118" t="str">
            <v>19 years, 11 months, 30 days</v>
          </cell>
          <cell r="J118" t="str">
            <v>Renewables</v>
          </cell>
          <cell r="K118" t="str">
            <v>Solar (Rooftop)</v>
          </cell>
          <cell r="L118" t="str">
            <v>Solar</v>
          </cell>
          <cell r="M118" t="str">
            <v>Dx</v>
          </cell>
          <cell r="N118" t="str">
            <v>Clinton</v>
          </cell>
          <cell r="O118" t="str">
            <v>Huron</v>
          </cell>
          <cell r="P118" t="str">
            <v>Southwest</v>
          </cell>
        </row>
        <row r="119">
          <cell r="C119" t="str">
            <v>K03-44 Elgin</v>
          </cell>
          <cell r="D119" t="str">
            <v>GS 2013 LP</v>
          </cell>
          <cell r="E119" t="str">
            <v>CO</v>
          </cell>
          <cell r="F119">
            <v>41729</v>
          </cell>
          <cell r="G119">
            <v>41621</v>
          </cell>
          <cell r="H119">
            <v>48925</v>
          </cell>
          <cell r="I119" t="str">
            <v>19 years, 11 months, 29 days</v>
          </cell>
          <cell r="J119" t="str">
            <v>Renewables</v>
          </cell>
          <cell r="K119" t="str">
            <v>Solar (Rooftop)</v>
          </cell>
          <cell r="L119" t="str">
            <v>Solar</v>
          </cell>
          <cell r="M119" t="str">
            <v>Dx</v>
          </cell>
          <cell r="N119" t="str">
            <v>Brantford</v>
          </cell>
          <cell r="O119" t="str">
            <v>Brant</v>
          </cell>
          <cell r="P119" t="str">
            <v>Southwest</v>
          </cell>
        </row>
        <row r="120">
          <cell r="C120" t="str">
            <v>South Keys Self Storage Corporation</v>
          </cell>
          <cell r="D120" t="str">
            <v>Dymon Storage (Ottawa) Corporation</v>
          </cell>
          <cell r="E120" t="str">
            <v>CO</v>
          </cell>
          <cell r="F120">
            <v>41822</v>
          </cell>
          <cell r="G120">
            <v>41970</v>
          </cell>
          <cell r="H120">
            <v>49274</v>
          </cell>
          <cell r="I120" t="str">
            <v>19 years, 11 months, 30 days</v>
          </cell>
          <cell r="J120" t="str">
            <v>Renewables</v>
          </cell>
          <cell r="K120" t="str">
            <v>Solar (Rooftop)</v>
          </cell>
          <cell r="L120" t="str">
            <v>Solar</v>
          </cell>
          <cell r="M120" t="str">
            <v>Dx</v>
          </cell>
          <cell r="N120" t="str">
            <v>Ottawa</v>
          </cell>
          <cell r="O120" t="str">
            <v>Ottawa</v>
          </cell>
          <cell r="P120" t="str">
            <v>Ottawa</v>
          </cell>
        </row>
        <row r="121">
          <cell r="C121" t="str">
            <v>750 Richmond Street</v>
          </cell>
          <cell r="D121" t="str">
            <v>Brightroof Solar Limited Partnership</v>
          </cell>
          <cell r="E121" t="str">
            <v>CO</v>
          </cell>
          <cell r="F121">
            <v>41723</v>
          </cell>
          <cell r="G121">
            <v>41411</v>
          </cell>
          <cell r="H121">
            <v>48715</v>
          </cell>
          <cell r="I121" t="str">
            <v>19 years, 11 months, 29 days</v>
          </cell>
          <cell r="J121" t="str">
            <v>Renewables</v>
          </cell>
          <cell r="K121" t="str">
            <v>Solar (Rooftop)</v>
          </cell>
          <cell r="L121" t="str">
            <v>Solar</v>
          </cell>
          <cell r="M121" t="str">
            <v>Dx</v>
          </cell>
          <cell r="N121" t="str">
            <v>Chatham</v>
          </cell>
          <cell r="O121" t="str">
            <v>Chatham-Kent</v>
          </cell>
          <cell r="P121" t="str">
            <v>West</v>
          </cell>
        </row>
        <row r="122">
          <cell r="C122" t="str">
            <v>B01-110 Morton</v>
          </cell>
          <cell r="D122" t="str">
            <v>Firelight Solar LP</v>
          </cell>
          <cell r="E122" t="str">
            <v>CO</v>
          </cell>
          <cell r="F122">
            <v>41715</v>
          </cell>
          <cell r="G122">
            <v>41061</v>
          </cell>
          <cell r="H122">
            <v>48365</v>
          </cell>
          <cell r="I122" t="str">
            <v>19 years, 11 months, 30 days</v>
          </cell>
          <cell r="J122" t="str">
            <v>Renewables</v>
          </cell>
          <cell r="K122" t="str">
            <v>Solar (Rooftop)</v>
          </cell>
          <cell r="L122" t="str">
            <v>Solar</v>
          </cell>
          <cell r="M122" t="str">
            <v>Dx</v>
          </cell>
          <cell r="N122" t="str">
            <v>Brantford</v>
          </cell>
          <cell r="O122" t="str">
            <v>Brant</v>
          </cell>
          <cell r="P122" t="str">
            <v>Southwest</v>
          </cell>
        </row>
        <row r="123">
          <cell r="C123" t="str">
            <v>(C2) Real Canadian Superstore Gerry Fitzgerald Dr.</v>
          </cell>
          <cell r="D123" t="str">
            <v>Firelight Solar LP</v>
          </cell>
          <cell r="E123" t="str">
            <v>CO</v>
          </cell>
          <cell r="F123">
            <v>41721</v>
          </cell>
          <cell r="G123">
            <v>41529</v>
          </cell>
          <cell r="H123">
            <v>48833</v>
          </cell>
          <cell r="I123" t="str">
            <v>19 years, 11 months, 30 days</v>
          </cell>
          <cell r="J123" t="str">
            <v>Renewables</v>
          </cell>
          <cell r="K123" t="str">
            <v>Solar (Rooftop)</v>
          </cell>
          <cell r="L123" t="str">
            <v>Solar</v>
          </cell>
          <cell r="M123" t="str">
            <v>Dx</v>
          </cell>
          <cell r="N123" t="str">
            <v>Toronto</v>
          </cell>
          <cell r="O123" t="str">
            <v>Toronto</v>
          </cell>
          <cell r="P123" t="str">
            <v>Toronto</v>
          </cell>
        </row>
        <row r="124">
          <cell r="C124" t="str">
            <v>A01-3400 Pharmacy</v>
          </cell>
          <cell r="D124" t="str">
            <v>PSI Solar Finance 1 Limited Partnership</v>
          </cell>
          <cell r="E124" t="str">
            <v>CO</v>
          </cell>
          <cell r="F124">
            <v>41849</v>
          </cell>
          <cell r="G124">
            <v>41850</v>
          </cell>
          <cell r="H124">
            <v>49154</v>
          </cell>
          <cell r="I124" t="str">
            <v>19 years, 11 months, 29 days</v>
          </cell>
          <cell r="J124" t="str">
            <v>Renewables</v>
          </cell>
          <cell r="K124" t="str">
            <v>Solar (Rooftop)</v>
          </cell>
          <cell r="L124" t="str">
            <v>Solar</v>
          </cell>
          <cell r="M124" t="str">
            <v>Dx</v>
          </cell>
          <cell r="N124" t="str">
            <v>Toronto</v>
          </cell>
          <cell r="O124" t="str">
            <v>Toronto</v>
          </cell>
          <cell r="P124" t="str">
            <v>Toronto</v>
          </cell>
        </row>
        <row r="125">
          <cell r="C125" t="str">
            <v>Northland Power Solar Burks Falls East</v>
          </cell>
          <cell r="D125" t="str">
            <v>Northland Power Solar Burks Falls East L.P.</v>
          </cell>
          <cell r="E125" t="str">
            <v>CO</v>
          </cell>
          <cell r="F125">
            <v>41506</v>
          </cell>
          <cell r="G125">
            <v>41540</v>
          </cell>
          <cell r="H125">
            <v>48844</v>
          </cell>
          <cell r="I125" t="str">
            <v>19 years, 11 months, 30 days</v>
          </cell>
          <cell r="J125" t="str">
            <v>Renewables</v>
          </cell>
          <cell r="K125" t="str">
            <v>Solar (Ground Mounted)</v>
          </cell>
          <cell r="L125" t="str">
            <v>Solar</v>
          </cell>
          <cell r="M125" t="str">
            <v>Dx</v>
          </cell>
          <cell r="N125" t="str">
            <v>Burks Falls</v>
          </cell>
          <cell r="O125" t="str">
            <v>Parry Sound</v>
          </cell>
          <cell r="P125" t="str">
            <v>Essa</v>
          </cell>
        </row>
        <row r="126">
          <cell r="C126" t="str">
            <v>Eden Farms Solar</v>
          </cell>
          <cell r="D126" t="str">
            <v>E.S. Tache Investments Ltd.</v>
          </cell>
          <cell r="E126" t="str">
            <v>CO</v>
          </cell>
          <cell r="F126">
            <v>41029</v>
          </cell>
          <cell r="G126">
            <v>40676</v>
          </cell>
          <cell r="H126">
            <v>47980</v>
          </cell>
          <cell r="I126" t="str">
            <v>19 years, 11 months, 29 days</v>
          </cell>
          <cell r="J126" t="str">
            <v>Renewables</v>
          </cell>
          <cell r="K126" t="str">
            <v>Solar (Rooftop)</v>
          </cell>
          <cell r="L126" t="str">
            <v>Solar</v>
          </cell>
          <cell r="M126" t="str">
            <v>Dx</v>
          </cell>
          <cell r="N126" t="str">
            <v>Meaford</v>
          </cell>
          <cell r="O126" t="str">
            <v>Grey</v>
          </cell>
          <cell r="P126" t="str">
            <v>Southwest</v>
          </cell>
        </row>
        <row r="127">
          <cell r="C127" t="str">
            <v>Zurich</v>
          </cell>
          <cell r="D127" t="str">
            <v>Ottawa Renewable Energy Co-operative Inc.</v>
          </cell>
          <cell r="E127" t="str">
            <v>CO</v>
          </cell>
          <cell r="F127">
            <v>41343</v>
          </cell>
          <cell r="G127">
            <v>40464</v>
          </cell>
          <cell r="H127">
            <v>47768</v>
          </cell>
          <cell r="I127" t="str">
            <v>19 years, 11 months, 29 days</v>
          </cell>
          <cell r="J127" t="str">
            <v>Renewables</v>
          </cell>
          <cell r="K127" t="str">
            <v>Wind (On-Shore)</v>
          </cell>
          <cell r="L127" t="str">
            <v>Wind</v>
          </cell>
          <cell r="M127" t="str">
            <v>Dx</v>
          </cell>
          <cell r="N127" t="str">
            <v>Zurich</v>
          </cell>
          <cell r="O127" t="str">
            <v>Huron</v>
          </cell>
          <cell r="P127" t="str">
            <v>Southwest</v>
          </cell>
        </row>
        <row r="128">
          <cell r="C128" t="str">
            <v>Jockvalley Farms Limited</v>
          </cell>
          <cell r="D128" t="str">
            <v>Jockvalley Farms Ltd</v>
          </cell>
          <cell r="E128" t="str">
            <v>CO</v>
          </cell>
          <cell r="F128">
            <v>41716</v>
          </cell>
          <cell r="G128">
            <v>41153</v>
          </cell>
          <cell r="H128">
            <v>48457</v>
          </cell>
          <cell r="I128" t="str">
            <v>19 years, 11 months, 30 days</v>
          </cell>
          <cell r="J128" t="str">
            <v>Renewables</v>
          </cell>
          <cell r="K128" t="str">
            <v>Bioenergy</v>
          </cell>
          <cell r="L128" t="str">
            <v>Biogas</v>
          </cell>
          <cell r="M128" t="str">
            <v>Dx</v>
          </cell>
          <cell r="N128" t="str">
            <v>Ashton</v>
          </cell>
          <cell r="O128" t="str">
            <v>Lanark</v>
          </cell>
          <cell r="P128" t="str">
            <v>East</v>
          </cell>
        </row>
        <row r="129">
          <cell r="C129" t="str">
            <v>Norsecan Solar</v>
          </cell>
          <cell r="D129" t="str">
            <v>Fovere Glenbarra Energy Fund II Limited Partnership</v>
          </cell>
          <cell r="E129" t="str">
            <v>CO</v>
          </cell>
          <cell r="F129">
            <v>41029</v>
          </cell>
          <cell r="G129">
            <v>41136</v>
          </cell>
          <cell r="H129">
            <v>48333</v>
          </cell>
          <cell r="I129" t="str">
            <v>19 years, 8 months, 14 days</v>
          </cell>
          <cell r="J129" t="str">
            <v>Renewables</v>
          </cell>
          <cell r="K129" t="str">
            <v>Solar (Rooftop)</v>
          </cell>
          <cell r="L129" t="str">
            <v>Solar</v>
          </cell>
          <cell r="M129" t="str">
            <v>Dx</v>
          </cell>
          <cell r="N129" t="str">
            <v>Kingston</v>
          </cell>
          <cell r="O129" t="str">
            <v>Frontenac</v>
          </cell>
          <cell r="P129" t="str">
            <v>East</v>
          </cell>
        </row>
        <row r="130">
          <cell r="C130" t="str">
            <v>Wildwood Roof</v>
          </cell>
          <cell r="D130" t="str">
            <v>W. Charlot Grains Ltd.</v>
          </cell>
          <cell r="E130" t="str">
            <v>CO</v>
          </cell>
          <cell r="F130">
            <v>41804</v>
          </cell>
          <cell r="G130">
            <v>41355</v>
          </cell>
          <cell r="H130">
            <v>48659</v>
          </cell>
          <cell r="I130" t="str">
            <v>19 years, 11 months, 27 days</v>
          </cell>
          <cell r="J130" t="str">
            <v>Renewables</v>
          </cell>
          <cell r="K130" t="str">
            <v>Solar (Rooftop)</v>
          </cell>
          <cell r="L130" t="str">
            <v>Solar</v>
          </cell>
          <cell r="M130" t="str">
            <v>Dx</v>
          </cell>
          <cell r="N130" t="str">
            <v>St. Marys</v>
          </cell>
          <cell r="O130" t="str">
            <v>Perth</v>
          </cell>
          <cell r="P130" t="str">
            <v>Southwest</v>
          </cell>
        </row>
        <row r="131">
          <cell r="C131" t="str">
            <v>(F36) Your Independent Grocer Highway 69 North</v>
          </cell>
          <cell r="D131" t="str">
            <v>Firelight Solar LP</v>
          </cell>
          <cell r="E131" t="str">
            <v>CO</v>
          </cell>
          <cell r="F131">
            <v>41727</v>
          </cell>
          <cell r="G131">
            <v>41837</v>
          </cell>
          <cell r="H131">
            <v>49141</v>
          </cell>
          <cell r="I131" t="str">
            <v>19 years, 11 months, 29 days</v>
          </cell>
          <cell r="J131" t="str">
            <v>Renewables</v>
          </cell>
          <cell r="K131" t="str">
            <v>Solar (Rooftop)</v>
          </cell>
          <cell r="L131" t="str">
            <v>Solar</v>
          </cell>
          <cell r="M131" t="str">
            <v>Dx</v>
          </cell>
          <cell r="N131" t="str">
            <v>Hanmer</v>
          </cell>
          <cell r="O131" t="str">
            <v>Greater Sudbury</v>
          </cell>
          <cell r="P131" t="str">
            <v>Northeast</v>
          </cell>
        </row>
        <row r="132">
          <cell r="C132" t="str">
            <v>5 St. Regis</v>
          </cell>
          <cell r="D132" t="str">
            <v>St. Regis Solar Power Corporation</v>
          </cell>
          <cell r="E132" t="str">
            <v>CO</v>
          </cell>
          <cell r="F132">
            <v>41811</v>
          </cell>
          <cell r="G132">
            <v>41884</v>
          </cell>
          <cell r="H132">
            <v>49188</v>
          </cell>
          <cell r="I132" t="str">
            <v>19 years, 11 months, 30 days</v>
          </cell>
          <cell r="J132" t="str">
            <v>Renewables</v>
          </cell>
          <cell r="K132" t="str">
            <v>Solar (Rooftop)</v>
          </cell>
          <cell r="L132" t="str">
            <v>Solar</v>
          </cell>
          <cell r="M132" t="str">
            <v>Dx</v>
          </cell>
          <cell r="N132" t="str">
            <v>Toronto</v>
          </cell>
          <cell r="O132" t="str">
            <v>Toronto</v>
          </cell>
          <cell r="P132" t="str">
            <v>Toronto</v>
          </cell>
        </row>
        <row r="133">
          <cell r="C133" t="str">
            <v>Northland Power Solar Belleville North</v>
          </cell>
          <cell r="D133" t="str">
            <v>Northland Power Solar Belleville North L.P.</v>
          </cell>
          <cell r="E133" t="str">
            <v>CO</v>
          </cell>
          <cell r="F133">
            <v>41323</v>
          </cell>
          <cell r="G133">
            <v>41446</v>
          </cell>
          <cell r="H133">
            <v>48750</v>
          </cell>
          <cell r="I133" t="str">
            <v>19 years, 11 months, 30 days</v>
          </cell>
          <cell r="J133" t="str">
            <v>Renewables</v>
          </cell>
          <cell r="K133" t="str">
            <v>Solar (Ground Mounted)</v>
          </cell>
          <cell r="L133" t="str">
            <v>Solar</v>
          </cell>
          <cell r="M133" t="str">
            <v>Dx</v>
          </cell>
          <cell r="N133" t="str">
            <v>Ameliasburgh</v>
          </cell>
          <cell r="O133" t="str">
            <v>Prince Edward</v>
          </cell>
          <cell r="P133" t="str">
            <v>East</v>
          </cell>
        </row>
        <row r="134">
          <cell r="C134" t="str">
            <v>Linamar Gear</v>
          </cell>
          <cell r="D134" t="str">
            <v>Linamar Corporation</v>
          </cell>
          <cell r="E134" t="str">
            <v>CO</v>
          </cell>
          <cell r="F134">
            <v>41029</v>
          </cell>
          <cell r="G134">
            <v>40983</v>
          </cell>
          <cell r="H134">
            <v>48287</v>
          </cell>
          <cell r="I134" t="str">
            <v>19 years, 11 months, 28 days</v>
          </cell>
          <cell r="J134" t="str">
            <v>Renewables</v>
          </cell>
          <cell r="K134" t="str">
            <v>Solar (Rooftop)</v>
          </cell>
          <cell r="L134" t="str">
            <v>Solar</v>
          </cell>
          <cell r="M134" t="str">
            <v>Dx</v>
          </cell>
          <cell r="N134" t="str">
            <v>Guelph</v>
          </cell>
          <cell r="O134" t="str">
            <v>Wellington</v>
          </cell>
          <cell r="P134" t="str">
            <v>Southwest</v>
          </cell>
        </row>
        <row r="135">
          <cell r="C135" t="str">
            <v>RE Sunningdale 1</v>
          </cell>
          <cell r="D135" t="str">
            <v>RE Sunningdale LP</v>
          </cell>
          <cell r="E135" t="str">
            <v>CO</v>
          </cell>
          <cell r="F135">
            <v>41826</v>
          </cell>
          <cell r="G135">
            <v>41773</v>
          </cell>
          <cell r="H135">
            <v>49077</v>
          </cell>
          <cell r="I135" t="str">
            <v>19 years, 11 months, 29 days</v>
          </cell>
          <cell r="J135" t="str">
            <v>Renewables</v>
          </cell>
          <cell r="K135" t="str">
            <v>Solar (Ground Mounted)</v>
          </cell>
          <cell r="L135" t="str">
            <v>Solar</v>
          </cell>
          <cell r="M135" t="str">
            <v>Dx</v>
          </cell>
          <cell r="N135" t="str">
            <v>Thorndale</v>
          </cell>
          <cell r="O135" t="str">
            <v>Middlesex</v>
          </cell>
          <cell r="P135" t="str">
            <v>West</v>
          </cell>
        </row>
        <row r="136">
          <cell r="C136" t="str">
            <v>6Melanie</v>
          </cell>
          <cell r="D136" t="str">
            <v>Leama Investments Limited</v>
          </cell>
          <cell r="E136" t="str">
            <v>CO</v>
          </cell>
          <cell r="F136">
            <v>41813</v>
          </cell>
          <cell r="G136">
            <v>41722</v>
          </cell>
          <cell r="H136">
            <v>49026</v>
          </cell>
          <cell r="I136" t="str">
            <v>19 years, 11 months, 27 days</v>
          </cell>
          <cell r="J136" t="str">
            <v>Renewables</v>
          </cell>
          <cell r="K136" t="str">
            <v>Solar (Rooftop)</v>
          </cell>
          <cell r="L136" t="str">
            <v>Solar</v>
          </cell>
          <cell r="M136" t="str">
            <v>Dx</v>
          </cell>
          <cell r="N136" t="str">
            <v>Brampton</v>
          </cell>
          <cell r="O136" t="str">
            <v>Peel</v>
          </cell>
          <cell r="P136" t="str">
            <v>Toronto</v>
          </cell>
        </row>
        <row r="137">
          <cell r="C137" t="str">
            <v>ICHA 3</v>
          </cell>
          <cell r="D137" t="str">
            <v>Southwestern Alternative Energy Producers Inc.</v>
          </cell>
          <cell r="E137" t="str">
            <v>CO</v>
          </cell>
          <cell r="F137">
            <v>41841</v>
          </cell>
          <cell r="G137">
            <v>42012</v>
          </cell>
          <cell r="H137">
            <v>49145</v>
          </cell>
          <cell r="I137" t="str">
            <v>19 years, 6 months, 12 days</v>
          </cell>
          <cell r="J137" t="str">
            <v>Renewables</v>
          </cell>
          <cell r="K137" t="str">
            <v>Solar (Rooftop)</v>
          </cell>
          <cell r="L137" t="str">
            <v>Solar</v>
          </cell>
          <cell r="M137" t="str">
            <v>Dx</v>
          </cell>
          <cell r="N137" t="str">
            <v>Windsor</v>
          </cell>
          <cell r="O137" t="str">
            <v>Essex</v>
          </cell>
          <cell r="P137" t="str">
            <v>West</v>
          </cell>
        </row>
        <row r="138">
          <cell r="C138" t="str">
            <v>677 Mac Donald</v>
          </cell>
          <cell r="D138" t="str">
            <v>2303054 Ontario Inc.</v>
          </cell>
          <cell r="E138" t="str">
            <v>CO</v>
          </cell>
          <cell r="F138">
            <v>41512</v>
          </cell>
          <cell r="G138">
            <v>41214</v>
          </cell>
          <cell r="H138">
            <v>48518</v>
          </cell>
          <cell r="I138" t="str">
            <v>19 years, 11 months, 30 days</v>
          </cell>
          <cell r="J138" t="str">
            <v>Renewables</v>
          </cell>
          <cell r="K138" t="str">
            <v>Solar (Rooftop)</v>
          </cell>
          <cell r="L138" t="str">
            <v>Solar</v>
          </cell>
          <cell r="M138" t="str">
            <v>Dx</v>
          </cell>
          <cell r="N138" t="str">
            <v>Sault Ste. Marie</v>
          </cell>
          <cell r="O138" t="str">
            <v>Algoma</v>
          </cell>
          <cell r="P138" t="str">
            <v>Northeast</v>
          </cell>
        </row>
        <row r="139">
          <cell r="C139" t="str">
            <v>The Town of Ajax Operations Centre</v>
          </cell>
          <cell r="D139" t="str">
            <v>Corporation of the Town of Ajax</v>
          </cell>
          <cell r="E139" t="str">
            <v>CO</v>
          </cell>
          <cell r="F139">
            <v>41029</v>
          </cell>
          <cell r="G139">
            <v>40854</v>
          </cell>
          <cell r="H139">
            <v>48158</v>
          </cell>
          <cell r="I139" t="str">
            <v>19 years, 11 months, 30 days</v>
          </cell>
          <cell r="J139" t="str">
            <v>Renewables</v>
          </cell>
          <cell r="K139" t="str">
            <v>Solar (Rooftop)</v>
          </cell>
          <cell r="L139" t="str">
            <v>Solar</v>
          </cell>
          <cell r="M139" t="str">
            <v>Dx</v>
          </cell>
          <cell r="N139" t="str">
            <v>Ajax</v>
          </cell>
          <cell r="O139" t="str">
            <v>Durham</v>
          </cell>
          <cell r="P139" t="str">
            <v>Toronto</v>
          </cell>
        </row>
        <row r="140">
          <cell r="C140" t="str">
            <v>Towcon Holdings Inc.</v>
          </cell>
          <cell r="D140" t="str">
            <v>Towcon Holdings Inc.</v>
          </cell>
          <cell r="E140" t="str">
            <v>CO</v>
          </cell>
          <cell r="F140">
            <v>40663</v>
          </cell>
          <cell r="G140">
            <v>40386</v>
          </cell>
          <cell r="H140">
            <v>47690</v>
          </cell>
          <cell r="I140" t="str">
            <v>19 years, 11 months, 29 days</v>
          </cell>
          <cell r="J140" t="str">
            <v>Renewables</v>
          </cell>
          <cell r="K140" t="str">
            <v>Solar (Rooftop)</v>
          </cell>
          <cell r="L140" t="str">
            <v>Solar</v>
          </cell>
          <cell r="M140" t="str">
            <v>Dx</v>
          </cell>
          <cell r="N140" t="str">
            <v>Cambridge</v>
          </cell>
          <cell r="O140" t="str">
            <v>Waterloo</v>
          </cell>
          <cell r="P140" t="str">
            <v>Southwest</v>
          </cell>
        </row>
        <row r="141">
          <cell r="C141" t="str">
            <v>B01-20 Ryan</v>
          </cell>
          <cell r="D141" t="str">
            <v>Firelight Solar LP</v>
          </cell>
          <cell r="E141" t="str">
            <v>CO</v>
          </cell>
          <cell r="F141">
            <v>41723</v>
          </cell>
          <cell r="G141">
            <v>41061</v>
          </cell>
          <cell r="H141">
            <v>48365</v>
          </cell>
          <cell r="I141" t="str">
            <v>19 years, 11 months, 30 days</v>
          </cell>
          <cell r="J141" t="str">
            <v>Renewables</v>
          </cell>
          <cell r="K141" t="str">
            <v>Solar (Rooftop)</v>
          </cell>
          <cell r="L141" t="str">
            <v>Solar</v>
          </cell>
          <cell r="M141" t="str">
            <v>Dx</v>
          </cell>
          <cell r="N141" t="str">
            <v>Brantford</v>
          </cell>
          <cell r="O141" t="str">
            <v>Brant</v>
          </cell>
          <cell r="P141" t="str">
            <v>Southwest</v>
          </cell>
        </row>
        <row r="142">
          <cell r="C142" t="str">
            <v>180 Vinyl Court</v>
          </cell>
          <cell r="D142" t="str">
            <v>VINJACK 180 INC.</v>
          </cell>
          <cell r="E142" t="str">
            <v>CO</v>
          </cell>
          <cell r="F142">
            <v>41813</v>
          </cell>
          <cell r="G142">
            <v>41047</v>
          </cell>
          <cell r="H142">
            <v>48351</v>
          </cell>
          <cell r="I142" t="str">
            <v>19 years, 11 months, 29 days</v>
          </cell>
          <cell r="J142" t="str">
            <v>Renewables</v>
          </cell>
          <cell r="K142" t="str">
            <v>Solar (Rooftop)</v>
          </cell>
          <cell r="L142" t="str">
            <v>Solar</v>
          </cell>
          <cell r="M142" t="str">
            <v>Dx</v>
          </cell>
          <cell r="N142" t="str">
            <v>Woodbridge</v>
          </cell>
          <cell r="O142" t="str">
            <v>York</v>
          </cell>
          <cell r="P142" t="str">
            <v>Toronto</v>
          </cell>
        </row>
        <row r="143">
          <cell r="C143" t="str">
            <v>62-64 Bartor Road</v>
          </cell>
          <cell r="D143" t="str">
            <v>Sunny Day Energy Inc.</v>
          </cell>
          <cell r="E143" t="str">
            <v>CO</v>
          </cell>
          <cell r="F143">
            <v>41834</v>
          </cell>
          <cell r="G143">
            <v>41681</v>
          </cell>
          <cell r="H143">
            <v>48985</v>
          </cell>
          <cell r="I143" t="str">
            <v>19 years, 11 months, 30 days</v>
          </cell>
          <cell r="J143" t="str">
            <v>Renewables</v>
          </cell>
          <cell r="K143" t="str">
            <v>Solar (Rooftop)</v>
          </cell>
          <cell r="L143" t="str">
            <v>Solar</v>
          </cell>
          <cell r="M143" t="str">
            <v>Dx</v>
          </cell>
          <cell r="N143" t="str">
            <v>Toronto</v>
          </cell>
          <cell r="O143" t="str">
            <v>Toronto</v>
          </cell>
          <cell r="P143" t="str">
            <v>Toronto</v>
          </cell>
        </row>
        <row r="144">
          <cell r="C144" t="str">
            <v>Otonabee Dairy Farm GPE09025004</v>
          </cell>
          <cell r="D144" t="str">
            <v>481230 Ontario Limited</v>
          </cell>
          <cell r="E144" t="str">
            <v>CO</v>
          </cell>
          <cell r="F144">
            <v>41818</v>
          </cell>
          <cell r="G144">
            <v>41173</v>
          </cell>
          <cell r="H144">
            <v>48477</v>
          </cell>
          <cell r="I144" t="str">
            <v>19 years, 11 months, 30 days</v>
          </cell>
          <cell r="J144" t="str">
            <v>Renewables</v>
          </cell>
          <cell r="K144" t="str">
            <v>Solar (Rooftop)</v>
          </cell>
          <cell r="L144" t="str">
            <v>Solar</v>
          </cell>
          <cell r="M144" t="str">
            <v>Dx</v>
          </cell>
          <cell r="N144" t="str">
            <v>Peterborough</v>
          </cell>
          <cell r="O144" t="str">
            <v>Peterborough</v>
          </cell>
          <cell r="P144" t="str">
            <v>East</v>
          </cell>
        </row>
        <row r="145">
          <cell r="C145" t="str">
            <v>LPP Manufacturing</v>
          </cell>
          <cell r="D145" t="str">
            <v>Linamar Corporation</v>
          </cell>
          <cell r="E145" t="str">
            <v>CO</v>
          </cell>
          <cell r="F145">
            <v>41029</v>
          </cell>
          <cell r="G145">
            <v>41029</v>
          </cell>
          <cell r="H145">
            <v>48333</v>
          </cell>
          <cell r="I145" t="str">
            <v>19 years, 11 months, 30 days</v>
          </cell>
          <cell r="J145" t="str">
            <v>Renewables</v>
          </cell>
          <cell r="K145" t="str">
            <v>Solar (Rooftop)</v>
          </cell>
          <cell r="L145" t="str">
            <v>Solar</v>
          </cell>
          <cell r="M145" t="str">
            <v>Dx</v>
          </cell>
          <cell r="N145" t="str">
            <v>Guelph</v>
          </cell>
          <cell r="O145" t="str">
            <v>Wellington</v>
          </cell>
          <cell r="P145" t="str">
            <v>Southwest</v>
          </cell>
        </row>
        <row r="146">
          <cell r="C146" t="str">
            <v>75kW U-Wing</v>
          </cell>
          <cell r="D146" t="str">
            <v>Sunnybrook Health Sciences Centre</v>
          </cell>
          <cell r="E146" t="str">
            <v>CO</v>
          </cell>
          <cell r="F146">
            <v>41029</v>
          </cell>
          <cell r="G146">
            <v>41207</v>
          </cell>
          <cell r="H146">
            <v>48333</v>
          </cell>
          <cell r="I146" t="str">
            <v>19 years, 6 months, 4 days</v>
          </cell>
          <cell r="J146" t="str">
            <v>Renewables</v>
          </cell>
          <cell r="K146" t="str">
            <v>Solar (Rooftop)</v>
          </cell>
          <cell r="L146" t="str">
            <v>Solar</v>
          </cell>
          <cell r="M146" t="str">
            <v>Dx</v>
          </cell>
          <cell r="N146" t="str">
            <v>Toronto</v>
          </cell>
          <cell r="O146" t="str">
            <v>Toronto</v>
          </cell>
          <cell r="P146" t="str">
            <v>Toronto</v>
          </cell>
        </row>
        <row r="147">
          <cell r="C147" t="str">
            <v>Elora Hydro Electric Generating Station</v>
          </cell>
          <cell r="D147" t="str">
            <v>Shaman Power Corporation</v>
          </cell>
          <cell r="E147" t="str">
            <v>CO</v>
          </cell>
          <cell r="F147">
            <v>44320</v>
          </cell>
          <cell r="G147">
            <v>42878</v>
          </cell>
          <cell r="H147">
            <v>57487</v>
          </cell>
          <cell r="I147" t="str">
            <v>39 years, 11 months, 29 days</v>
          </cell>
          <cell r="J147" t="str">
            <v>Renewables</v>
          </cell>
          <cell r="K147" t="str">
            <v>Run-of-River</v>
          </cell>
          <cell r="L147" t="str">
            <v>Waterpower</v>
          </cell>
          <cell r="M147" t="str">
            <v>Dx</v>
          </cell>
          <cell r="N147" t="str">
            <v>Elora</v>
          </cell>
          <cell r="O147" t="str">
            <v>Wellington</v>
          </cell>
          <cell r="P147" t="str">
            <v>Southwest</v>
          </cell>
        </row>
        <row r="148">
          <cell r="C148" t="str">
            <v>C10-180 New Huntington</v>
          </cell>
          <cell r="D148" t="str">
            <v>Alectra Utilities Corporation</v>
          </cell>
          <cell r="E148" t="str">
            <v>CO</v>
          </cell>
          <cell r="F148">
            <v>41843</v>
          </cell>
          <cell r="G148">
            <v>41908</v>
          </cell>
          <cell r="H148">
            <v>49212</v>
          </cell>
          <cell r="I148" t="str">
            <v>19 years, 11 months, 30 days</v>
          </cell>
          <cell r="J148" t="str">
            <v>Renewables</v>
          </cell>
          <cell r="K148" t="str">
            <v>Solar (Rooftop)</v>
          </cell>
          <cell r="L148" t="str">
            <v>Solar</v>
          </cell>
          <cell r="M148" t="str">
            <v>Dx</v>
          </cell>
          <cell r="N148" t="str">
            <v>Woodbridge</v>
          </cell>
          <cell r="O148" t="str">
            <v>York</v>
          </cell>
          <cell r="P148" t="str">
            <v>Toronto</v>
          </cell>
        </row>
        <row r="149">
          <cell r="C149" t="str">
            <v>Atlantic Packaging - 80 Progress Ave</v>
          </cell>
          <cell r="D149" t="str">
            <v>Atlantic Packaging Products Ltd.</v>
          </cell>
          <cell r="E149" t="str">
            <v>CO</v>
          </cell>
          <cell r="F149">
            <v>41029</v>
          </cell>
          <cell r="G149">
            <v>40886</v>
          </cell>
          <cell r="H149">
            <v>48190</v>
          </cell>
          <cell r="I149" t="str">
            <v>19 years, 11 months, 29 days</v>
          </cell>
          <cell r="J149" t="str">
            <v>Renewables</v>
          </cell>
          <cell r="K149" t="str">
            <v>Solar (Rooftop)</v>
          </cell>
          <cell r="L149" t="str">
            <v>Solar</v>
          </cell>
          <cell r="M149" t="str">
            <v>Dx</v>
          </cell>
          <cell r="N149" t="str">
            <v>Toronto</v>
          </cell>
          <cell r="O149" t="str">
            <v>Toronto</v>
          </cell>
          <cell r="P149" t="str">
            <v>Toronto</v>
          </cell>
        </row>
        <row r="150">
          <cell r="C150" t="str">
            <v>(C20) Real Canadian Superstore Dougall Square</v>
          </cell>
          <cell r="D150" t="str">
            <v>Firelight Solar LP</v>
          </cell>
          <cell r="E150" t="str">
            <v>CO</v>
          </cell>
          <cell r="F150">
            <v>41734</v>
          </cell>
          <cell r="G150">
            <v>41887</v>
          </cell>
          <cell r="H150">
            <v>49191</v>
          </cell>
          <cell r="I150" t="str">
            <v>19 years, 11 months, 30 days</v>
          </cell>
          <cell r="J150" t="str">
            <v>Renewables</v>
          </cell>
          <cell r="K150" t="str">
            <v>Solar (Rooftop)</v>
          </cell>
          <cell r="L150" t="str">
            <v>Solar</v>
          </cell>
          <cell r="M150" t="str">
            <v>Dx</v>
          </cell>
          <cell r="N150" t="str">
            <v>Windsor</v>
          </cell>
          <cell r="O150" t="str">
            <v>Essex</v>
          </cell>
          <cell r="P150" t="str">
            <v>West</v>
          </cell>
        </row>
        <row r="151">
          <cell r="C151" t="str">
            <v>49 Simpson Road</v>
          </cell>
          <cell r="D151" t="str">
            <v>2344770 Ontario Ltd.</v>
          </cell>
          <cell r="E151" t="str">
            <v>CO</v>
          </cell>
          <cell r="F151">
            <v>41939</v>
          </cell>
          <cell r="G151">
            <v>42229</v>
          </cell>
          <cell r="H151">
            <v>49533</v>
          </cell>
          <cell r="I151" t="str">
            <v>19 years, 11 months, 30 days</v>
          </cell>
          <cell r="J151" t="str">
            <v>Renewables</v>
          </cell>
          <cell r="K151" t="str">
            <v>Solar (Rooftop)</v>
          </cell>
          <cell r="L151" t="str">
            <v>Solar</v>
          </cell>
          <cell r="M151" t="str">
            <v>Dx</v>
          </cell>
          <cell r="N151" t="str">
            <v>Bolton</v>
          </cell>
          <cell r="O151" t="str">
            <v>Peel</v>
          </cell>
          <cell r="P151" t="str">
            <v>Toronto</v>
          </cell>
        </row>
        <row r="152">
          <cell r="C152" t="str">
            <v>St. Columban 1 Wind Energy Project</v>
          </cell>
          <cell r="D152" t="str">
            <v>St. Columban Wind LP</v>
          </cell>
          <cell r="E152" t="str">
            <v>CO</v>
          </cell>
          <cell r="F152">
            <v>42052</v>
          </cell>
          <cell r="G152">
            <v>42201</v>
          </cell>
          <cell r="H152">
            <v>49505</v>
          </cell>
          <cell r="I152" t="str">
            <v>19 years, 11 months, 29 days</v>
          </cell>
          <cell r="J152" t="str">
            <v>Renewables</v>
          </cell>
          <cell r="K152" t="str">
            <v>Wind (On-Shore)</v>
          </cell>
          <cell r="L152" t="str">
            <v>Wind</v>
          </cell>
          <cell r="M152" t="str">
            <v>Dx</v>
          </cell>
          <cell r="N152" t="str">
            <v>Seaforth</v>
          </cell>
          <cell r="O152" t="str">
            <v>Huron</v>
          </cell>
          <cell r="P152" t="str">
            <v>Southwest</v>
          </cell>
        </row>
        <row r="153">
          <cell r="C153" t="str">
            <v>Folkens # 7</v>
          </cell>
          <cell r="D153" t="str">
            <v>2 4 6 0 8 8 2 O N T A R I O L I M I T E D</v>
          </cell>
          <cell r="E153" t="str">
            <v>CO</v>
          </cell>
          <cell r="F153">
            <v>41799</v>
          </cell>
          <cell r="G153">
            <v>41981</v>
          </cell>
          <cell r="H153">
            <v>49103</v>
          </cell>
          <cell r="I153" t="str">
            <v>19 years, 6 months, 0 days</v>
          </cell>
          <cell r="J153" t="str">
            <v>Renewables</v>
          </cell>
          <cell r="K153" t="str">
            <v>Solar (Rooftop)</v>
          </cell>
          <cell r="L153" t="str">
            <v>Solar</v>
          </cell>
          <cell r="M153" t="str">
            <v>Dx</v>
          </cell>
          <cell r="N153" t="str">
            <v>Hamilton</v>
          </cell>
          <cell r="O153" t="str">
            <v>Hamilton</v>
          </cell>
          <cell r="P153" t="str">
            <v>Southwest</v>
          </cell>
        </row>
        <row r="154">
          <cell r="C154" t="str">
            <v>Solray Energy Sunderland</v>
          </cell>
          <cell r="D154" t="str">
            <v>Sunderland Solar Farm Limited Partnership</v>
          </cell>
          <cell r="E154" t="str">
            <v>CO</v>
          </cell>
          <cell r="F154">
            <v>41695</v>
          </cell>
          <cell r="G154">
            <v>41753</v>
          </cell>
          <cell r="H154">
            <v>49057</v>
          </cell>
          <cell r="I154" t="str">
            <v>19 years, 11 months, 30 days</v>
          </cell>
          <cell r="J154" t="str">
            <v>Renewables</v>
          </cell>
          <cell r="K154" t="str">
            <v>Solar (Ground Mounted)</v>
          </cell>
          <cell r="L154" t="str">
            <v>Solar</v>
          </cell>
          <cell r="M154" t="str">
            <v>Dx</v>
          </cell>
          <cell r="N154" t="str">
            <v>Beaverton</v>
          </cell>
          <cell r="O154" t="str">
            <v>Durham</v>
          </cell>
          <cell r="P154" t="str">
            <v>Essa</v>
          </cell>
        </row>
        <row r="155">
          <cell r="C155" t="str">
            <v>M09-1260 Kamato</v>
          </cell>
          <cell r="D155" t="str">
            <v>Sky Solar (Canada) FIT 1 Limited Partnership</v>
          </cell>
          <cell r="E155" t="str">
            <v>CO</v>
          </cell>
          <cell r="F155">
            <v>41854</v>
          </cell>
          <cell r="G155">
            <v>41877</v>
          </cell>
          <cell r="H155">
            <v>49181</v>
          </cell>
          <cell r="I155" t="str">
            <v>19 years, 11 months, 30 days</v>
          </cell>
          <cell r="J155" t="str">
            <v>Renewables</v>
          </cell>
          <cell r="K155" t="str">
            <v>Solar (Rooftop)</v>
          </cell>
          <cell r="L155" t="str">
            <v>Solar</v>
          </cell>
          <cell r="M155" t="str">
            <v>Dx</v>
          </cell>
          <cell r="N155" t="str">
            <v>Mississauga</v>
          </cell>
          <cell r="O155" t="str">
            <v>Peel</v>
          </cell>
          <cell r="P155" t="str">
            <v>Toronto</v>
          </cell>
        </row>
        <row r="156">
          <cell r="C156" t="str">
            <v>Endura Energy 7017 Rainham Road</v>
          </cell>
          <cell r="D156" t="str">
            <v>William John Vanderheide</v>
          </cell>
          <cell r="E156" t="str">
            <v>CO</v>
          </cell>
          <cell r="F156">
            <v>42628</v>
          </cell>
          <cell r="G156">
            <v>42599</v>
          </cell>
          <cell r="H156">
            <v>49903</v>
          </cell>
          <cell r="I156" t="str">
            <v>19 years, 11 months, 30 days</v>
          </cell>
          <cell r="J156" t="str">
            <v>Renewables</v>
          </cell>
          <cell r="K156" t="str">
            <v>Solar (Rooftop)</v>
          </cell>
          <cell r="L156" t="str">
            <v>Solar</v>
          </cell>
          <cell r="M156" t="str">
            <v>Dx</v>
          </cell>
          <cell r="N156" t="str">
            <v>Dunnville</v>
          </cell>
          <cell r="O156" t="str">
            <v>Haldimand</v>
          </cell>
          <cell r="P156" t="str">
            <v>Niagara</v>
          </cell>
        </row>
        <row r="157">
          <cell r="C157" t="str">
            <v>O02-40 Cassidy</v>
          </cell>
          <cell r="D157" t="str">
            <v>Sanjoy Developments Limited</v>
          </cell>
          <cell r="E157" t="str">
            <v>CO</v>
          </cell>
          <cell r="F157">
            <v>41834</v>
          </cell>
          <cell r="G157">
            <v>41990</v>
          </cell>
          <cell r="H157">
            <v>49294</v>
          </cell>
          <cell r="I157" t="str">
            <v>19 years, 11 months, 29 days</v>
          </cell>
          <cell r="J157" t="str">
            <v>Renewables</v>
          </cell>
          <cell r="K157" t="str">
            <v>Solar (Rooftop)</v>
          </cell>
          <cell r="L157" t="str">
            <v>Solar</v>
          </cell>
          <cell r="M157" t="str">
            <v>Dx</v>
          </cell>
          <cell r="N157" t="str">
            <v>Ottawa</v>
          </cell>
          <cell r="O157" t="str">
            <v>Ottawa</v>
          </cell>
          <cell r="P157" t="str">
            <v>Ottawa</v>
          </cell>
        </row>
        <row r="158">
          <cell r="C158" t="str">
            <v>231 Bethel Road GPE09020804</v>
          </cell>
          <cell r="D158" t="str">
            <v>Kevin Smith &amp; Susan Smith</v>
          </cell>
          <cell r="E158" t="str">
            <v>CO</v>
          </cell>
          <cell r="F158">
            <v>41029</v>
          </cell>
          <cell r="G158">
            <v>40841</v>
          </cell>
          <cell r="H158">
            <v>48145</v>
          </cell>
          <cell r="I158" t="str">
            <v>19 years, 11 months, 29 days</v>
          </cell>
          <cell r="J158" t="str">
            <v>Renewables</v>
          </cell>
          <cell r="K158" t="str">
            <v>Solar (Rooftop)</v>
          </cell>
          <cell r="L158" t="str">
            <v>Solar</v>
          </cell>
          <cell r="M158" t="str">
            <v>Dx</v>
          </cell>
          <cell r="N158" t="str">
            <v>Omemee</v>
          </cell>
          <cell r="O158" t="str">
            <v>Kawartha Lakes</v>
          </cell>
          <cell r="P158" t="str">
            <v>East</v>
          </cell>
        </row>
        <row r="159">
          <cell r="C159" t="str">
            <v>Cannery Park 101-A</v>
          </cell>
          <cell r="D159" t="str">
            <v>St. David's Solar Inc.</v>
          </cell>
          <cell r="E159" t="str">
            <v>CO</v>
          </cell>
          <cell r="F159">
            <v>41029</v>
          </cell>
          <cell r="G159">
            <v>40898</v>
          </cell>
          <cell r="H159">
            <v>48202</v>
          </cell>
          <cell r="I159" t="str">
            <v>19 years, 11 months, 29 days</v>
          </cell>
          <cell r="J159" t="str">
            <v>Renewables</v>
          </cell>
          <cell r="K159" t="str">
            <v>Solar (Rooftop)</v>
          </cell>
          <cell r="L159" t="str">
            <v>Solar</v>
          </cell>
          <cell r="M159" t="str">
            <v>Dx</v>
          </cell>
          <cell r="N159" t="str">
            <v>St. Davids</v>
          </cell>
          <cell r="O159" t="str">
            <v>Niagara</v>
          </cell>
          <cell r="P159" t="str">
            <v>Niagara</v>
          </cell>
        </row>
        <row r="160">
          <cell r="C160" t="str">
            <v>O02-975 Orleans</v>
          </cell>
          <cell r="D160" t="str">
            <v>PSI Solar Finance 1 Limited Partnership</v>
          </cell>
          <cell r="E160" t="str">
            <v>CO</v>
          </cell>
          <cell r="F160">
            <v>41834</v>
          </cell>
          <cell r="G160">
            <v>41484</v>
          </cell>
          <cell r="H160">
            <v>48788</v>
          </cell>
          <cell r="I160" t="str">
            <v>19 years, 11 months, 29 days</v>
          </cell>
          <cell r="J160" t="str">
            <v>Renewables</v>
          </cell>
          <cell r="K160" t="str">
            <v>Solar (Rooftop)</v>
          </cell>
          <cell r="L160" t="str">
            <v>Solar</v>
          </cell>
          <cell r="M160" t="str">
            <v>Dx</v>
          </cell>
          <cell r="N160" t="str">
            <v>Ottawa</v>
          </cell>
          <cell r="O160" t="str">
            <v>Ottawa</v>
          </cell>
          <cell r="P160" t="str">
            <v>Ottawa</v>
          </cell>
        </row>
        <row r="161">
          <cell r="C161" t="str">
            <v>Lewis Farm 3</v>
          </cell>
          <cell r="D161" t="str">
            <v>493787 Ontario Limited</v>
          </cell>
          <cell r="E161" t="str">
            <v>CO</v>
          </cell>
          <cell r="F161">
            <v>41029</v>
          </cell>
          <cell r="G161">
            <v>40774</v>
          </cell>
          <cell r="H161">
            <v>48078</v>
          </cell>
          <cell r="I161" t="str">
            <v>19 years, 11 months, 30 days</v>
          </cell>
          <cell r="J161" t="str">
            <v>Renewables</v>
          </cell>
          <cell r="K161" t="str">
            <v>Solar (Rooftop)</v>
          </cell>
          <cell r="L161" t="str">
            <v>Solar</v>
          </cell>
          <cell r="M161" t="str">
            <v>Dx</v>
          </cell>
          <cell r="N161" t="str">
            <v>Denfield</v>
          </cell>
          <cell r="O161" t="str">
            <v>Middlesex</v>
          </cell>
          <cell r="P161" t="str">
            <v>Southwest</v>
          </cell>
        </row>
        <row r="162">
          <cell r="C162" t="str">
            <v>H06-7190 MORRISON</v>
          </cell>
          <cell r="D162" t="str">
            <v>Mann (002210-5900 Thorold Stone) Limited Partnership</v>
          </cell>
          <cell r="E162" t="str">
            <v>CO</v>
          </cell>
          <cell r="F162">
            <v>41827</v>
          </cell>
          <cell r="G162">
            <v>42059</v>
          </cell>
          <cell r="H162">
            <v>49363</v>
          </cell>
          <cell r="I162" t="str">
            <v>19 years, 11 months, 30 days</v>
          </cell>
          <cell r="J162" t="str">
            <v>Renewables</v>
          </cell>
          <cell r="K162" t="str">
            <v>Solar (Rooftop)</v>
          </cell>
          <cell r="L162" t="str">
            <v>Solar</v>
          </cell>
          <cell r="M162" t="str">
            <v>Dx</v>
          </cell>
          <cell r="N162" t="str">
            <v>Niagara Falls</v>
          </cell>
          <cell r="O162" t="str">
            <v>Niagara</v>
          </cell>
          <cell r="P162" t="str">
            <v>Niagara</v>
          </cell>
        </row>
        <row r="163">
          <cell r="C163" t="str">
            <v>400 Spinnaker</v>
          </cell>
          <cell r="D163" t="str">
            <v>PSI Solar Finance 1 Limited Partnership</v>
          </cell>
          <cell r="E163" t="str">
            <v>CO</v>
          </cell>
          <cell r="F163">
            <v>41806</v>
          </cell>
          <cell r="G163">
            <v>41319</v>
          </cell>
          <cell r="H163">
            <v>48623</v>
          </cell>
          <cell r="I163" t="str">
            <v>19 years, 11 months, 30 days</v>
          </cell>
          <cell r="J163" t="str">
            <v>Renewables</v>
          </cell>
          <cell r="K163" t="str">
            <v>Solar (Rooftop)</v>
          </cell>
          <cell r="L163" t="str">
            <v>Solar</v>
          </cell>
          <cell r="M163" t="str">
            <v>Dx</v>
          </cell>
          <cell r="N163" t="str">
            <v>Concord</v>
          </cell>
          <cell r="O163" t="str">
            <v>York</v>
          </cell>
          <cell r="P163" t="str">
            <v>Toronto</v>
          </cell>
        </row>
        <row r="164">
          <cell r="C164" t="str">
            <v>Camp Three Rapids Hydroelectric Project</v>
          </cell>
          <cell r="D164" t="str">
            <v>Amik-CTR HydroKap L.P.</v>
          </cell>
          <cell r="E164" t="str">
            <v>CO</v>
          </cell>
          <cell r="F164">
            <v>41583</v>
          </cell>
          <cell r="G164">
            <v>41395</v>
          </cell>
          <cell r="H164">
            <v>56004</v>
          </cell>
          <cell r="I164" t="str">
            <v>39 years, 11 months, 29 days</v>
          </cell>
          <cell r="J164" t="str">
            <v>Renewables</v>
          </cell>
          <cell r="K164" t="str">
            <v>Run-of-River</v>
          </cell>
          <cell r="L164" t="str">
            <v>Waterpower</v>
          </cell>
          <cell r="M164" t="str">
            <v>Dx</v>
          </cell>
          <cell r="N164" t="str">
            <v>Kapuskasing</v>
          </cell>
          <cell r="O164" t="str">
            <v>Cochrane</v>
          </cell>
          <cell r="P164" t="str">
            <v>Northeast</v>
          </cell>
        </row>
        <row r="165">
          <cell r="C165" t="str">
            <v>996 Westport</v>
          </cell>
          <cell r="D165" t="str">
            <v>Solaire Kapuskasing Solar Inc.</v>
          </cell>
          <cell r="E165" t="str">
            <v>CO</v>
          </cell>
          <cell r="F165">
            <v>41827</v>
          </cell>
          <cell r="G165">
            <v>41866</v>
          </cell>
          <cell r="H165">
            <v>49131</v>
          </cell>
          <cell r="I165" t="str">
            <v>19 years, 10 months, 21 days</v>
          </cell>
          <cell r="J165" t="str">
            <v>Renewables</v>
          </cell>
          <cell r="K165" t="str">
            <v>Solar (Rooftop)</v>
          </cell>
          <cell r="L165" t="str">
            <v>Solar</v>
          </cell>
          <cell r="M165" t="str">
            <v>Dx</v>
          </cell>
          <cell r="N165" t="str">
            <v>Mississauga</v>
          </cell>
          <cell r="O165" t="str">
            <v>Peel</v>
          </cell>
          <cell r="P165" t="str">
            <v>Toronto</v>
          </cell>
        </row>
        <row r="166">
          <cell r="C166" t="str">
            <v>The Monastery of Mount Carmel PV Rooftop</v>
          </cell>
          <cell r="D166" t="str">
            <v>MONASTERY SOLAR CORPORATION</v>
          </cell>
          <cell r="E166" t="str">
            <v>CO</v>
          </cell>
          <cell r="F166">
            <v>41832</v>
          </cell>
          <cell r="G166">
            <v>41667</v>
          </cell>
          <cell r="H166">
            <v>48971</v>
          </cell>
          <cell r="I166" t="str">
            <v>19 years, 11 months, 30 days</v>
          </cell>
          <cell r="J166" t="str">
            <v>Renewables</v>
          </cell>
          <cell r="K166" t="str">
            <v>Solar (Rooftop)</v>
          </cell>
          <cell r="L166" t="str">
            <v>Solar</v>
          </cell>
          <cell r="M166" t="str">
            <v>Dx</v>
          </cell>
          <cell r="N166" t="str">
            <v>Niagara Falls</v>
          </cell>
          <cell r="O166" t="str">
            <v>Niagara</v>
          </cell>
          <cell r="P166" t="str">
            <v>Niagara</v>
          </cell>
        </row>
        <row r="167">
          <cell r="C167" t="str">
            <v>(C22) Zehrs Great Food Malden Road</v>
          </cell>
          <cell r="D167" t="str">
            <v>Firelight Solar LP</v>
          </cell>
          <cell r="E167" t="str">
            <v>CO</v>
          </cell>
          <cell r="F167">
            <v>41714</v>
          </cell>
          <cell r="G167">
            <v>41537</v>
          </cell>
          <cell r="H167">
            <v>48841</v>
          </cell>
          <cell r="I167" t="str">
            <v>19 years, 11 months, 30 days</v>
          </cell>
          <cell r="J167" t="str">
            <v>Renewables</v>
          </cell>
          <cell r="K167" t="str">
            <v>Solar (Rooftop)</v>
          </cell>
          <cell r="L167" t="str">
            <v>Solar</v>
          </cell>
          <cell r="M167" t="str">
            <v>Dx</v>
          </cell>
          <cell r="N167" t="str">
            <v>Windsor</v>
          </cell>
          <cell r="O167" t="str">
            <v>Essex</v>
          </cell>
          <cell r="P167" t="str">
            <v>West</v>
          </cell>
        </row>
        <row r="168">
          <cell r="C168" t="str">
            <v>Reichart Usborne Solar</v>
          </cell>
          <cell r="D168" t="str">
            <v>Johann Reichart</v>
          </cell>
          <cell r="E168" t="str">
            <v>CO</v>
          </cell>
          <cell r="F168">
            <v>41029</v>
          </cell>
          <cell r="G168">
            <v>41194</v>
          </cell>
          <cell r="H168">
            <v>48333</v>
          </cell>
          <cell r="I168" t="str">
            <v>19 years, 6 months, 17 days</v>
          </cell>
          <cell r="J168" t="str">
            <v>Renewables</v>
          </cell>
          <cell r="K168" t="str">
            <v>Solar (Rooftop)</v>
          </cell>
          <cell r="L168" t="str">
            <v>Solar</v>
          </cell>
          <cell r="M168" t="str">
            <v>Dx</v>
          </cell>
          <cell r="N168" t="str">
            <v>Braeside</v>
          </cell>
          <cell r="O168" t="str">
            <v>Renfrew</v>
          </cell>
          <cell r="P168" t="str">
            <v>East</v>
          </cell>
        </row>
        <row r="169">
          <cell r="C169" t="str">
            <v>Solar Power Project</v>
          </cell>
          <cell r="D169" t="str">
            <v>Larsen &amp; Shaw Limited</v>
          </cell>
          <cell r="E169" t="str">
            <v>CO</v>
          </cell>
          <cell r="F169">
            <v>41862</v>
          </cell>
          <cell r="G169">
            <v>41800</v>
          </cell>
          <cell r="H169">
            <v>49104</v>
          </cell>
          <cell r="I169" t="str">
            <v>19 years, 11 months, 30 days</v>
          </cell>
          <cell r="J169" t="str">
            <v>Renewables</v>
          </cell>
          <cell r="K169" t="str">
            <v>Solar (Rooftop)</v>
          </cell>
          <cell r="L169" t="str">
            <v>Solar</v>
          </cell>
          <cell r="M169" t="str">
            <v>Dx</v>
          </cell>
          <cell r="N169" t="str">
            <v>Walkerton</v>
          </cell>
          <cell r="O169" t="str">
            <v>Bruce</v>
          </cell>
          <cell r="P169" t="str">
            <v>Southwest</v>
          </cell>
        </row>
        <row r="170">
          <cell r="C170" t="str">
            <v>H06-3065 MAVIS</v>
          </cell>
          <cell r="D170" t="str">
            <v>PSI Solar Finance 1 Limited Partnership</v>
          </cell>
          <cell r="E170" t="str">
            <v>CO</v>
          </cell>
          <cell r="F170">
            <v>41715</v>
          </cell>
          <cell r="G170">
            <v>41789</v>
          </cell>
          <cell r="H170">
            <v>49093</v>
          </cell>
          <cell r="I170" t="str">
            <v>19 years, 11 months, 29 days</v>
          </cell>
          <cell r="J170" t="str">
            <v>Renewables</v>
          </cell>
          <cell r="K170" t="str">
            <v>Solar (Rooftop)</v>
          </cell>
          <cell r="L170" t="str">
            <v>Solar</v>
          </cell>
          <cell r="M170" t="str">
            <v>Dx</v>
          </cell>
          <cell r="N170" t="str">
            <v>Mississauga</v>
          </cell>
          <cell r="O170" t="str">
            <v>Peel</v>
          </cell>
          <cell r="P170" t="str">
            <v>Toronto</v>
          </cell>
        </row>
        <row r="171">
          <cell r="C171" t="str">
            <v>H06-1700 VICTORIA</v>
          </cell>
          <cell r="D171" t="str">
            <v>Skyline Clean Energy Holdings Inc.</v>
          </cell>
          <cell r="E171" t="str">
            <v>CO</v>
          </cell>
          <cell r="F171">
            <v>41811</v>
          </cell>
          <cell r="G171">
            <v>42038</v>
          </cell>
          <cell r="H171">
            <v>49342</v>
          </cell>
          <cell r="I171" t="str">
            <v>19 years, 11 months, 30 days</v>
          </cell>
          <cell r="J171" t="str">
            <v>Renewables</v>
          </cell>
          <cell r="K171" t="str">
            <v>Solar (Rooftop)</v>
          </cell>
          <cell r="L171" t="str">
            <v>Solar</v>
          </cell>
          <cell r="M171" t="str">
            <v>Dx</v>
          </cell>
          <cell r="N171" t="str">
            <v>Whitby</v>
          </cell>
          <cell r="O171" t="str">
            <v>Durham</v>
          </cell>
          <cell r="P171" t="str">
            <v>Toronto</v>
          </cell>
        </row>
        <row r="172">
          <cell r="C172" t="str">
            <v>Sun Parlour Solar PV</v>
          </cell>
          <cell r="D172" t="str">
            <v>Sun Parlour Greenhouse Growers Co-Operative Limited</v>
          </cell>
          <cell r="E172" t="str">
            <v>CO</v>
          </cell>
          <cell r="F172">
            <v>41841</v>
          </cell>
          <cell r="G172">
            <v>41292</v>
          </cell>
          <cell r="H172">
            <v>48596</v>
          </cell>
          <cell r="I172" t="str">
            <v>19 years, 11 months, 30 days</v>
          </cell>
          <cell r="J172" t="str">
            <v>Renewables</v>
          </cell>
          <cell r="K172" t="str">
            <v>Solar (Rooftop)</v>
          </cell>
          <cell r="L172" t="str">
            <v>Solar</v>
          </cell>
          <cell r="M172" t="str">
            <v>Dx</v>
          </cell>
          <cell r="N172" t="str">
            <v>Leamington</v>
          </cell>
          <cell r="O172" t="str">
            <v>Essex</v>
          </cell>
          <cell r="P172" t="str">
            <v>West</v>
          </cell>
        </row>
        <row r="173">
          <cell r="C173" t="str">
            <v>Ace Self Storage &amp; Business Center Inc</v>
          </cell>
          <cell r="D173" t="str">
            <v>Ace Solar LP</v>
          </cell>
          <cell r="E173" t="str">
            <v>CO</v>
          </cell>
          <cell r="F173">
            <v>41813</v>
          </cell>
          <cell r="G173">
            <v>41813</v>
          </cell>
          <cell r="H173">
            <v>49117</v>
          </cell>
          <cell r="I173" t="str">
            <v>19 years, 11 months, 30 days</v>
          </cell>
          <cell r="J173" t="str">
            <v>Renewables</v>
          </cell>
          <cell r="K173" t="str">
            <v>Solar (Rooftop)</v>
          </cell>
          <cell r="L173" t="str">
            <v>Solar</v>
          </cell>
          <cell r="M173" t="str">
            <v>Dx</v>
          </cell>
          <cell r="N173" t="str">
            <v>Orillia</v>
          </cell>
          <cell r="O173" t="str">
            <v>Simcoe</v>
          </cell>
          <cell r="P173" t="str">
            <v>Essa</v>
          </cell>
        </row>
        <row r="174">
          <cell r="C174" t="str">
            <v>B Buma Eadie</v>
          </cell>
          <cell r="D174" t="str">
            <v>Brian Buma</v>
          </cell>
          <cell r="E174" t="str">
            <v>CO</v>
          </cell>
          <cell r="F174">
            <v>41029</v>
          </cell>
          <cell r="G174">
            <v>40738</v>
          </cell>
          <cell r="H174">
            <v>48042</v>
          </cell>
          <cell r="I174" t="str">
            <v>19 years, 11 months, 29 days</v>
          </cell>
          <cell r="J174" t="str">
            <v>Renewables</v>
          </cell>
          <cell r="K174" t="str">
            <v>Solar (Rooftop)</v>
          </cell>
          <cell r="L174" t="str">
            <v>Solar</v>
          </cell>
          <cell r="M174" t="str">
            <v>Dx</v>
          </cell>
          <cell r="N174" t="str">
            <v>Russell</v>
          </cell>
          <cell r="O174" t="str">
            <v>Prescott and Russell</v>
          </cell>
          <cell r="P174" t="str">
            <v>East</v>
          </cell>
        </row>
        <row r="175">
          <cell r="C175" t="str">
            <v>10139R - 120 Midaircourt</v>
          </cell>
          <cell r="D175" t="str">
            <v>TerraForm MP Solar, LLC</v>
          </cell>
          <cell r="E175" t="str">
            <v>CO</v>
          </cell>
          <cell r="F175">
            <v>41827</v>
          </cell>
          <cell r="G175">
            <v>41984</v>
          </cell>
          <cell r="H175">
            <v>49288</v>
          </cell>
          <cell r="I175" t="str">
            <v>19 years, 11 months, 29 days</v>
          </cell>
          <cell r="J175" t="str">
            <v>Renewables</v>
          </cell>
          <cell r="K175" t="str">
            <v>Solar (Rooftop)</v>
          </cell>
          <cell r="L175" t="str">
            <v>Solar</v>
          </cell>
          <cell r="M175" t="str">
            <v>Dx</v>
          </cell>
          <cell r="N175" t="str">
            <v>Mississauga</v>
          </cell>
          <cell r="O175" t="str">
            <v>Peel</v>
          </cell>
          <cell r="P175" t="str">
            <v>Toronto</v>
          </cell>
        </row>
        <row r="176">
          <cell r="C176" t="str">
            <v>East Durham Wind Energy Centre</v>
          </cell>
          <cell r="D176" t="str">
            <v>East Durham Wind, LP</v>
          </cell>
          <cell r="E176" t="str">
            <v>CO</v>
          </cell>
          <cell r="F176">
            <v>42262</v>
          </cell>
          <cell r="G176">
            <v>42233</v>
          </cell>
          <cell r="H176">
            <v>49537</v>
          </cell>
          <cell r="I176" t="str">
            <v>19 years, 11 months, 30 days</v>
          </cell>
          <cell r="J176" t="str">
            <v>Renewables</v>
          </cell>
          <cell r="K176" t="str">
            <v>Wind (On-Shore)</v>
          </cell>
          <cell r="L176" t="str">
            <v>Wind</v>
          </cell>
          <cell r="M176" t="str">
            <v>Dx</v>
          </cell>
          <cell r="N176" t="str">
            <v>Priceville</v>
          </cell>
          <cell r="O176" t="str">
            <v>Grey</v>
          </cell>
          <cell r="P176" t="str">
            <v>Southwest</v>
          </cell>
        </row>
        <row r="177">
          <cell r="C177" t="str">
            <v>GEDSB Cayuga Secondary</v>
          </cell>
          <cell r="D177" t="str">
            <v>Ameresco GEDSB Solar Inc.</v>
          </cell>
          <cell r="E177" t="str">
            <v>CO</v>
          </cell>
          <cell r="F177">
            <v>41710</v>
          </cell>
          <cell r="G177">
            <v>41890</v>
          </cell>
          <cell r="H177">
            <v>49194</v>
          </cell>
          <cell r="I177" t="str">
            <v>19 years, 11 months, 30 days</v>
          </cell>
          <cell r="J177" t="str">
            <v>Renewables</v>
          </cell>
          <cell r="K177" t="str">
            <v>Solar (Rooftop)</v>
          </cell>
          <cell r="L177" t="str">
            <v>Solar</v>
          </cell>
          <cell r="M177" t="str">
            <v>Dx</v>
          </cell>
          <cell r="N177" t="str">
            <v>Cayuga</v>
          </cell>
          <cell r="O177" t="str">
            <v>Haldimand</v>
          </cell>
          <cell r="P177" t="str">
            <v>Southwest</v>
          </cell>
        </row>
        <row r="178">
          <cell r="C178" t="str">
            <v>RE Midhurst 6</v>
          </cell>
          <cell r="D178" t="str">
            <v>Met Axium Solar Midhurst 6 L.P.</v>
          </cell>
          <cell r="E178" t="str">
            <v>CO</v>
          </cell>
          <cell r="F178">
            <v>41476</v>
          </cell>
          <cell r="G178">
            <v>41624</v>
          </cell>
          <cell r="H178">
            <v>48928</v>
          </cell>
          <cell r="I178" t="str">
            <v>19 years, 11 months, 29 days</v>
          </cell>
          <cell r="J178" t="str">
            <v>Renewables</v>
          </cell>
          <cell r="K178" t="str">
            <v>Solar (Ground Mounted)</v>
          </cell>
          <cell r="L178" t="str">
            <v>Solar</v>
          </cell>
          <cell r="M178" t="str">
            <v>Dx</v>
          </cell>
          <cell r="N178" t="str">
            <v>Midhurst</v>
          </cell>
          <cell r="O178" t="str">
            <v>Simcoe</v>
          </cell>
          <cell r="P178" t="str">
            <v>Essa</v>
          </cell>
        </row>
        <row r="179">
          <cell r="C179" t="str">
            <v>Northland Power Solar McCann L.P.</v>
          </cell>
          <cell r="D179" t="str">
            <v>Northland Power Solar McCann L.P.</v>
          </cell>
          <cell r="E179" t="str">
            <v>CO</v>
          </cell>
          <cell r="F179">
            <v>41406</v>
          </cell>
          <cell r="G179">
            <v>41482</v>
          </cell>
          <cell r="H179">
            <v>48786</v>
          </cell>
          <cell r="I179" t="str">
            <v>19 years, 11 months, 29 days</v>
          </cell>
          <cell r="J179" t="str">
            <v>Renewables</v>
          </cell>
          <cell r="K179" t="str">
            <v>Solar (Ground Mounted)</v>
          </cell>
          <cell r="L179" t="str">
            <v>Solar</v>
          </cell>
          <cell r="M179" t="str">
            <v>Dx</v>
          </cell>
          <cell r="N179" t="str">
            <v>Westport</v>
          </cell>
          <cell r="O179" t="str">
            <v>Leeds and Grenville</v>
          </cell>
          <cell r="P179" t="str">
            <v>East</v>
          </cell>
        </row>
        <row r="180">
          <cell r="C180" t="str">
            <v>North Bala Small Hydro Project</v>
          </cell>
          <cell r="D180" t="str">
            <v>Swift River LP</v>
          </cell>
          <cell r="E180" t="str">
            <v>CO</v>
          </cell>
          <cell r="F180">
            <v>43596</v>
          </cell>
          <cell r="G180">
            <v>43803</v>
          </cell>
          <cell r="H180">
            <v>58412</v>
          </cell>
          <cell r="I180" t="str">
            <v>39 years, 11 months, 29 days</v>
          </cell>
          <cell r="J180" t="str">
            <v>Renewables</v>
          </cell>
          <cell r="K180" t="str">
            <v>Run-of-River</v>
          </cell>
          <cell r="L180" t="str">
            <v>Waterpower</v>
          </cell>
          <cell r="M180" t="str">
            <v>Dx</v>
          </cell>
          <cell r="N180" t="str">
            <v>Bala</v>
          </cell>
          <cell r="O180" t="str">
            <v>Muskoka</v>
          </cell>
          <cell r="P180" t="str">
            <v>Essa</v>
          </cell>
        </row>
        <row r="181">
          <cell r="C181" t="str">
            <v>RK Solar 1</v>
          </cell>
          <cell r="D181" t="str">
            <v>RK Solar Ontario Ltd.</v>
          </cell>
          <cell r="E181" t="str">
            <v>CO</v>
          </cell>
          <cell r="F181">
            <v>41797</v>
          </cell>
          <cell r="G181">
            <v>40863</v>
          </cell>
          <cell r="H181">
            <v>48167</v>
          </cell>
          <cell r="I181" t="str">
            <v>19 years, 11 months, 30 days</v>
          </cell>
          <cell r="J181" t="str">
            <v>Renewables</v>
          </cell>
          <cell r="K181" t="str">
            <v>Solar (Rooftop)</v>
          </cell>
          <cell r="L181" t="str">
            <v>Solar</v>
          </cell>
          <cell r="M181" t="str">
            <v>Dx</v>
          </cell>
          <cell r="N181" t="str">
            <v>Woodbridge</v>
          </cell>
          <cell r="O181" t="str">
            <v>York</v>
          </cell>
          <cell r="P181" t="str">
            <v>Toronto</v>
          </cell>
        </row>
        <row r="182">
          <cell r="C182">
            <v>2176050</v>
          </cell>
          <cell r="D182" t="str">
            <v>Axium Infinity Solar LP</v>
          </cell>
          <cell r="E182" t="str">
            <v>CO</v>
          </cell>
          <cell r="F182">
            <v>41414</v>
          </cell>
          <cell r="G182">
            <v>41418</v>
          </cell>
          <cell r="H182">
            <v>48718</v>
          </cell>
          <cell r="I182" t="str">
            <v>19 years, 11 months, 25 days</v>
          </cell>
          <cell r="J182" t="str">
            <v>Renewables</v>
          </cell>
          <cell r="K182" t="str">
            <v>Solar (Ground Mounted)</v>
          </cell>
          <cell r="L182" t="str">
            <v>Solar</v>
          </cell>
          <cell r="M182" t="str">
            <v>Dx</v>
          </cell>
          <cell r="N182" t="str">
            <v>Brockville</v>
          </cell>
          <cell r="O182" t="str">
            <v>Leeds and Grenville</v>
          </cell>
          <cell r="P182" t="str">
            <v>East</v>
          </cell>
        </row>
        <row r="183">
          <cell r="C183" t="str">
            <v>Sunrise Rooftop Solar</v>
          </cell>
          <cell r="D183" t="str">
            <v>Sunrise Energy Partners</v>
          </cell>
          <cell r="E183" t="str">
            <v>CO</v>
          </cell>
          <cell r="F183">
            <v>41440</v>
          </cell>
          <cell r="G183">
            <v>40746</v>
          </cell>
          <cell r="H183">
            <v>48050</v>
          </cell>
          <cell r="I183" t="str">
            <v>19 years, 11 months, 29 days</v>
          </cell>
          <cell r="J183" t="str">
            <v>Renewables</v>
          </cell>
          <cell r="K183" t="str">
            <v>Solar (Rooftop)</v>
          </cell>
          <cell r="L183" t="str">
            <v>Solar</v>
          </cell>
          <cell r="M183" t="str">
            <v>Dx</v>
          </cell>
          <cell r="N183" t="str">
            <v>Alliston</v>
          </cell>
          <cell r="O183" t="str">
            <v>Simcoe</v>
          </cell>
          <cell r="P183" t="str">
            <v>Southwest</v>
          </cell>
        </row>
        <row r="184">
          <cell r="C184" t="str">
            <v>David Brown Solar Park</v>
          </cell>
          <cell r="D184" t="str">
            <v>Saturn Solar 2 LP</v>
          </cell>
          <cell r="E184" t="str">
            <v>CO</v>
          </cell>
          <cell r="F184">
            <v>41695</v>
          </cell>
          <cell r="G184">
            <v>42079</v>
          </cell>
          <cell r="H184">
            <v>49383</v>
          </cell>
          <cell r="I184" t="str">
            <v>19 years, 11 months, 27 days</v>
          </cell>
          <cell r="J184" t="str">
            <v>Renewables</v>
          </cell>
          <cell r="K184" t="str">
            <v>Solar (Ground Mounted)</v>
          </cell>
          <cell r="L184" t="str">
            <v>Solar</v>
          </cell>
          <cell r="M184" t="str">
            <v>Dx</v>
          </cell>
          <cell r="N184" t="str">
            <v>Ingleside</v>
          </cell>
          <cell r="O184" t="str">
            <v>Stormont, Dundas and Glengarry</v>
          </cell>
          <cell r="P184" t="str">
            <v>East</v>
          </cell>
        </row>
        <row r="185">
          <cell r="C185" t="str">
            <v>Roding Park Community Centre Solar PV</v>
          </cell>
          <cell r="D185" t="str">
            <v>Toronto Hydro-Electric System Limited</v>
          </cell>
          <cell r="E185" t="str">
            <v>CO</v>
          </cell>
          <cell r="F185">
            <v>41804</v>
          </cell>
          <cell r="G185">
            <v>41334</v>
          </cell>
          <cell r="H185">
            <v>48638</v>
          </cell>
          <cell r="I185" t="str">
            <v>19 years, 11 months, 27 days</v>
          </cell>
          <cell r="J185" t="str">
            <v>Renewables</v>
          </cell>
          <cell r="K185" t="str">
            <v>Solar (Rooftop)</v>
          </cell>
          <cell r="L185" t="str">
            <v>Solar</v>
          </cell>
          <cell r="M185" t="str">
            <v>Dx</v>
          </cell>
          <cell r="N185" t="str">
            <v>Toronto</v>
          </cell>
          <cell r="O185" t="str">
            <v>Toronto</v>
          </cell>
          <cell r="P185" t="str">
            <v>Toronto</v>
          </cell>
        </row>
        <row r="186">
          <cell r="C186" t="str">
            <v>(C5) Real Canadian Superstore Walker Road</v>
          </cell>
          <cell r="D186" t="str">
            <v>Firelight Solar LP</v>
          </cell>
          <cell r="E186" t="str">
            <v>CO</v>
          </cell>
          <cell r="F186">
            <v>41734</v>
          </cell>
          <cell r="G186">
            <v>41537</v>
          </cell>
          <cell r="H186">
            <v>48841</v>
          </cell>
          <cell r="I186" t="str">
            <v>19 years, 11 months, 30 days</v>
          </cell>
          <cell r="J186" t="str">
            <v>Renewables</v>
          </cell>
          <cell r="K186" t="str">
            <v>Solar (Rooftop)</v>
          </cell>
          <cell r="L186" t="str">
            <v>Solar</v>
          </cell>
          <cell r="M186" t="str">
            <v>Dx</v>
          </cell>
          <cell r="N186" t="str">
            <v>Windsor</v>
          </cell>
          <cell r="O186" t="str">
            <v>Essex</v>
          </cell>
          <cell r="P186" t="str">
            <v>West</v>
          </cell>
        </row>
        <row r="187">
          <cell r="C187" t="str">
            <v>1039 Old Highway #2</v>
          </cell>
          <cell r="D187" t="str">
            <v>2421911 Ontario Limited</v>
          </cell>
          <cell r="E187" t="str">
            <v>CO</v>
          </cell>
          <cell r="F187">
            <v>41790</v>
          </cell>
          <cell r="G187">
            <v>41949</v>
          </cell>
          <cell r="H187">
            <v>49094</v>
          </cell>
          <cell r="I187" t="str">
            <v>19 years, 6 months, 24 days</v>
          </cell>
          <cell r="J187" t="str">
            <v>Renewables</v>
          </cell>
          <cell r="K187" t="str">
            <v>Solar (Rooftop)</v>
          </cell>
          <cell r="L187" t="str">
            <v>Solar</v>
          </cell>
          <cell r="M187" t="str">
            <v>Dx</v>
          </cell>
          <cell r="N187" t="str">
            <v>Belleville</v>
          </cell>
          <cell r="O187" t="str">
            <v>Hastings</v>
          </cell>
          <cell r="P187" t="str">
            <v>East</v>
          </cell>
        </row>
        <row r="188">
          <cell r="C188" t="str">
            <v>Gitchi Animki Bezhig Generating Station</v>
          </cell>
          <cell r="D188" t="str">
            <v>Pic Mobert Hydro Inc.</v>
          </cell>
          <cell r="E188" t="str">
            <v>CO</v>
          </cell>
          <cell r="F188">
            <v>42932</v>
          </cell>
          <cell r="G188">
            <v>42484</v>
          </cell>
          <cell r="H188">
            <v>57093</v>
          </cell>
          <cell r="I188" t="str">
            <v>39 years, 11 months, 30 days</v>
          </cell>
          <cell r="J188" t="str">
            <v>Renewables</v>
          </cell>
          <cell r="K188" t="str">
            <v>Run-of-River</v>
          </cell>
          <cell r="L188" t="str">
            <v>Waterpower</v>
          </cell>
          <cell r="M188" t="str">
            <v>Tx</v>
          </cell>
          <cell r="N188" t="str">
            <v>Mobert</v>
          </cell>
          <cell r="O188" t="str">
            <v>Algoma</v>
          </cell>
          <cell r="P188" t="str">
            <v>Northwest</v>
          </cell>
        </row>
        <row r="189">
          <cell r="C189" t="str">
            <v>Illumination</v>
          </cell>
          <cell r="D189" t="str">
            <v>Illumination LP</v>
          </cell>
          <cell r="E189" t="str">
            <v>CO</v>
          </cell>
          <cell r="F189">
            <v>41898</v>
          </cell>
          <cell r="G189">
            <v>42321</v>
          </cell>
          <cell r="H189">
            <v>49625</v>
          </cell>
          <cell r="I189" t="str">
            <v>19 years, 11 months, 30 days</v>
          </cell>
          <cell r="J189" t="str">
            <v>Renewables</v>
          </cell>
          <cell r="K189" t="str">
            <v>Solar (Ground Mounted)</v>
          </cell>
          <cell r="L189" t="str">
            <v>Solar</v>
          </cell>
          <cell r="M189" t="str">
            <v>Dx</v>
          </cell>
          <cell r="N189" t="str">
            <v>Port Perry</v>
          </cell>
          <cell r="O189" t="str">
            <v>Simcoe</v>
          </cell>
          <cell r="P189" t="str">
            <v>Toronto</v>
          </cell>
        </row>
        <row r="190">
          <cell r="C190" t="str">
            <v>100 MALDEN RD</v>
          </cell>
          <cell r="D190" t="str">
            <v>ERGENOCAN INVESTMENTS INC.</v>
          </cell>
          <cell r="E190" t="str">
            <v>CO</v>
          </cell>
          <cell r="F190">
            <v>41841</v>
          </cell>
          <cell r="G190">
            <v>41492</v>
          </cell>
          <cell r="H190">
            <v>48796</v>
          </cell>
          <cell r="I190" t="str">
            <v>19 years, 11 months, 30 days</v>
          </cell>
          <cell r="J190" t="str">
            <v>Renewables</v>
          </cell>
          <cell r="K190" t="str">
            <v>Solar (Rooftop)</v>
          </cell>
          <cell r="L190" t="str">
            <v>Solar</v>
          </cell>
          <cell r="M190" t="str">
            <v>Dx</v>
          </cell>
          <cell r="N190" t="str">
            <v>Kingsville</v>
          </cell>
          <cell r="O190" t="str">
            <v>Essex</v>
          </cell>
          <cell r="P190" t="str">
            <v>West</v>
          </cell>
        </row>
        <row r="191">
          <cell r="C191" t="str">
            <v>GEDSB Brantford Collegiate</v>
          </cell>
          <cell r="D191" t="str">
            <v>Ameresco GEDSB Solar Inc.</v>
          </cell>
          <cell r="E191" t="str">
            <v>CO</v>
          </cell>
          <cell r="F191">
            <v>41722</v>
          </cell>
          <cell r="G191">
            <v>41880</v>
          </cell>
          <cell r="H191">
            <v>49184</v>
          </cell>
          <cell r="I191" t="str">
            <v>19 years, 11 months, 30 days</v>
          </cell>
          <cell r="J191" t="str">
            <v>Renewables</v>
          </cell>
          <cell r="K191" t="str">
            <v>Solar (Rooftop)</v>
          </cell>
          <cell r="L191" t="str">
            <v>Solar</v>
          </cell>
          <cell r="M191" t="str">
            <v>Dx</v>
          </cell>
          <cell r="N191" t="str">
            <v>Brantford</v>
          </cell>
          <cell r="O191" t="str">
            <v>Brant</v>
          </cell>
          <cell r="P191" t="str">
            <v>Southwest</v>
          </cell>
        </row>
        <row r="192">
          <cell r="C192" t="str">
            <v>A07-40 Nolan</v>
          </cell>
          <cell r="D192" t="str">
            <v>2412039 Ontario Inc.</v>
          </cell>
          <cell r="E192" t="str">
            <v>CO</v>
          </cell>
          <cell r="F192">
            <v>41862</v>
          </cell>
          <cell r="G192">
            <v>42045</v>
          </cell>
          <cell r="H192">
            <v>49349</v>
          </cell>
          <cell r="I192" t="str">
            <v>19 years, 11 months, 30 days</v>
          </cell>
          <cell r="J192" t="str">
            <v>Renewables</v>
          </cell>
          <cell r="K192" t="str">
            <v>Solar (Rooftop)</v>
          </cell>
          <cell r="L192" t="str">
            <v>Solar</v>
          </cell>
          <cell r="M192" t="str">
            <v>Dx</v>
          </cell>
          <cell r="N192" t="str">
            <v>Markham</v>
          </cell>
          <cell r="O192" t="str">
            <v>York</v>
          </cell>
          <cell r="P192" t="str">
            <v>Toronto</v>
          </cell>
        </row>
        <row r="193">
          <cell r="C193" t="str">
            <v>100 Washburn Drive</v>
          </cell>
          <cell r="D193" t="str">
            <v>TFH K-W Properties Inc.</v>
          </cell>
          <cell r="E193" t="str">
            <v>CO</v>
          </cell>
          <cell r="F193">
            <v>41847</v>
          </cell>
          <cell r="G193">
            <v>41122</v>
          </cell>
          <cell r="H193">
            <v>48426</v>
          </cell>
          <cell r="I193" t="str">
            <v>19 years, 11 months, 30 days</v>
          </cell>
          <cell r="J193" t="str">
            <v>Renewables</v>
          </cell>
          <cell r="K193" t="str">
            <v>Solar (Rooftop)</v>
          </cell>
          <cell r="L193" t="str">
            <v>Solar</v>
          </cell>
          <cell r="M193" t="str">
            <v>Dx</v>
          </cell>
          <cell r="N193" t="str">
            <v>Kitchener</v>
          </cell>
          <cell r="O193" t="str">
            <v>Waterloo</v>
          </cell>
          <cell r="P193" t="str">
            <v>Southwest</v>
          </cell>
        </row>
        <row r="194">
          <cell r="C194" t="str">
            <v>Ruitenhof Solar</v>
          </cell>
          <cell r="D194" t="str">
            <v>Ruitenhof Farms Limited</v>
          </cell>
          <cell r="E194" t="str">
            <v>CO</v>
          </cell>
          <cell r="F194">
            <v>41799</v>
          </cell>
          <cell r="G194">
            <v>41226</v>
          </cell>
          <cell r="H194">
            <v>48530</v>
          </cell>
          <cell r="I194" t="str">
            <v>19 years, 11 months, 30 days</v>
          </cell>
          <cell r="J194" t="str">
            <v>Renewables</v>
          </cell>
          <cell r="K194" t="str">
            <v>Solar (Rooftop)</v>
          </cell>
          <cell r="L194" t="str">
            <v>Solar</v>
          </cell>
          <cell r="M194" t="str">
            <v>Dx</v>
          </cell>
          <cell r="N194" t="str">
            <v>Arthur</v>
          </cell>
          <cell r="O194" t="str">
            <v>Wellington</v>
          </cell>
          <cell r="P194" t="str">
            <v>Southwest</v>
          </cell>
        </row>
        <row r="195">
          <cell r="C195" t="str">
            <v>Gardiner Farms Biogas</v>
          </cell>
          <cell r="D195" t="str">
            <v>Ben Gardiner Farms Inc.</v>
          </cell>
          <cell r="E195" t="str">
            <v>CO</v>
          </cell>
          <cell r="F195">
            <v>41435</v>
          </cell>
          <cell r="G195">
            <v>40875</v>
          </cell>
          <cell r="H195">
            <v>48179</v>
          </cell>
          <cell r="I195" t="str">
            <v>19 years, 11 months, 30 days</v>
          </cell>
          <cell r="J195" t="str">
            <v>Renewables</v>
          </cell>
          <cell r="K195" t="str">
            <v>Bioenergy</v>
          </cell>
          <cell r="L195" t="str">
            <v>Biogas (On-Farm)</v>
          </cell>
          <cell r="M195" t="str">
            <v>Dx</v>
          </cell>
          <cell r="N195" t="str">
            <v>Kirkton</v>
          </cell>
          <cell r="O195" t="str">
            <v>Perth</v>
          </cell>
          <cell r="P195" t="str">
            <v>Southwest</v>
          </cell>
        </row>
        <row r="196">
          <cell r="C196" t="str">
            <v>L01-3163 Winston Churchill</v>
          </cell>
          <cell r="D196" t="str">
            <v>Longo Power Generation Inc.</v>
          </cell>
          <cell r="E196" t="str">
            <v>CO</v>
          </cell>
          <cell r="F196">
            <v>41828</v>
          </cell>
          <cell r="G196">
            <v>41548</v>
          </cell>
          <cell r="H196">
            <v>48852</v>
          </cell>
          <cell r="I196" t="str">
            <v>19 years, 11 months, 29 days</v>
          </cell>
          <cell r="J196" t="str">
            <v>Renewables</v>
          </cell>
          <cell r="K196" t="str">
            <v>Solar (Rooftop)</v>
          </cell>
          <cell r="L196" t="str">
            <v>Solar</v>
          </cell>
          <cell r="M196" t="str">
            <v>Dx</v>
          </cell>
          <cell r="N196" t="str">
            <v>Mississauga</v>
          </cell>
          <cell r="O196" t="str">
            <v>Peel</v>
          </cell>
          <cell r="P196" t="str">
            <v>Toronto</v>
          </cell>
        </row>
        <row r="197">
          <cell r="C197" t="str">
            <v>Patodia Office PV Project</v>
          </cell>
          <cell r="D197" t="str">
            <v>Inner Power Holdings</v>
          </cell>
          <cell r="E197" t="str">
            <v>CO</v>
          </cell>
          <cell r="F197">
            <v>41841</v>
          </cell>
          <cell r="G197">
            <v>41459</v>
          </cell>
          <cell r="H197">
            <v>48763</v>
          </cell>
          <cell r="I197" t="str">
            <v>19 years, 11 months, 29 days</v>
          </cell>
          <cell r="J197" t="str">
            <v>Renewables</v>
          </cell>
          <cell r="K197" t="str">
            <v>Solar (Rooftop)</v>
          </cell>
          <cell r="L197" t="str">
            <v>Solar</v>
          </cell>
          <cell r="M197" t="str">
            <v>Dx</v>
          </cell>
          <cell r="N197" t="str">
            <v>Sarnia</v>
          </cell>
          <cell r="O197" t="str">
            <v>Lambton</v>
          </cell>
          <cell r="P197" t="str">
            <v>West</v>
          </cell>
        </row>
        <row r="198">
          <cell r="C198" t="str">
            <v>60 Spy Crt-PV Solar</v>
          </cell>
          <cell r="D198" t="str">
            <v>2517510 Ontario Inc.</v>
          </cell>
          <cell r="E198" t="str">
            <v>CO</v>
          </cell>
          <cell r="F198">
            <v>41797</v>
          </cell>
          <cell r="G198">
            <v>41578</v>
          </cell>
          <cell r="H198">
            <v>48882</v>
          </cell>
          <cell r="I198" t="str">
            <v>19 years, 11 months, 29 days</v>
          </cell>
          <cell r="J198" t="str">
            <v>Renewables</v>
          </cell>
          <cell r="K198" t="str">
            <v>Solar (Rooftop)</v>
          </cell>
          <cell r="L198" t="str">
            <v>Solar</v>
          </cell>
          <cell r="M198" t="str">
            <v>Dx</v>
          </cell>
          <cell r="N198" t="str">
            <v>Markham</v>
          </cell>
          <cell r="O198" t="str">
            <v>York</v>
          </cell>
          <cell r="P198" t="str">
            <v>Toronto</v>
          </cell>
        </row>
        <row r="199">
          <cell r="C199" t="str">
            <v>Franklin Solar</v>
          </cell>
          <cell r="D199" t="str">
            <v>Garth Franklin</v>
          </cell>
          <cell r="E199" t="str">
            <v>CO</v>
          </cell>
          <cell r="F199">
            <v>41478</v>
          </cell>
          <cell r="G199">
            <v>41254</v>
          </cell>
          <cell r="H199">
            <v>48558</v>
          </cell>
          <cell r="I199" t="str">
            <v>19 years, 11 months, 29 days</v>
          </cell>
          <cell r="J199" t="str">
            <v>Renewables</v>
          </cell>
          <cell r="K199" t="str">
            <v>Solar (Rooftop)</v>
          </cell>
          <cell r="L199" t="str">
            <v>Solar</v>
          </cell>
          <cell r="M199" t="str">
            <v>Dx</v>
          </cell>
          <cell r="N199" t="str">
            <v>Dunvegan</v>
          </cell>
          <cell r="O199" t="str">
            <v>Stormont, Dundas and Glengarry</v>
          </cell>
          <cell r="P199" t="str">
            <v>Ottawa</v>
          </cell>
        </row>
        <row r="200">
          <cell r="C200" t="str">
            <v>Pine Point Farms Solar</v>
          </cell>
          <cell r="D200" t="str">
            <v>Alectra Utilities Corporation</v>
          </cell>
          <cell r="E200" t="str">
            <v>CO</v>
          </cell>
          <cell r="F200">
            <v>41029</v>
          </cell>
          <cell r="G200">
            <v>40869</v>
          </cell>
          <cell r="H200">
            <v>48173</v>
          </cell>
          <cell r="I200" t="str">
            <v>19 years, 11 months, 30 days</v>
          </cell>
          <cell r="J200" t="str">
            <v>Renewables</v>
          </cell>
          <cell r="K200" t="str">
            <v>Solar (Rooftop)</v>
          </cell>
          <cell r="L200" t="str">
            <v>Solar</v>
          </cell>
          <cell r="M200" t="str">
            <v>Dx</v>
          </cell>
          <cell r="N200" t="str">
            <v>Port Perry</v>
          </cell>
          <cell r="O200" t="str">
            <v>Simcoe</v>
          </cell>
          <cell r="P200" t="str">
            <v>Toronto</v>
          </cell>
        </row>
        <row r="201">
          <cell r="C201" t="str">
            <v>M07-1111 Corporate</v>
          </cell>
          <cell r="D201" t="str">
            <v>Sky Solar (Canada) FIT 1 Limited Partnership</v>
          </cell>
          <cell r="E201" t="str">
            <v>CO</v>
          </cell>
          <cell r="F201">
            <v>41814</v>
          </cell>
          <cell r="G201">
            <v>41990</v>
          </cell>
          <cell r="H201">
            <v>49294</v>
          </cell>
          <cell r="I201" t="str">
            <v>19 years, 11 months, 29 days</v>
          </cell>
          <cell r="J201" t="str">
            <v>Renewables</v>
          </cell>
          <cell r="K201" t="str">
            <v>Solar (Rooftop)</v>
          </cell>
          <cell r="L201" t="str">
            <v>Solar</v>
          </cell>
          <cell r="M201" t="str">
            <v>Dx</v>
          </cell>
          <cell r="N201" t="str">
            <v>Burlington</v>
          </cell>
          <cell r="O201" t="str">
            <v>Halton</v>
          </cell>
          <cell r="P201" t="str">
            <v>Southwest</v>
          </cell>
        </row>
        <row r="202">
          <cell r="C202" t="str">
            <v>Wasdell Falls Waterpower Project</v>
          </cell>
          <cell r="D202" t="str">
            <v>Bracebridge Generation Ltd.</v>
          </cell>
          <cell r="E202" t="str">
            <v>CO</v>
          </cell>
          <cell r="F202">
            <v>42658</v>
          </cell>
          <cell r="G202">
            <v>42340</v>
          </cell>
          <cell r="H202">
            <v>56949</v>
          </cell>
          <cell r="I202" t="str">
            <v>39 years, 11 months, 29 days</v>
          </cell>
          <cell r="J202" t="str">
            <v>Renewables</v>
          </cell>
          <cell r="K202" t="str">
            <v>Run-of-River</v>
          </cell>
          <cell r="L202" t="str">
            <v>Waterpower</v>
          </cell>
          <cell r="M202" t="str">
            <v>Dx</v>
          </cell>
          <cell r="N202" t="str">
            <v>Washago</v>
          </cell>
          <cell r="O202" t="str">
            <v>Simcoe</v>
          </cell>
          <cell r="P202" t="str">
            <v>Essa</v>
          </cell>
        </row>
        <row r="203">
          <cell r="C203" t="str">
            <v>NAFTC Energy</v>
          </cell>
          <cell r="D203" t="str">
            <v>1882072 Ontario Inc.</v>
          </cell>
          <cell r="E203" t="str">
            <v>CO</v>
          </cell>
          <cell r="F203">
            <v>41919</v>
          </cell>
          <cell r="G203">
            <v>41487</v>
          </cell>
          <cell r="H203">
            <v>48791</v>
          </cell>
          <cell r="I203" t="str">
            <v>19 years, 11 months, 30 days</v>
          </cell>
          <cell r="J203" t="str">
            <v>Renewables</v>
          </cell>
          <cell r="K203" t="str">
            <v>Solar (Ground Mounted)</v>
          </cell>
          <cell r="L203" t="str">
            <v>Solar</v>
          </cell>
          <cell r="M203" t="str">
            <v>Dx</v>
          </cell>
          <cell r="N203" t="str">
            <v>Maidstone</v>
          </cell>
          <cell r="O203" t="str">
            <v>Essex</v>
          </cell>
          <cell r="P203" t="str">
            <v>West</v>
          </cell>
        </row>
        <row r="204">
          <cell r="C204" t="str">
            <v>Metex 75kW System</v>
          </cell>
          <cell r="D204" t="str">
            <v>S&amp;B Bawa Holdco Ltd.</v>
          </cell>
          <cell r="E204" t="str">
            <v>CO</v>
          </cell>
          <cell r="F204">
            <v>40663</v>
          </cell>
          <cell r="G204">
            <v>40631</v>
          </cell>
          <cell r="H204">
            <v>47935</v>
          </cell>
          <cell r="I204" t="str">
            <v>19 years, 11 months, 27 days</v>
          </cell>
          <cell r="J204" t="str">
            <v>Renewables</v>
          </cell>
          <cell r="K204" t="str">
            <v>Solar (Rooftop)</v>
          </cell>
          <cell r="L204" t="str">
            <v>Solar</v>
          </cell>
          <cell r="M204" t="str">
            <v>Dx</v>
          </cell>
          <cell r="N204" t="str">
            <v>Brampton</v>
          </cell>
          <cell r="O204" t="str">
            <v>Peel</v>
          </cell>
          <cell r="P204" t="str">
            <v>Toronto</v>
          </cell>
        </row>
        <row r="205">
          <cell r="C205" t="str">
            <v>160 INGERSOLL STREET SOUTH ROOFTOP</v>
          </cell>
          <cell r="D205" t="str">
            <v>LINEAGE LOGISTICS ORS LTD.</v>
          </cell>
          <cell r="E205" t="str">
            <v>CO</v>
          </cell>
          <cell r="F205">
            <v>41806</v>
          </cell>
          <cell r="G205">
            <v>41373</v>
          </cell>
          <cell r="H205">
            <v>48677</v>
          </cell>
          <cell r="I205" t="str">
            <v>19 years, 11 months, 30 days</v>
          </cell>
          <cell r="J205" t="str">
            <v>Renewables</v>
          </cell>
          <cell r="K205" t="str">
            <v>Solar (Rooftop)</v>
          </cell>
          <cell r="L205" t="str">
            <v>Solar</v>
          </cell>
          <cell r="M205" t="str">
            <v>Dx</v>
          </cell>
          <cell r="N205" t="str">
            <v>Ingersoll</v>
          </cell>
          <cell r="O205" t="str">
            <v>Oxford</v>
          </cell>
          <cell r="P205" t="str">
            <v>Southwest</v>
          </cell>
        </row>
        <row r="206">
          <cell r="C206" t="str">
            <v>Quite West: North Murray Business Park #2</v>
          </cell>
          <cell r="D206" t="str">
            <v>1382839 Ontario Inc.</v>
          </cell>
          <cell r="E206" t="str">
            <v>CO</v>
          </cell>
          <cell r="F206">
            <v>41832</v>
          </cell>
          <cell r="G206">
            <v>41554</v>
          </cell>
          <cell r="H206">
            <v>48858</v>
          </cell>
          <cell r="I206" t="str">
            <v>19 years, 11 months, 29 days</v>
          </cell>
          <cell r="J206" t="str">
            <v>Renewables</v>
          </cell>
          <cell r="K206" t="str">
            <v>Solar (Rooftop)</v>
          </cell>
          <cell r="L206" t="str">
            <v>Solar</v>
          </cell>
          <cell r="M206" t="str">
            <v>Dx</v>
          </cell>
          <cell r="N206" t="str">
            <v>Trenton</v>
          </cell>
          <cell r="O206" t="str">
            <v>Hastings</v>
          </cell>
          <cell r="P206" t="str">
            <v>East</v>
          </cell>
        </row>
        <row r="207">
          <cell r="C207" t="str">
            <v>Long &amp; McQuade Limited</v>
          </cell>
          <cell r="D207" t="str">
            <v>PSI Solar Finance 1 Limited Partnership</v>
          </cell>
          <cell r="E207" t="str">
            <v>CO</v>
          </cell>
          <cell r="F207">
            <v>41834</v>
          </cell>
          <cell r="G207">
            <v>41319</v>
          </cell>
          <cell r="H207">
            <v>48623</v>
          </cell>
          <cell r="I207" t="str">
            <v>19 years, 11 months, 30 days</v>
          </cell>
          <cell r="J207" t="str">
            <v>Renewables</v>
          </cell>
          <cell r="K207" t="str">
            <v>Solar (Rooftop)</v>
          </cell>
          <cell r="L207" t="str">
            <v>Solar</v>
          </cell>
          <cell r="M207" t="str">
            <v>Dx</v>
          </cell>
          <cell r="N207" t="str">
            <v>Pickering</v>
          </cell>
          <cell r="O207" t="str">
            <v>Durham</v>
          </cell>
          <cell r="P207" t="str">
            <v>Toronto</v>
          </cell>
        </row>
        <row r="208">
          <cell r="C208" t="str">
            <v>331 Bowes Road</v>
          </cell>
          <cell r="D208" t="str">
            <v>Sunny Day Energy Inc.</v>
          </cell>
          <cell r="E208" t="str">
            <v>CO</v>
          </cell>
          <cell r="F208">
            <v>41834</v>
          </cell>
          <cell r="G208">
            <v>41731</v>
          </cell>
          <cell r="H208">
            <v>49035</v>
          </cell>
          <cell r="I208" t="str">
            <v>19 years, 11 months, 30 days</v>
          </cell>
          <cell r="J208" t="str">
            <v>Renewables</v>
          </cell>
          <cell r="K208" t="str">
            <v>Solar (Rooftop)</v>
          </cell>
          <cell r="L208" t="str">
            <v>Solar</v>
          </cell>
          <cell r="M208" t="str">
            <v>Dx</v>
          </cell>
          <cell r="N208" t="str">
            <v>Concord</v>
          </cell>
          <cell r="O208" t="str">
            <v>York</v>
          </cell>
          <cell r="P208" t="str">
            <v>Toronto</v>
          </cell>
        </row>
        <row r="209">
          <cell r="C209" t="str">
            <v>C5 Farm Solar Two</v>
          </cell>
          <cell r="D209" t="str">
            <v>2395768 Ontario Inc</v>
          </cell>
          <cell r="E209" t="str">
            <v>CO</v>
          </cell>
          <cell r="F209">
            <v>41877</v>
          </cell>
          <cell r="G209">
            <v>41716</v>
          </cell>
          <cell r="H209">
            <v>49020</v>
          </cell>
          <cell r="I209" t="str">
            <v>19 years, 11 months, 27 days</v>
          </cell>
          <cell r="J209" t="str">
            <v>Renewables</v>
          </cell>
          <cell r="K209" t="str">
            <v>Solar (Rooftop)</v>
          </cell>
          <cell r="L209" t="str">
            <v>Solar</v>
          </cell>
          <cell r="M209" t="str">
            <v>Dx</v>
          </cell>
          <cell r="N209" t="str">
            <v>Delta</v>
          </cell>
          <cell r="O209" t="str">
            <v>Leeds and Grenville</v>
          </cell>
          <cell r="P209" t="str">
            <v>East</v>
          </cell>
        </row>
        <row r="210">
          <cell r="C210" t="str">
            <v>ORSINC 450 Rooftop</v>
          </cell>
          <cell r="D210" t="str">
            <v>LINEAGE LOGISTICS ORS LTD.</v>
          </cell>
          <cell r="E210" t="str">
            <v>CO</v>
          </cell>
          <cell r="F210">
            <v>41806</v>
          </cell>
          <cell r="G210">
            <v>41976</v>
          </cell>
          <cell r="H210">
            <v>49280</v>
          </cell>
          <cell r="I210" t="str">
            <v>19 years, 11 months, 29 days</v>
          </cell>
          <cell r="J210" t="str">
            <v>Renewables</v>
          </cell>
          <cell r="K210" t="str">
            <v>Solar (Rooftop)</v>
          </cell>
          <cell r="L210" t="str">
            <v>Solar</v>
          </cell>
          <cell r="M210" t="str">
            <v>Dx</v>
          </cell>
          <cell r="N210" t="str">
            <v>Ingersoll</v>
          </cell>
          <cell r="O210" t="str">
            <v>Oxford</v>
          </cell>
          <cell r="P210" t="str">
            <v>Southwest</v>
          </cell>
        </row>
        <row r="211">
          <cell r="C211" t="str">
            <v>Vollmer Centre Solar PV Project</v>
          </cell>
          <cell r="D211" t="str">
            <v>Essex Energy Corporation</v>
          </cell>
          <cell r="E211" t="str">
            <v>CO</v>
          </cell>
          <cell r="F211">
            <v>41029</v>
          </cell>
          <cell r="G211">
            <v>40899</v>
          </cell>
          <cell r="H211">
            <v>48203</v>
          </cell>
          <cell r="I211" t="str">
            <v>19 years, 11 months, 29 days</v>
          </cell>
          <cell r="J211" t="str">
            <v>Renewables</v>
          </cell>
          <cell r="K211" t="str">
            <v>Solar (Rooftop)</v>
          </cell>
          <cell r="L211" t="str">
            <v>Solar</v>
          </cell>
          <cell r="M211" t="str">
            <v>Dx</v>
          </cell>
          <cell r="N211" t="str">
            <v>Windsor</v>
          </cell>
          <cell r="O211" t="str">
            <v>Essex</v>
          </cell>
          <cell r="P211" t="str">
            <v>West</v>
          </cell>
        </row>
        <row r="212">
          <cell r="C212" t="str">
            <v>7360 Bramalea</v>
          </cell>
          <cell r="D212" t="str">
            <v>SunEdison DG Operating Holdings-2, LLC</v>
          </cell>
          <cell r="E212" t="str">
            <v>CO</v>
          </cell>
          <cell r="F212">
            <v>41820</v>
          </cell>
          <cell r="G212">
            <v>41369</v>
          </cell>
          <cell r="H212">
            <v>48673</v>
          </cell>
          <cell r="I212" t="str">
            <v>19 years, 11 months, 30 days</v>
          </cell>
          <cell r="J212" t="str">
            <v>Renewables</v>
          </cell>
          <cell r="K212" t="str">
            <v>Solar (Rooftop)</v>
          </cell>
          <cell r="L212" t="str">
            <v>Solar</v>
          </cell>
          <cell r="M212" t="str">
            <v>Dx</v>
          </cell>
          <cell r="N212" t="str">
            <v>Mississauga</v>
          </cell>
          <cell r="O212" t="str">
            <v>Peel</v>
          </cell>
          <cell r="P212" t="str">
            <v>Toronto</v>
          </cell>
        </row>
        <row r="213">
          <cell r="C213" t="str">
            <v>Bols Eadie Road</v>
          </cell>
          <cell r="D213" t="str">
            <v>Michael Bols</v>
          </cell>
          <cell r="E213" t="str">
            <v>CO</v>
          </cell>
          <cell r="F213">
            <v>41797</v>
          </cell>
          <cell r="G213">
            <v>41026</v>
          </cell>
          <cell r="H213">
            <v>48330</v>
          </cell>
          <cell r="I213" t="str">
            <v>19 years, 11 months, 30 days</v>
          </cell>
          <cell r="J213" t="str">
            <v>Renewables</v>
          </cell>
          <cell r="K213" t="str">
            <v>Solar (Rooftop)</v>
          </cell>
          <cell r="L213" t="str">
            <v>Solar</v>
          </cell>
          <cell r="M213" t="str">
            <v>Dx</v>
          </cell>
          <cell r="N213" t="str">
            <v>Russell</v>
          </cell>
          <cell r="O213" t="str">
            <v>Prescott and Russell</v>
          </cell>
          <cell r="P213" t="str">
            <v>East</v>
          </cell>
        </row>
        <row r="214">
          <cell r="C214" t="str">
            <v>M07-70 North Wind</v>
          </cell>
          <cell r="D214" t="str">
            <v>Firelight Solar LP</v>
          </cell>
          <cell r="E214" t="str">
            <v>CO</v>
          </cell>
          <cell r="F214">
            <v>41720</v>
          </cell>
          <cell r="G214">
            <v>41073</v>
          </cell>
          <cell r="H214">
            <v>48377</v>
          </cell>
          <cell r="I214" t="str">
            <v>19 years, 11 months, 30 days</v>
          </cell>
          <cell r="J214" t="str">
            <v>Renewables</v>
          </cell>
          <cell r="K214" t="str">
            <v>Solar (Rooftop)</v>
          </cell>
          <cell r="L214" t="str">
            <v>Solar</v>
          </cell>
          <cell r="M214" t="str">
            <v>Dx</v>
          </cell>
          <cell r="N214" t="str">
            <v>Toronto</v>
          </cell>
          <cell r="O214" t="str">
            <v>Toronto</v>
          </cell>
          <cell r="P214" t="str">
            <v>Toronto</v>
          </cell>
        </row>
        <row r="215">
          <cell r="C215" t="str">
            <v>St. Lawrence College Solar PV - Kingston Campus</v>
          </cell>
          <cell r="D215" t="str">
            <v>The St. Lawrence College of Applied Arts and Technology</v>
          </cell>
          <cell r="E215" t="str">
            <v>CO</v>
          </cell>
          <cell r="F215">
            <v>41804</v>
          </cell>
          <cell r="G215">
            <v>41183</v>
          </cell>
          <cell r="H215">
            <v>48487</v>
          </cell>
          <cell r="I215" t="str">
            <v>19 years, 11 months, 29 days</v>
          </cell>
          <cell r="J215" t="str">
            <v>Renewables</v>
          </cell>
          <cell r="K215" t="str">
            <v>Solar (Rooftop)</v>
          </cell>
          <cell r="L215" t="str">
            <v>Solar</v>
          </cell>
          <cell r="M215" t="str">
            <v>Dx</v>
          </cell>
          <cell r="N215" t="str">
            <v>Kingston</v>
          </cell>
          <cell r="O215" t="str">
            <v>Frontenac</v>
          </cell>
          <cell r="P215" t="str">
            <v>East</v>
          </cell>
        </row>
        <row r="216">
          <cell r="C216" t="str">
            <v>Main West Plaza</v>
          </cell>
          <cell r="D216" t="str">
            <v>Solar Finance Inc.</v>
          </cell>
          <cell r="E216" t="str">
            <v>CO</v>
          </cell>
          <cell r="F216">
            <v>41029</v>
          </cell>
          <cell r="G216">
            <v>41053</v>
          </cell>
          <cell r="H216">
            <v>48333</v>
          </cell>
          <cell r="I216" t="str">
            <v>19 years, 11 months, 5 days</v>
          </cell>
          <cell r="J216" t="str">
            <v>Renewables</v>
          </cell>
          <cell r="K216" t="str">
            <v>Solar (Rooftop)</v>
          </cell>
          <cell r="L216" t="str">
            <v>Solar</v>
          </cell>
          <cell r="M216" t="str">
            <v>Dx</v>
          </cell>
          <cell r="N216" t="str">
            <v>Hamilton</v>
          </cell>
          <cell r="O216" t="str">
            <v>Hamilton</v>
          </cell>
          <cell r="P216" t="str">
            <v>Southwest</v>
          </cell>
        </row>
        <row r="217">
          <cell r="C217" t="str">
            <v>Val Caron</v>
          </cell>
          <cell r="D217" t="str">
            <v>Concord Val Caron Partnership</v>
          </cell>
          <cell r="E217" t="str">
            <v>CO</v>
          </cell>
          <cell r="F217">
            <v>41766</v>
          </cell>
          <cell r="G217">
            <v>41772</v>
          </cell>
          <cell r="H217">
            <v>49076</v>
          </cell>
          <cell r="I217" t="str">
            <v>19 years, 11 months, 29 days</v>
          </cell>
          <cell r="J217" t="str">
            <v>Renewables</v>
          </cell>
          <cell r="K217" t="str">
            <v>Solar (Ground Mounted)</v>
          </cell>
          <cell r="L217" t="str">
            <v>Solar</v>
          </cell>
          <cell r="M217" t="str">
            <v>Dx</v>
          </cell>
          <cell r="N217" t="str">
            <v>Hanmer</v>
          </cell>
          <cell r="O217" t="str">
            <v>Greater Sudbury</v>
          </cell>
          <cell r="P217" t="str">
            <v>Northeast</v>
          </cell>
        </row>
        <row r="218">
          <cell r="C218" t="str">
            <v>atWork Cambridge Solar</v>
          </cell>
          <cell r="D218" t="str">
            <v>ATWORK DEVELOPMENTS LTD</v>
          </cell>
          <cell r="E218" t="str">
            <v>CO</v>
          </cell>
          <cell r="F218">
            <v>41827</v>
          </cell>
          <cell r="G218">
            <v>41222</v>
          </cell>
          <cell r="H218">
            <v>48526</v>
          </cell>
          <cell r="I218" t="str">
            <v>19 years, 11 months, 30 days</v>
          </cell>
          <cell r="J218" t="str">
            <v>Renewables</v>
          </cell>
          <cell r="K218" t="str">
            <v>Solar (Rooftop)</v>
          </cell>
          <cell r="L218" t="str">
            <v>Solar</v>
          </cell>
          <cell r="M218" t="str">
            <v>Dx</v>
          </cell>
          <cell r="N218" t="str">
            <v>Cambridge</v>
          </cell>
          <cell r="O218" t="str">
            <v>Waterloo</v>
          </cell>
          <cell r="P218" t="str">
            <v>Southwest</v>
          </cell>
        </row>
        <row r="219">
          <cell r="C219" t="str">
            <v>GEDSB McKinnon Park</v>
          </cell>
          <cell r="D219" t="str">
            <v>Ameresco GEDSB Solar Inc.</v>
          </cell>
          <cell r="E219" t="str">
            <v>CO</v>
          </cell>
          <cell r="F219">
            <v>41545</v>
          </cell>
          <cell r="G219">
            <v>41675</v>
          </cell>
          <cell r="H219">
            <v>48979</v>
          </cell>
          <cell r="I219" t="str">
            <v>19 years, 11 months, 30 days</v>
          </cell>
          <cell r="J219" t="str">
            <v>Renewables</v>
          </cell>
          <cell r="K219" t="str">
            <v>Solar (Rooftop)</v>
          </cell>
          <cell r="L219" t="str">
            <v>Solar</v>
          </cell>
          <cell r="M219" t="str">
            <v>Dx</v>
          </cell>
          <cell r="N219" t="str">
            <v>Caledonia</v>
          </cell>
          <cell r="O219" t="str">
            <v>Haldimand</v>
          </cell>
          <cell r="P219" t="str">
            <v>Southwest</v>
          </cell>
        </row>
        <row r="220">
          <cell r="C220" t="str">
            <v>Penn Energy - S. Glengarry_St. Lawrence-1</v>
          </cell>
          <cell r="D220" t="str">
            <v>South Glengarry Solar Farm Partnership</v>
          </cell>
          <cell r="E220" t="str">
            <v>CO</v>
          </cell>
          <cell r="F220">
            <v>41783</v>
          </cell>
          <cell r="G220">
            <v>41894</v>
          </cell>
          <cell r="H220">
            <v>49198</v>
          </cell>
          <cell r="I220" t="str">
            <v>19 years, 11 months, 30 days</v>
          </cell>
          <cell r="J220" t="str">
            <v>Renewables</v>
          </cell>
          <cell r="K220" t="str">
            <v>Solar (Ground Mounted)</v>
          </cell>
          <cell r="L220" t="str">
            <v>Solar</v>
          </cell>
          <cell r="M220" t="str">
            <v>Dx</v>
          </cell>
          <cell r="N220" t="str">
            <v>Williamstown</v>
          </cell>
          <cell r="O220" t="str">
            <v>Stormont, Dundas and Glengarry</v>
          </cell>
          <cell r="P220" t="str">
            <v>East</v>
          </cell>
        </row>
        <row r="221">
          <cell r="C221" t="str">
            <v>(C63) Loblaws Robertson Road</v>
          </cell>
          <cell r="D221" t="str">
            <v>Firelight Solar LP</v>
          </cell>
          <cell r="E221" t="str">
            <v>CO</v>
          </cell>
          <cell r="F221">
            <v>41717</v>
          </cell>
          <cell r="G221">
            <v>41887</v>
          </cell>
          <cell r="H221">
            <v>49191</v>
          </cell>
          <cell r="I221" t="str">
            <v>19 years, 11 months, 30 days</v>
          </cell>
          <cell r="J221" t="str">
            <v>Renewables</v>
          </cell>
          <cell r="K221" t="str">
            <v>Solar (Rooftop)</v>
          </cell>
          <cell r="L221" t="str">
            <v>Solar</v>
          </cell>
          <cell r="M221" t="str">
            <v>Dx</v>
          </cell>
          <cell r="N221" t="str">
            <v>Ottawa</v>
          </cell>
          <cell r="O221" t="str">
            <v>Ottawa</v>
          </cell>
          <cell r="P221" t="str">
            <v>Ottawa</v>
          </cell>
        </row>
        <row r="222">
          <cell r="C222" t="str">
            <v>ROW - 168 Grand Ave</v>
          </cell>
          <cell r="D222" t="str">
            <v>The Regional Municipality of Waterloo</v>
          </cell>
          <cell r="E222" t="str">
            <v>CO</v>
          </cell>
          <cell r="F222">
            <v>41461</v>
          </cell>
          <cell r="G222">
            <v>40934</v>
          </cell>
          <cell r="H222">
            <v>48238</v>
          </cell>
          <cell r="I222" t="str">
            <v>19 years, 11 months, 30 days</v>
          </cell>
          <cell r="J222" t="str">
            <v>Renewables</v>
          </cell>
          <cell r="K222" t="str">
            <v>Solar (Rooftop)</v>
          </cell>
          <cell r="L222" t="str">
            <v>Solar</v>
          </cell>
          <cell r="M222" t="str">
            <v>Dx</v>
          </cell>
          <cell r="N222" t="str">
            <v>Cambridge</v>
          </cell>
          <cell r="O222" t="str">
            <v>Waterloo</v>
          </cell>
          <cell r="P222" t="str">
            <v>Southwest</v>
          </cell>
        </row>
        <row r="223">
          <cell r="C223" t="str">
            <v>Minus Forty</v>
          </cell>
          <cell r="D223" t="str">
            <v>IAD Solar Power Corp.</v>
          </cell>
          <cell r="E223" t="str">
            <v>CO</v>
          </cell>
          <cell r="F223">
            <v>41790</v>
          </cell>
          <cell r="G223">
            <v>41787</v>
          </cell>
          <cell r="H223">
            <v>49091</v>
          </cell>
          <cell r="I223" t="str">
            <v>19 years, 11 months, 29 days</v>
          </cell>
          <cell r="J223" t="str">
            <v>Renewables</v>
          </cell>
          <cell r="K223" t="str">
            <v>Solar (Rooftop)</v>
          </cell>
          <cell r="L223" t="str">
            <v>Solar</v>
          </cell>
          <cell r="M223" t="str">
            <v>Dx</v>
          </cell>
          <cell r="N223" t="str">
            <v>Halton Hills</v>
          </cell>
          <cell r="O223" t="str">
            <v>Halton</v>
          </cell>
          <cell r="P223" t="str">
            <v>Toronto</v>
          </cell>
        </row>
        <row r="224">
          <cell r="C224" t="str">
            <v>2299 County Road 12</v>
          </cell>
          <cell r="D224" t="str">
            <v>WC Enerco Inc.</v>
          </cell>
          <cell r="E224" t="str">
            <v>CO</v>
          </cell>
          <cell r="F224">
            <v>41841</v>
          </cell>
          <cell r="G224">
            <v>42032</v>
          </cell>
          <cell r="H224">
            <v>49145</v>
          </cell>
          <cell r="I224" t="str">
            <v>19 years, 5 months, 22 days</v>
          </cell>
          <cell r="J224" t="str">
            <v>Renewables</v>
          </cell>
          <cell r="K224" t="str">
            <v>Solar (Rooftop)</v>
          </cell>
          <cell r="L224" t="str">
            <v>Solar</v>
          </cell>
          <cell r="M224" t="str">
            <v>Dx</v>
          </cell>
          <cell r="N224" t="str">
            <v>Mcgregor</v>
          </cell>
          <cell r="O224" t="str">
            <v>Essex</v>
          </cell>
          <cell r="P224" t="str">
            <v>West</v>
          </cell>
        </row>
        <row r="225">
          <cell r="C225" t="str">
            <v>Adelaide Wind Power Project</v>
          </cell>
          <cell r="D225" t="str">
            <v>Adelaide Wind Limited Partnership</v>
          </cell>
          <cell r="E225" t="str">
            <v>CO</v>
          </cell>
          <cell r="F225">
            <v>41862</v>
          </cell>
          <cell r="G225">
            <v>42033</v>
          </cell>
          <cell r="H225">
            <v>49337</v>
          </cell>
          <cell r="I225" t="str">
            <v>19 years, 11 months, 30 days</v>
          </cell>
          <cell r="J225" t="str">
            <v>Renewables</v>
          </cell>
          <cell r="K225" t="str">
            <v>Wind (On-Shore)</v>
          </cell>
          <cell r="L225" t="str">
            <v>Wind</v>
          </cell>
          <cell r="M225" t="str">
            <v>Tx</v>
          </cell>
          <cell r="N225" t="str">
            <v>Strathroy</v>
          </cell>
          <cell r="O225" t="str">
            <v>Middlesex</v>
          </cell>
          <cell r="P225" t="str">
            <v>West</v>
          </cell>
        </row>
        <row r="226">
          <cell r="C226" t="str">
            <v>Ernestown Wind Park</v>
          </cell>
          <cell r="D226" t="str">
            <v>Ernestown Windpark Limited Partnership</v>
          </cell>
          <cell r="E226" t="str">
            <v>CO</v>
          </cell>
          <cell r="F226">
            <v>41427</v>
          </cell>
          <cell r="G226">
            <v>41912</v>
          </cell>
          <cell r="H226">
            <v>49216</v>
          </cell>
          <cell r="I226" t="str">
            <v>19 years, 11 months, 30 days</v>
          </cell>
          <cell r="J226" t="str">
            <v>Renewables</v>
          </cell>
          <cell r="K226" t="str">
            <v>Wind (On-Shore)</v>
          </cell>
          <cell r="L226" t="str">
            <v>Wind</v>
          </cell>
          <cell r="M226" t="str">
            <v>Dx</v>
          </cell>
          <cell r="N226" t="str">
            <v>Bath</v>
          </cell>
          <cell r="O226" t="str">
            <v>Lennox and Addington</v>
          </cell>
          <cell r="P226" t="str">
            <v>East</v>
          </cell>
        </row>
        <row r="227">
          <cell r="C227" t="str">
            <v>Wainfleet Wind Farm</v>
          </cell>
          <cell r="D227" t="str">
            <v>Wainfleet Wind Energy Inc.</v>
          </cell>
          <cell r="E227" t="str">
            <v>CO</v>
          </cell>
          <cell r="F227">
            <v>41853</v>
          </cell>
          <cell r="G227">
            <v>41899</v>
          </cell>
          <cell r="H227">
            <v>49157</v>
          </cell>
          <cell r="I227" t="str">
            <v>19 years, 10 months, 15 days</v>
          </cell>
          <cell r="J227" t="str">
            <v>Renewables</v>
          </cell>
          <cell r="K227" t="str">
            <v>Wind (On-Shore)</v>
          </cell>
          <cell r="L227" t="str">
            <v>Wind</v>
          </cell>
          <cell r="M227" t="str">
            <v>Dx</v>
          </cell>
          <cell r="N227" t="str">
            <v>Wainfleet</v>
          </cell>
          <cell r="O227" t="str">
            <v>Niagara</v>
          </cell>
          <cell r="P227" t="str">
            <v>Niagara</v>
          </cell>
        </row>
        <row r="228">
          <cell r="C228" t="str">
            <v>6175 Tomken</v>
          </cell>
          <cell r="D228" t="str">
            <v>Solaire Kapuskasing Solar Inc.</v>
          </cell>
          <cell r="E228" t="str">
            <v>CO</v>
          </cell>
          <cell r="F228">
            <v>41806</v>
          </cell>
          <cell r="G228">
            <v>41989</v>
          </cell>
          <cell r="H228">
            <v>49293</v>
          </cell>
          <cell r="I228" t="str">
            <v>19 years, 11 months, 29 days</v>
          </cell>
          <cell r="J228" t="str">
            <v>Renewables</v>
          </cell>
          <cell r="K228" t="str">
            <v>Solar (Rooftop)</v>
          </cell>
          <cell r="L228" t="str">
            <v>Solar</v>
          </cell>
          <cell r="M228" t="str">
            <v>Dx</v>
          </cell>
          <cell r="N228" t="str">
            <v>Mississauga</v>
          </cell>
          <cell r="O228" t="str">
            <v>Peel</v>
          </cell>
          <cell r="P228" t="str">
            <v>Toronto</v>
          </cell>
        </row>
        <row r="229">
          <cell r="C229" t="str">
            <v>Saptashva Solar, S.A - FIT - Gulu 1449</v>
          </cell>
          <cell r="D229" t="str">
            <v>1000851861 ONTARIO INC.</v>
          </cell>
          <cell r="E229" t="str">
            <v>CO</v>
          </cell>
          <cell r="F229">
            <v>41797</v>
          </cell>
          <cell r="G229">
            <v>42024</v>
          </cell>
          <cell r="H229">
            <v>49328</v>
          </cell>
          <cell r="I229" t="str">
            <v>19 years, 11 months, 30 days</v>
          </cell>
          <cell r="J229" t="str">
            <v>Renewables</v>
          </cell>
          <cell r="K229" t="str">
            <v>Solar (Rooftop)</v>
          </cell>
          <cell r="L229" t="str">
            <v>Solar</v>
          </cell>
          <cell r="M229" t="str">
            <v>Dx</v>
          </cell>
          <cell r="N229" t="str">
            <v>Toronto</v>
          </cell>
          <cell r="O229" t="str">
            <v>Toronto</v>
          </cell>
          <cell r="P229" t="str">
            <v>Toronto</v>
          </cell>
        </row>
        <row r="230">
          <cell r="C230" t="str">
            <v>E &amp; J Van Rooyen Solar</v>
          </cell>
          <cell r="D230" t="str">
            <v>2458215 Ontario Inc.</v>
          </cell>
          <cell r="E230" t="str">
            <v>CO</v>
          </cell>
          <cell r="F230">
            <v>41841</v>
          </cell>
          <cell r="G230">
            <v>42017</v>
          </cell>
          <cell r="H230">
            <v>49321</v>
          </cell>
          <cell r="I230" t="str">
            <v>19 years, 11 months, 30 days</v>
          </cell>
          <cell r="J230" t="str">
            <v>Renewables</v>
          </cell>
          <cell r="K230" t="str">
            <v>Solar (Rooftop)</v>
          </cell>
          <cell r="L230" t="str">
            <v>Solar</v>
          </cell>
          <cell r="M230" t="str">
            <v>Dx</v>
          </cell>
          <cell r="N230" t="str">
            <v>Chatham</v>
          </cell>
          <cell r="O230" t="str">
            <v>Chatham-Kent</v>
          </cell>
          <cell r="P230" t="str">
            <v>West</v>
          </cell>
        </row>
        <row r="231">
          <cell r="C231" t="str">
            <v>Terryland Farms Biogas</v>
          </cell>
          <cell r="D231" t="str">
            <v>Amgreg Bio Inc.</v>
          </cell>
          <cell r="E231" t="str">
            <v>CO</v>
          </cell>
          <cell r="F231">
            <v>41343</v>
          </cell>
          <cell r="G231">
            <v>40291</v>
          </cell>
          <cell r="H231">
            <v>47595</v>
          </cell>
          <cell r="I231" t="str">
            <v>19 years, 11 months, 30 days</v>
          </cell>
          <cell r="J231" t="str">
            <v>Renewables</v>
          </cell>
          <cell r="K231" t="str">
            <v>Bioenergy</v>
          </cell>
          <cell r="L231" t="str">
            <v>Biogas (On-Farm)</v>
          </cell>
          <cell r="M231" t="str">
            <v>Dx</v>
          </cell>
          <cell r="N231" t="str">
            <v>St. Eugene</v>
          </cell>
          <cell r="O231" t="str">
            <v>Prescott and Russell</v>
          </cell>
          <cell r="P231" t="str">
            <v>Ottawa</v>
          </cell>
        </row>
        <row r="232">
          <cell r="C232" t="str">
            <v>#92 1063 Talbot Street, St. Thomas</v>
          </cell>
          <cell r="D232" t="str">
            <v>PSI Solar Finance 1 Limited Partnership</v>
          </cell>
          <cell r="E232" t="str">
            <v>CO</v>
          </cell>
          <cell r="F232">
            <v>41897</v>
          </cell>
          <cell r="G232">
            <v>41493</v>
          </cell>
          <cell r="H232">
            <v>48797</v>
          </cell>
          <cell r="I232" t="str">
            <v>19 years, 11 months, 30 days</v>
          </cell>
          <cell r="J232" t="str">
            <v>Renewables</v>
          </cell>
          <cell r="K232" t="str">
            <v>Solar (Rooftop)</v>
          </cell>
          <cell r="L232" t="str">
            <v>Solar</v>
          </cell>
          <cell r="M232" t="str">
            <v>Dx</v>
          </cell>
          <cell r="N232" t="str">
            <v>St. Thomas</v>
          </cell>
          <cell r="O232" t="str">
            <v>Elgin</v>
          </cell>
          <cell r="P232" t="str">
            <v>West</v>
          </cell>
        </row>
        <row r="233">
          <cell r="C233" t="str">
            <v>Terpstra Farms Solar</v>
          </cell>
          <cell r="D233" t="str">
            <v>Terpstra Farms Ltd.</v>
          </cell>
          <cell r="E233" t="str">
            <v>CO</v>
          </cell>
          <cell r="F233">
            <v>41832</v>
          </cell>
          <cell r="G233">
            <v>41179</v>
          </cell>
          <cell r="H233">
            <v>48483</v>
          </cell>
          <cell r="I233" t="str">
            <v>19 years, 11 months, 30 days</v>
          </cell>
          <cell r="J233" t="str">
            <v>Renewables</v>
          </cell>
          <cell r="K233" t="str">
            <v>Solar (Rooftop)</v>
          </cell>
          <cell r="L233" t="str">
            <v>Solar</v>
          </cell>
          <cell r="M233" t="str">
            <v>Dx</v>
          </cell>
          <cell r="N233" t="str">
            <v>Brussels</v>
          </cell>
          <cell r="O233" t="str">
            <v>Huron</v>
          </cell>
          <cell r="P233" t="str">
            <v>Southwest</v>
          </cell>
        </row>
        <row r="234">
          <cell r="C234" t="str">
            <v>Solar Barn 1</v>
          </cell>
          <cell r="D234" t="str">
            <v>Caledonia Solar Inc.</v>
          </cell>
          <cell r="E234" t="str">
            <v>CO</v>
          </cell>
          <cell r="F234">
            <v>43070</v>
          </cell>
          <cell r="G234">
            <v>42288</v>
          </cell>
          <cell r="H234">
            <v>49592</v>
          </cell>
          <cell r="I234" t="str">
            <v>19 years, 11 months, 29 days</v>
          </cell>
          <cell r="J234" t="str">
            <v>Renewables</v>
          </cell>
          <cell r="K234" t="str">
            <v>Solar (Rooftop)</v>
          </cell>
          <cell r="L234" t="str">
            <v>Solar</v>
          </cell>
          <cell r="M234" t="str">
            <v>Dx</v>
          </cell>
          <cell r="N234" t="str">
            <v>Caledonia</v>
          </cell>
          <cell r="O234" t="str">
            <v>Haldimand</v>
          </cell>
          <cell r="P234" t="str">
            <v>Southwest</v>
          </cell>
        </row>
        <row r="235">
          <cell r="C235" t="str">
            <v>H06-210 BELL</v>
          </cell>
          <cell r="D235" t="str">
            <v>PSI Solar Finance 1 Limited Partnership</v>
          </cell>
          <cell r="E235" t="str">
            <v>CO</v>
          </cell>
          <cell r="F235">
            <v>41730</v>
          </cell>
          <cell r="G235">
            <v>41859</v>
          </cell>
          <cell r="H235">
            <v>49163</v>
          </cell>
          <cell r="I235" t="str">
            <v>19 years, 11 months, 30 days</v>
          </cell>
          <cell r="J235" t="str">
            <v>Renewables</v>
          </cell>
          <cell r="K235" t="str">
            <v>Solar (Rooftop)</v>
          </cell>
          <cell r="L235" t="str">
            <v>Solar</v>
          </cell>
          <cell r="M235" t="str">
            <v>Dx</v>
          </cell>
          <cell r="N235" t="str">
            <v>Belleville</v>
          </cell>
          <cell r="O235" t="str">
            <v>Hastings</v>
          </cell>
          <cell r="P235" t="str">
            <v>East</v>
          </cell>
        </row>
        <row r="236">
          <cell r="C236" t="str">
            <v>3175 14th Avenue</v>
          </cell>
          <cell r="D236" t="str">
            <v>GBG Solar 2010 Partnership</v>
          </cell>
          <cell r="E236" t="str">
            <v>CO</v>
          </cell>
          <cell r="F236">
            <v>41029</v>
          </cell>
          <cell r="G236">
            <v>41134</v>
          </cell>
          <cell r="H236">
            <v>48438</v>
          </cell>
          <cell r="I236" t="str">
            <v>19 years, 11 months, 30 days</v>
          </cell>
          <cell r="J236" t="str">
            <v>Renewables</v>
          </cell>
          <cell r="K236" t="str">
            <v>Solar (Rooftop)</v>
          </cell>
          <cell r="L236" t="str">
            <v>Solar</v>
          </cell>
          <cell r="M236" t="str">
            <v>Dx</v>
          </cell>
          <cell r="N236" t="str">
            <v>Markham</v>
          </cell>
          <cell r="O236" t="str">
            <v>York</v>
          </cell>
          <cell r="P236" t="str">
            <v>Toronto</v>
          </cell>
        </row>
        <row r="237">
          <cell r="C237" t="str">
            <v>#305 2850 Queen St. E, Brampton</v>
          </cell>
          <cell r="D237" t="str">
            <v>MOM Solar Limited Partnership</v>
          </cell>
          <cell r="E237" t="str">
            <v>CO</v>
          </cell>
          <cell r="F237">
            <v>41029</v>
          </cell>
          <cell r="G237">
            <v>41199</v>
          </cell>
          <cell r="H237">
            <v>48503</v>
          </cell>
          <cell r="I237" t="str">
            <v>19 years, 11 months, 29 days</v>
          </cell>
          <cell r="J237" t="str">
            <v>Renewables</v>
          </cell>
          <cell r="K237" t="str">
            <v>Solar (Rooftop)</v>
          </cell>
          <cell r="L237" t="str">
            <v>Solar</v>
          </cell>
          <cell r="M237" t="str">
            <v>Dx</v>
          </cell>
          <cell r="N237" t="str">
            <v>Brampton</v>
          </cell>
          <cell r="O237" t="str">
            <v>Peel</v>
          </cell>
          <cell r="P237" t="str">
            <v>Toronto</v>
          </cell>
        </row>
        <row r="238">
          <cell r="C238" t="str">
            <v>A10-37 John</v>
          </cell>
          <cell r="D238" t="str">
            <v>Fengate (FGDI) Limited Partnership</v>
          </cell>
          <cell r="E238" t="str">
            <v>CO</v>
          </cell>
          <cell r="F238">
            <v>41825</v>
          </cell>
          <cell r="G238">
            <v>42039</v>
          </cell>
          <cell r="H238">
            <v>49343</v>
          </cell>
          <cell r="I238" t="str">
            <v>19 years, 11 months, 30 days</v>
          </cell>
          <cell r="J238" t="str">
            <v>Renewables</v>
          </cell>
          <cell r="K238" t="str">
            <v>Solar (Rooftop)</v>
          </cell>
          <cell r="L238" t="str">
            <v>Solar</v>
          </cell>
          <cell r="M238" t="str">
            <v>Dx</v>
          </cell>
          <cell r="N238" t="str">
            <v>Mississauga</v>
          </cell>
          <cell r="O238" t="str">
            <v>Peel</v>
          </cell>
          <cell r="P238" t="str">
            <v>Toronto</v>
          </cell>
        </row>
        <row r="239">
          <cell r="C239" t="str">
            <v>M07-46 Bosworth</v>
          </cell>
          <cell r="D239" t="str">
            <v>Sky Solar (Canada) FIT 1 Limited Partnership</v>
          </cell>
          <cell r="E239" t="str">
            <v>CO</v>
          </cell>
          <cell r="F239">
            <v>41800</v>
          </cell>
          <cell r="G239">
            <v>41969</v>
          </cell>
          <cell r="H239">
            <v>49273</v>
          </cell>
          <cell r="I239" t="str">
            <v>19 years, 11 months, 30 days</v>
          </cell>
          <cell r="J239" t="str">
            <v>Renewables</v>
          </cell>
          <cell r="K239" t="str">
            <v>Solar (Rooftop)</v>
          </cell>
          <cell r="L239" t="str">
            <v>Solar</v>
          </cell>
          <cell r="M239" t="str">
            <v>Dx</v>
          </cell>
          <cell r="N239" t="str">
            <v>Brantford</v>
          </cell>
          <cell r="O239" t="str">
            <v>Brant</v>
          </cell>
          <cell r="P239" t="str">
            <v>Southwest</v>
          </cell>
        </row>
        <row r="240">
          <cell r="C240" t="str">
            <v>G04-125 Ferris</v>
          </cell>
          <cell r="D240" t="str">
            <v>PSI Solar Finance 1 Limited Partnership</v>
          </cell>
          <cell r="E240" t="str">
            <v>CO</v>
          </cell>
          <cell r="F240">
            <v>41825</v>
          </cell>
          <cell r="G240">
            <v>41680</v>
          </cell>
          <cell r="H240">
            <v>48984</v>
          </cell>
          <cell r="I240" t="str">
            <v>19 years, 11 months, 30 days</v>
          </cell>
          <cell r="J240" t="str">
            <v>Renewables</v>
          </cell>
          <cell r="K240" t="str">
            <v>Solar (Rooftop)</v>
          </cell>
          <cell r="L240" t="str">
            <v>Solar</v>
          </cell>
          <cell r="M240" t="str">
            <v>Dx</v>
          </cell>
          <cell r="N240" t="str">
            <v>North Bay</v>
          </cell>
          <cell r="O240" t="str">
            <v>Nipissing</v>
          </cell>
          <cell r="P240" t="str">
            <v>Northeast</v>
          </cell>
        </row>
        <row r="241">
          <cell r="C241" t="str">
            <v>Wanna Make it Farm (Solar) I</v>
          </cell>
          <cell r="D241" t="str">
            <v>WMF Ag Corp</v>
          </cell>
          <cell r="E241" t="str">
            <v>CO</v>
          </cell>
          <cell r="F241">
            <v>41818</v>
          </cell>
          <cell r="G241">
            <v>41311</v>
          </cell>
          <cell r="H241">
            <v>48615</v>
          </cell>
          <cell r="I241" t="str">
            <v>19 years, 11 months, 30 days</v>
          </cell>
          <cell r="J241" t="str">
            <v>Renewables</v>
          </cell>
          <cell r="K241" t="str">
            <v>Solar (Rooftop)</v>
          </cell>
          <cell r="L241" t="str">
            <v>Solar</v>
          </cell>
          <cell r="M241" t="str">
            <v>Dx</v>
          </cell>
          <cell r="N241" t="str">
            <v>Moose Creek</v>
          </cell>
          <cell r="O241" t="str">
            <v>Stormont, Dundas and Glengarry</v>
          </cell>
          <cell r="P241" t="str">
            <v>East</v>
          </cell>
        </row>
        <row r="242">
          <cell r="C242" t="str">
            <v>Ferme Gillette Solaire</v>
          </cell>
          <cell r="D242" t="str">
            <v>Gillette Farms Inc.</v>
          </cell>
          <cell r="E242" t="str">
            <v>CO</v>
          </cell>
          <cell r="F242">
            <v>41832</v>
          </cell>
          <cell r="G242">
            <v>40980</v>
          </cell>
          <cell r="H242">
            <v>48284</v>
          </cell>
          <cell r="I242" t="str">
            <v>19 years, 11 months, 28 days</v>
          </cell>
          <cell r="J242" t="str">
            <v>Renewables</v>
          </cell>
          <cell r="K242" t="str">
            <v>Solar (Rooftop)</v>
          </cell>
          <cell r="L242" t="str">
            <v>Solar</v>
          </cell>
          <cell r="M242" t="str">
            <v>Dx</v>
          </cell>
          <cell r="N242" t="str">
            <v>Embrun</v>
          </cell>
          <cell r="O242" t="str">
            <v>Prescott and Russell</v>
          </cell>
          <cell r="P242" t="str">
            <v>East</v>
          </cell>
        </row>
        <row r="243">
          <cell r="C243" t="str">
            <v>1388319 644 Imperial</v>
          </cell>
          <cell r="D243" t="str">
            <v>St. Regis Solar Power Corporation</v>
          </cell>
          <cell r="E243" t="str">
            <v>CO</v>
          </cell>
          <cell r="F243">
            <v>41834</v>
          </cell>
          <cell r="G243">
            <v>41431</v>
          </cell>
          <cell r="H243">
            <v>48735</v>
          </cell>
          <cell r="I243" t="str">
            <v>19 years, 11 months, 30 days</v>
          </cell>
          <cell r="J243" t="str">
            <v>Renewables</v>
          </cell>
          <cell r="K243" t="str">
            <v>Solar (Rooftop)</v>
          </cell>
          <cell r="L243" t="str">
            <v>Solar</v>
          </cell>
          <cell r="M243" t="str">
            <v>Dx</v>
          </cell>
          <cell r="N243" t="str">
            <v>Guelph</v>
          </cell>
          <cell r="O243" t="str">
            <v>Wellington</v>
          </cell>
          <cell r="P243" t="str">
            <v>Southwest</v>
          </cell>
        </row>
        <row r="244">
          <cell r="C244" t="str">
            <v>EffiSolar Cornwall Solar Farm A (10MW)</v>
          </cell>
          <cell r="D244" t="str">
            <v>Cornwall Solar ULC</v>
          </cell>
          <cell r="E244" t="str">
            <v>CO</v>
          </cell>
          <cell r="F244">
            <v>41674</v>
          </cell>
          <cell r="G244">
            <v>41725</v>
          </cell>
          <cell r="H244">
            <v>49029</v>
          </cell>
          <cell r="I244" t="str">
            <v>19 years, 11 months, 27 days</v>
          </cell>
          <cell r="J244" t="str">
            <v>Renewables</v>
          </cell>
          <cell r="K244" t="str">
            <v>Solar (Ground Mounted)</v>
          </cell>
          <cell r="L244" t="str">
            <v>Solar</v>
          </cell>
          <cell r="M244" t="str">
            <v>Dx</v>
          </cell>
          <cell r="N244" t="str">
            <v>Cornwall</v>
          </cell>
          <cell r="O244" t="str">
            <v>Stormont, Dundas and Glengarry</v>
          </cell>
          <cell r="P244" t="str">
            <v>East</v>
          </cell>
        </row>
        <row r="245">
          <cell r="C245" t="str">
            <v>EDKIE Solar</v>
          </cell>
          <cell r="D245" t="str">
            <v>Edward Frank Tokarz Jacqueline Rose Tokarz</v>
          </cell>
          <cell r="E245" t="str">
            <v>CO</v>
          </cell>
          <cell r="F245">
            <v>41029</v>
          </cell>
          <cell r="G245">
            <v>40813</v>
          </cell>
          <cell r="H245">
            <v>48117</v>
          </cell>
          <cell r="I245" t="str">
            <v>19 years, 11 months, 30 days</v>
          </cell>
          <cell r="J245" t="str">
            <v>Renewables</v>
          </cell>
          <cell r="K245" t="str">
            <v>Solar (Rooftop)</v>
          </cell>
          <cell r="L245" t="str">
            <v>Solar</v>
          </cell>
          <cell r="M245" t="str">
            <v>Dx</v>
          </cell>
          <cell r="N245" t="str">
            <v>Ennismore</v>
          </cell>
          <cell r="O245" t="str">
            <v>Peterborough</v>
          </cell>
          <cell r="P245" t="str">
            <v>East</v>
          </cell>
        </row>
        <row r="246">
          <cell r="C246" t="str">
            <v>Steelway Building Systems</v>
          </cell>
          <cell r="D246" t="str">
            <v>PSI Solar Finance 1 Limited Partnership</v>
          </cell>
          <cell r="E246" t="str">
            <v>CO</v>
          </cell>
          <cell r="F246">
            <v>41834</v>
          </cell>
          <cell r="G246">
            <v>41396</v>
          </cell>
          <cell r="H246">
            <v>48700</v>
          </cell>
          <cell r="I246" t="str">
            <v>19 years, 11 months, 29 days</v>
          </cell>
          <cell r="J246" t="str">
            <v>Renewables</v>
          </cell>
          <cell r="K246" t="str">
            <v>Solar (Rooftop)</v>
          </cell>
          <cell r="L246" t="str">
            <v>Solar</v>
          </cell>
          <cell r="M246" t="str">
            <v>Dx</v>
          </cell>
          <cell r="N246" t="str">
            <v>Aylmer</v>
          </cell>
          <cell r="O246" t="str">
            <v>Elgin</v>
          </cell>
          <cell r="P246" t="str">
            <v>West</v>
          </cell>
        </row>
        <row r="247">
          <cell r="C247" t="str">
            <v>1860 Wilson Street</v>
          </cell>
          <cell r="D247" t="str">
            <v>Delta Bingo Inc.</v>
          </cell>
          <cell r="E247" t="str">
            <v>CO</v>
          </cell>
          <cell r="F247">
            <v>41796</v>
          </cell>
          <cell r="G247">
            <v>41415</v>
          </cell>
          <cell r="H247">
            <v>48719</v>
          </cell>
          <cell r="I247" t="str">
            <v>19 years, 11 months, 29 days</v>
          </cell>
          <cell r="J247" t="str">
            <v>Renewables</v>
          </cell>
          <cell r="K247" t="str">
            <v>Solar (Rooftop)</v>
          </cell>
          <cell r="L247" t="str">
            <v>Solar</v>
          </cell>
          <cell r="M247" t="str">
            <v>Dx</v>
          </cell>
          <cell r="N247" t="str">
            <v>Toronto</v>
          </cell>
          <cell r="O247" t="str">
            <v>Toronto</v>
          </cell>
          <cell r="P247" t="str">
            <v>Toronto</v>
          </cell>
        </row>
        <row r="248">
          <cell r="C248" t="str">
            <v>lambs pork</v>
          </cell>
          <cell r="D248" t="str">
            <v>Ken Lamb</v>
          </cell>
          <cell r="E248" t="str">
            <v>CO</v>
          </cell>
          <cell r="F248">
            <v>41818</v>
          </cell>
          <cell r="G248">
            <v>41360</v>
          </cell>
          <cell r="H248">
            <v>48664</v>
          </cell>
          <cell r="I248" t="str">
            <v>19 years, 11 months, 27 days</v>
          </cell>
          <cell r="J248" t="str">
            <v>Renewables</v>
          </cell>
          <cell r="K248" t="str">
            <v>Solar (Rooftop)</v>
          </cell>
          <cell r="L248" t="str">
            <v>Solar</v>
          </cell>
          <cell r="M248" t="str">
            <v>Dx</v>
          </cell>
          <cell r="N248" t="str">
            <v>Port Perry</v>
          </cell>
          <cell r="O248" t="str">
            <v>Simcoe</v>
          </cell>
          <cell r="P248" t="str">
            <v>Toronto</v>
          </cell>
        </row>
        <row r="249">
          <cell r="C249" t="str">
            <v>Steele Acre Farms Power System</v>
          </cell>
          <cell r="D249" t="str">
            <v>Steele Acre Farms Inc.</v>
          </cell>
          <cell r="E249" t="str">
            <v>CO</v>
          </cell>
          <cell r="F249">
            <v>41825</v>
          </cell>
          <cell r="G249">
            <v>41099</v>
          </cell>
          <cell r="H249">
            <v>48403</v>
          </cell>
          <cell r="I249" t="str">
            <v>19 years, 11 months, 29 days</v>
          </cell>
          <cell r="J249" t="str">
            <v>Renewables</v>
          </cell>
          <cell r="K249" t="str">
            <v>Solar (Rooftop)</v>
          </cell>
          <cell r="L249" t="str">
            <v>Solar</v>
          </cell>
          <cell r="M249" t="str">
            <v>Dx</v>
          </cell>
          <cell r="N249" t="str">
            <v>L' Orignal</v>
          </cell>
          <cell r="O249" t="str">
            <v>Prescott and Russell</v>
          </cell>
          <cell r="P249" t="str">
            <v>Ottawa</v>
          </cell>
        </row>
        <row r="250">
          <cell r="C250" t="str">
            <v>Southern Sky Solar Farm</v>
          </cell>
          <cell r="D250" t="str">
            <v>Solar Sky Farms Inc.</v>
          </cell>
          <cell r="E250" t="str">
            <v>CO</v>
          </cell>
          <cell r="F250">
            <v>41029</v>
          </cell>
          <cell r="G250">
            <v>40837</v>
          </cell>
          <cell r="H250">
            <v>48141</v>
          </cell>
          <cell r="I250" t="str">
            <v>19 years, 11 months, 29 days</v>
          </cell>
          <cell r="J250" t="str">
            <v>Renewables</v>
          </cell>
          <cell r="K250" t="str">
            <v>Solar (Rooftop)</v>
          </cell>
          <cell r="L250" t="str">
            <v>Solar</v>
          </cell>
          <cell r="M250" t="str">
            <v>Dx</v>
          </cell>
          <cell r="N250" t="str">
            <v>Palmerston</v>
          </cell>
          <cell r="O250" t="str">
            <v>Wellington</v>
          </cell>
          <cell r="P250" t="str">
            <v>Southwest</v>
          </cell>
        </row>
        <row r="251">
          <cell r="C251" t="str">
            <v>Quite West: Frankford Business Park</v>
          </cell>
          <cell r="D251" t="str">
            <v>City of Quinte West</v>
          </cell>
          <cell r="E251" t="str">
            <v>CO</v>
          </cell>
          <cell r="F251">
            <v>41832</v>
          </cell>
          <cell r="G251">
            <v>41653</v>
          </cell>
          <cell r="H251">
            <v>48957</v>
          </cell>
          <cell r="I251" t="str">
            <v>19 years, 11 months, 30 days</v>
          </cell>
          <cell r="J251" t="str">
            <v>Renewables</v>
          </cell>
          <cell r="K251" t="str">
            <v>Solar (Rooftop)</v>
          </cell>
          <cell r="L251" t="str">
            <v>Solar</v>
          </cell>
          <cell r="M251" t="str">
            <v>Dx</v>
          </cell>
          <cell r="N251" t="str">
            <v>Frankford</v>
          </cell>
          <cell r="O251" t="str">
            <v>Hastings</v>
          </cell>
          <cell r="P251" t="str">
            <v>East</v>
          </cell>
        </row>
        <row r="252">
          <cell r="C252" t="str">
            <v>sunny days</v>
          </cell>
          <cell r="D252" t="str">
            <v>Mike Ondrejicka</v>
          </cell>
          <cell r="E252" t="str">
            <v>CO</v>
          </cell>
          <cell r="F252">
            <v>40663</v>
          </cell>
          <cell r="G252">
            <v>40625</v>
          </cell>
          <cell r="H252">
            <v>47929</v>
          </cell>
          <cell r="I252" t="str">
            <v>19 years, 11 months, 27 days</v>
          </cell>
          <cell r="J252" t="str">
            <v>Renewables</v>
          </cell>
          <cell r="K252" t="str">
            <v>Solar (Rooftop)</v>
          </cell>
          <cell r="L252" t="str">
            <v>Solar</v>
          </cell>
          <cell r="M252" t="str">
            <v>Dx</v>
          </cell>
          <cell r="N252" t="str">
            <v>Exeter</v>
          </cell>
          <cell r="O252" t="str">
            <v>Huron</v>
          </cell>
          <cell r="P252" t="str">
            <v>Southwest</v>
          </cell>
        </row>
        <row r="253">
          <cell r="C253" t="str">
            <v>BeamLight</v>
          </cell>
          <cell r="D253" t="str">
            <v>Concord BeamLight Partnership</v>
          </cell>
          <cell r="E253" t="str">
            <v>CO</v>
          </cell>
          <cell r="F253">
            <v>41793</v>
          </cell>
          <cell r="G253">
            <v>42258</v>
          </cell>
          <cell r="H253">
            <v>49562</v>
          </cell>
          <cell r="I253" t="str">
            <v>19 years, 11 months, 30 days</v>
          </cell>
          <cell r="J253" t="str">
            <v>Renewables</v>
          </cell>
          <cell r="K253" t="str">
            <v>Solar (Ground Mounted)</v>
          </cell>
          <cell r="L253" t="str">
            <v>Solar</v>
          </cell>
          <cell r="M253" t="str">
            <v>Dx</v>
          </cell>
          <cell r="N253" t="str">
            <v>Pefferlaw</v>
          </cell>
          <cell r="O253" t="str">
            <v>York</v>
          </cell>
          <cell r="P253" t="str">
            <v>Essa</v>
          </cell>
        </row>
        <row r="254">
          <cell r="C254" t="str">
            <v>Kluwe</v>
          </cell>
          <cell r="D254" t="str">
            <v>Christoph Kluwe</v>
          </cell>
          <cell r="E254" t="str">
            <v>CO</v>
          </cell>
          <cell r="F254">
            <v>41792</v>
          </cell>
          <cell r="G254">
            <v>41239</v>
          </cell>
          <cell r="H254">
            <v>48543</v>
          </cell>
          <cell r="I254" t="str">
            <v>19 years, 11 months, 30 days</v>
          </cell>
          <cell r="J254" t="str">
            <v>Renewables</v>
          </cell>
          <cell r="K254" t="str">
            <v>Solar (Rooftop)</v>
          </cell>
          <cell r="L254" t="str">
            <v>Solar</v>
          </cell>
          <cell r="M254" t="str">
            <v>Dx</v>
          </cell>
          <cell r="N254" t="str">
            <v>Bailieboro</v>
          </cell>
          <cell r="O254" t="str">
            <v>Peterborough</v>
          </cell>
          <cell r="P254" t="str">
            <v>East</v>
          </cell>
        </row>
        <row r="255">
          <cell r="C255" t="str">
            <v>P08-90 Whybank</v>
          </cell>
          <cell r="D255" t="str">
            <v>Firelight Solar LP</v>
          </cell>
          <cell r="E255" t="str">
            <v>CO</v>
          </cell>
          <cell r="F255">
            <v>41863</v>
          </cell>
          <cell r="G255">
            <v>41194</v>
          </cell>
          <cell r="H255">
            <v>48498</v>
          </cell>
          <cell r="I255" t="str">
            <v>19 years, 11 months, 29 days</v>
          </cell>
          <cell r="J255" t="str">
            <v>Renewables</v>
          </cell>
          <cell r="K255" t="str">
            <v>Solar (Rooftop)</v>
          </cell>
          <cell r="L255" t="str">
            <v>Solar</v>
          </cell>
          <cell r="M255" t="str">
            <v>Dx</v>
          </cell>
          <cell r="N255" t="str">
            <v>Brampton</v>
          </cell>
          <cell r="O255" t="str">
            <v>Peel</v>
          </cell>
          <cell r="P255" t="str">
            <v>Toronto</v>
          </cell>
        </row>
        <row r="256">
          <cell r="C256" t="str">
            <v>ROW - Mannheim Water Treatment Plant</v>
          </cell>
          <cell r="D256" t="str">
            <v>The Regional Municipality of Waterloo</v>
          </cell>
          <cell r="E256" t="str">
            <v>CO</v>
          </cell>
          <cell r="F256">
            <v>41484</v>
          </cell>
          <cell r="G256">
            <v>41480</v>
          </cell>
          <cell r="H256">
            <v>48784</v>
          </cell>
          <cell r="I256" t="str">
            <v>19 years, 11 months, 29 days</v>
          </cell>
          <cell r="J256" t="str">
            <v>Renewables</v>
          </cell>
          <cell r="K256" t="str">
            <v>Solar (Rooftop)</v>
          </cell>
          <cell r="L256" t="str">
            <v>Solar</v>
          </cell>
          <cell r="M256" t="str">
            <v>Dx</v>
          </cell>
          <cell r="N256" t="str">
            <v>Kitchener</v>
          </cell>
          <cell r="O256" t="str">
            <v>Waterloo</v>
          </cell>
          <cell r="P256" t="str">
            <v>Southwest</v>
          </cell>
        </row>
        <row r="257">
          <cell r="C257" t="str">
            <v>Korea Times</v>
          </cell>
          <cell r="D257" t="str">
            <v>Korean Broadcasting Corporation</v>
          </cell>
          <cell r="E257" t="str">
            <v>CO</v>
          </cell>
          <cell r="F257">
            <v>41842</v>
          </cell>
          <cell r="G257">
            <v>41072</v>
          </cell>
          <cell r="H257">
            <v>48376</v>
          </cell>
          <cell r="I257" t="str">
            <v>19 years, 11 months, 30 days</v>
          </cell>
          <cell r="J257" t="str">
            <v>Renewables</v>
          </cell>
          <cell r="K257" t="str">
            <v>Solar (Rooftop)</v>
          </cell>
          <cell r="L257" t="str">
            <v>Solar</v>
          </cell>
          <cell r="M257" t="str">
            <v>Dx</v>
          </cell>
          <cell r="N257" t="str">
            <v>Toronto</v>
          </cell>
          <cell r="O257" t="str">
            <v>Toronto</v>
          </cell>
          <cell r="P257" t="str">
            <v>Toronto</v>
          </cell>
        </row>
        <row r="258">
          <cell r="C258" t="str">
            <v>O02-25 Leacock</v>
          </cell>
          <cell r="D258" t="str">
            <v>PSI Solar Finance 1 Limited Partnership</v>
          </cell>
          <cell r="E258" t="str">
            <v>CO</v>
          </cell>
          <cell r="F258">
            <v>41832</v>
          </cell>
          <cell r="G258">
            <v>41810</v>
          </cell>
          <cell r="H258">
            <v>49114</v>
          </cell>
          <cell r="I258" t="str">
            <v>19 years, 11 months, 30 days</v>
          </cell>
          <cell r="J258" t="str">
            <v>Renewables</v>
          </cell>
          <cell r="K258" t="str">
            <v>Solar (Rooftop)</v>
          </cell>
          <cell r="L258" t="str">
            <v>Solar</v>
          </cell>
          <cell r="M258" t="str">
            <v>Dx</v>
          </cell>
          <cell r="N258" t="str">
            <v>Ottawa</v>
          </cell>
          <cell r="O258" t="str">
            <v>Ottawa</v>
          </cell>
          <cell r="P258" t="str">
            <v>Ottawa</v>
          </cell>
        </row>
        <row r="259">
          <cell r="C259" t="str">
            <v>Great Canadian 75kW</v>
          </cell>
          <cell r="D259" t="str">
            <v>401 REAL ESTATE TRUST INC.</v>
          </cell>
          <cell r="E259" t="str">
            <v>CO</v>
          </cell>
          <cell r="F259">
            <v>41029</v>
          </cell>
          <cell r="G259">
            <v>41211</v>
          </cell>
          <cell r="H259">
            <v>48333</v>
          </cell>
          <cell r="I259" t="str">
            <v>19 years, 6 months, 0 days</v>
          </cell>
          <cell r="J259" t="str">
            <v>Renewables</v>
          </cell>
          <cell r="K259" t="str">
            <v>Solar (Rooftop)</v>
          </cell>
          <cell r="L259" t="str">
            <v>Solar</v>
          </cell>
          <cell r="M259" t="str">
            <v>Dx</v>
          </cell>
          <cell r="N259" t="str">
            <v>Kitchener</v>
          </cell>
          <cell r="O259" t="str">
            <v>Waterloo</v>
          </cell>
          <cell r="P259" t="str">
            <v>Southwest</v>
          </cell>
        </row>
        <row r="260">
          <cell r="C260" t="str">
            <v>2238673 Ontario Ltd.</v>
          </cell>
          <cell r="D260" t="str">
            <v>2238673 Ontario Ltd.</v>
          </cell>
          <cell r="E260" t="str">
            <v>CO</v>
          </cell>
          <cell r="F260">
            <v>41841</v>
          </cell>
          <cell r="G260">
            <v>41862</v>
          </cell>
          <cell r="H260">
            <v>49166</v>
          </cell>
          <cell r="I260" t="str">
            <v>19 years, 11 months, 30 days</v>
          </cell>
          <cell r="J260" t="str">
            <v>Renewables</v>
          </cell>
          <cell r="K260" t="str">
            <v>Solar (Rooftop)</v>
          </cell>
          <cell r="L260" t="str">
            <v>Solar</v>
          </cell>
          <cell r="M260" t="str">
            <v>Dx</v>
          </cell>
          <cell r="N260" t="str">
            <v>Wallacetown</v>
          </cell>
          <cell r="O260" t="str">
            <v>Elgin</v>
          </cell>
          <cell r="P260" t="str">
            <v>West</v>
          </cell>
        </row>
        <row r="261">
          <cell r="C261" t="str">
            <v>P08-1935 Drew</v>
          </cell>
          <cell r="D261" t="str">
            <v>Firelight Solar LP</v>
          </cell>
          <cell r="E261" t="str">
            <v>CO</v>
          </cell>
          <cell r="F261">
            <v>41862</v>
          </cell>
          <cell r="G261">
            <v>41312</v>
          </cell>
          <cell r="H261">
            <v>48616</v>
          </cell>
          <cell r="I261" t="str">
            <v>19 years, 11 months, 30 days</v>
          </cell>
          <cell r="J261" t="str">
            <v>Renewables</v>
          </cell>
          <cell r="K261" t="str">
            <v>Solar (Rooftop)</v>
          </cell>
          <cell r="L261" t="str">
            <v>Solar</v>
          </cell>
          <cell r="M261" t="str">
            <v>Dx</v>
          </cell>
          <cell r="N261" t="str">
            <v>Mississauga</v>
          </cell>
          <cell r="O261" t="str">
            <v>Peel</v>
          </cell>
          <cell r="P261" t="str">
            <v>Toronto</v>
          </cell>
        </row>
        <row r="262">
          <cell r="C262" t="str">
            <v>Penn Energy - Edwardsburgh_Morrisburg-1</v>
          </cell>
          <cell r="D262" t="str">
            <v>Edwardsburgh Solar Farm Partnership</v>
          </cell>
          <cell r="E262" t="str">
            <v>CO</v>
          </cell>
          <cell r="F262">
            <v>41728</v>
          </cell>
          <cell r="G262">
            <v>41872</v>
          </cell>
          <cell r="H262">
            <v>49176</v>
          </cell>
          <cell r="I262" t="str">
            <v>19 years, 11 months, 30 days</v>
          </cell>
          <cell r="J262" t="str">
            <v>Renewables</v>
          </cell>
          <cell r="K262" t="str">
            <v>Solar (Ground Mounted)</v>
          </cell>
          <cell r="L262" t="str">
            <v>Solar</v>
          </cell>
          <cell r="M262" t="str">
            <v>Dx</v>
          </cell>
          <cell r="N262" t="str">
            <v>Prescott</v>
          </cell>
          <cell r="O262" t="str">
            <v>Leeds and Grenville</v>
          </cell>
          <cell r="P262" t="str">
            <v>East</v>
          </cell>
        </row>
        <row r="263">
          <cell r="C263" t="str">
            <v>Exkor Manufacturing</v>
          </cell>
          <cell r="D263" t="str">
            <v>Linamar Corporation</v>
          </cell>
          <cell r="E263" t="str">
            <v>CO</v>
          </cell>
          <cell r="F263">
            <v>41813</v>
          </cell>
          <cell r="G263">
            <v>41745</v>
          </cell>
          <cell r="H263">
            <v>49049</v>
          </cell>
          <cell r="I263" t="str">
            <v>19 years, 11 months, 30 days</v>
          </cell>
          <cell r="J263" t="str">
            <v>Renewables</v>
          </cell>
          <cell r="K263" t="str">
            <v>Solar (Rooftop)</v>
          </cell>
          <cell r="L263" t="str">
            <v>Solar</v>
          </cell>
          <cell r="M263" t="str">
            <v>Dx</v>
          </cell>
          <cell r="N263" t="str">
            <v>Windsor</v>
          </cell>
          <cell r="O263" t="str">
            <v>Essex</v>
          </cell>
          <cell r="P263" t="str">
            <v>West</v>
          </cell>
        </row>
        <row r="264">
          <cell r="C264" t="str">
            <v>Fortress</v>
          </cell>
          <cell r="D264" t="str">
            <v>Fortress Technology Inc.</v>
          </cell>
          <cell r="E264" t="str">
            <v>CO</v>
          </cell>
          <cell r="F264">
            <v>41792</v>
          </cell>
          <cell r="G264">
            <v>41295</v>
          </cell>
          <cell r="H264">
            <v>48599</v>
          </cell>
          <cell r="I264" t="str">
            <v>19 years, 11 months, 30 days</v>
          </cell>
          <cell r="J264" t="str">
            <v>Renewables</v>
          </cell>
          <cell r="K264" t="str">
            <v>Solar (Rooftop)</v>
          </cell>
          <cell r="L264" t="str">
            <v>Solar</v>
          </cell>
          <cell r="M264" t="str">
            <v>Dx</v>
          </cell>
          <cell r="N264" t="str">
            <v>Toronto</v>
          </cell>
          <cell r="O264" t="str">
            <v>Toronto</v>
          </cell>
          <cell r="P264" t="str">
            <v>Toronto</v>
          </cell>
        </row>
        <row r="265">
          <cell r="C265" t="str">
            <v>Linergy Manufacturing</v>
          </cell>
          <cell r="D265" t="str">
            <v>Skyjack Inc</v>
          </cell>
          <cell r="E265" t="str">
            <v>CO</v>
          </cell>
          <cell r="F265">
            <v>41457</v>
          </cell>
          <cell r="G265">
            <v>41484</v>
          </cell>
          <cell r="H265">
            <v>48788</v>
          </cell>
          <cell r="I265" t="str">
            <v>19 years, 11 months, 29 days</v>
          </cell>
          <cell r="J265" t="str">
            <v>Renewables</v>
          </cell>
          <cell r="K265" t="str">
            <v>Solar (Rooftop)</v>
          </cell>
          <cell r="L265" t="str">
            <v>Solar</v>
          </cell>
          <cell r="M265" t="str">
            <v>Dx</v>
          </cell>
          <cell r="N265" t="str">
            <v>Guelph</v>
          </cell>
          <cell r="O265" t="str">
            <v>Wellington</v>
          </cell>
          <cell r="P265" t="str">
            <v>Southwest</v>
          </cell>
        </row>
        <row r="266">
          <cell r="C266" t="str">
            <v>Comtech Manufacturing</v>
          </cell>
          <cell r="D266" t="str">
            <v>Linamar Corporation</v>
          </cell>
          <cell r="E266" t="str">
            <v>CO</v>
          </cell>
          <cell r="F266">
            <v>41029</v>
          </cell>
          <cell r="G266">
            <v>41178</v>
          </cell>
          <cell r="H266">
            <v>48482</v>
          </cell>
          <cell r="I266" t="str">
            <v>19 years, 11 months, 30 days</v>
          </cell>
          <cell r="J266" t="str">
            <v>Renewables</v>
          </cell>
          <cell r="K266" t="str">
            <v>Solar (Rooftop)</v>
          </cell>
          <cell r="L266" t="str">
            <v>Solar</v>
          </cell>
          <cell r="M266" t="str">
            <v>Dx</v>
          </cell>
          <cell r="N266" t="str">
            <v>Guelph</v>
          </cell>
          <cell r="O266" t="str">
            <v>Wellington</v>
          </cell>
          <cell r="P266" t="str">
            <v>Southwest</v>
          </cell>
        </row>
        <row r="267">
          <cell r="C267" t="str">
            <v>TBHEDI-3</v>
          </cell>
          <cell r="D267" t="str">
            <v>Synergy North Corporation</v>
          </cell>
          <cell r="E267" t="str">
            <v>CO</v>
          </cell>
          <cell r="F267">
            <v>41825</v>
          </cell>
          <cell r="G267">
            <v>41530</v>
          </cell>
          <cell r="H267">
            <v>48834</v>
          </cell>
          <cell r="I267" t="str">
            <v>19 years, 11 months, 30 days</v>
          </cell>
          <cell r="J267" t="str">
            <v>Renewables</v>
          </cell>
          <cell r="K267" t="str">
            <v>Solar (Rooftop)</v>
          </cell>
          <cell r="L267" t="str">
            <v>Solar</v>
          </cell>
          <cell r="M267" t="str">
            <v>Dx</v>
          </cell>
          <cell r="N267" t="str">
            <v>Thunder Bay</v>
          </cell>
          <cell r="O267" t="str">
            <v>Thunder Bay</v>
          </cell>
          <cell r="P267" t="str">
            <v>Northwest</v>
          </cell>
        </row>
        <row r="268">
          <cell r="C268" t="str">
            <v>#204 1229 Highway 17, Kenora</v>
          </cell>
          <cell r="D268" t="str">
            <v>PSI Solar Finance 1 Limited Partnership</v>
          </cell>
          <cell r="E268" t="str">
            <v>CO</v>
          </cell>
          <cell r="F268">
            <v>41897</v>
          </cell>
          <cell r="G268">
            <v>41484</v>
          </cell>
          <cell r="H268">
            <v>48788</v>
          </cell>
          <cell r="I268" t="str">
            <v>19 years, 11 months, 29 days</v>
          </cell>
          <cell r="J268" t="str">
            <v>Renewables</v>
          </cell>
          <cell r="K268" t="str">
            <v>Solar (Rooftop)</v>
          </cell>
          <cell r="L268" t="str">
            <v>Solar</v>
          </cell>
          <cell r="M268" t="str">
            <v>Dx</v>
          </cell>
          <cell r="N268" t="str">
            <v>Kenora</v>
          </cell>
          <cell r="O268" t="str">
            <v>Kenora</v>
          </cell>
          <cell r="P268" t="str">
            <v>Northwest</v>
          </cell>
        </row>
        <row r="269">
          <cell r="C269" t="str">
            <v>(F15) No Frills Lansdowne Avenue</v>
          </cell>
          <cell r="D269" t="str">
            <v>Firelight Solar LP</v>
          </cell>
          <cell r="E269" t="str">
            <v>CO</v>
          </cell>
          <cell r="F269">
            <v>41716</v>
          </cell>
          <cell r="G269">
            <v>41415</v>
          </cell>
          <cell r="H269">
            <v>48719</v>
          </cell>
          <cell r="I269" t="str">
            <v>19 years, 11 months, 29 days</v>
          </cell>
          <cell r="J269" t="str">
            <v>Renewables</v>
          </cell>
          <cell r="K269" t="str">
            <v>Solar (Rooftop)</v>
          </cell>
          <cell r="L269" t="str">
            <v>Solar</v>
          </cell>
          <cell r="M269" t="str">
            <v>Dx</v>
          </cell>
          <cell r="N269" t="str">
            <v>Toronto</v>
          </cell>
          <cell r="O269" t="str">
            <v>Toronto</v>
          </cell>
          <cell r="P269" t="str">
            <v>Toronto</v>
          </cell>
        </row>
        <row r="270">
          <cell r="C270" t="str">
            <v>Solar Connections-2329 Hwy 11 N</v>
          </cell>
          <cell r="D270" t="str">
            <v>1711136 Ontario Ltd. o/a Solar Connections</v>
          </cell>
          <cell r="E270" t="str">
            <v>CO</v>
          </cell>
          <cell r="F270">
            <v>41796</v>
          </cell>
          <cell r="G270">
            <v>41201</v>
          </cell>
          <cell r="H270">
            <v>48505</v>
          </cell>
          <cell r="I270" t="str">
            <v>19 years, 11 months, 29 days</v>
          </cell>
          <cell r="J270" t="str">
            <v>Renewables</v>
          </cell>
          <cell r="K270" t="str">
            <v>Solar (Rooftop)</v>
          </cell>
          <cell r="L270" t="str">
            <v>Solar</v>
          </cell>
          <cell r="M270" t="str">
            <v>Dx</v>
          </cell>
          <cell r="N270" t="str">
            <v>Shanty Bay</v>
          </cell>
          <cell r="O270" t="str">
            <v>Simcoe</v>
          </cell>
          <cell r="P270" t="str">
            <v>Essa</v>
          </cell>
        </row>
        <row r="271">
          <cell r="C271" t="str">
            <v>GEDSB Port Dover Composite</v>
          </cell>
          <cell r="D271" t="str">
            <v>Ameresco GEDSB Solar Inc.</v>
          </cell>
          <cell r="E271" t="str">
            <v>CO</v>
          </cell>
          <cell r="F271">
            <v>41533</v>
          </cell>
          <cell r="G271">
            <v>41710</v>
          </cell>
          <cell r="H271">
            <v>48837</v>
          </cell>
          <cell r="I271" t="str">
            <v>19 years, 6 months, 3 days</v>
          </cell>
          <cell r="J271" t="str">
            <v>Renewables</v>
          </cell>
          <cell r="K271" t="str">
            <v>Solar (Rooftop)</v>
          </cell>
          <cell r="L271" t="str">
            <v>Solar</v>
          </cell>
          <cell r="M271" t="str">
            <v>Dx</v>
          </cell>
          <cell r="N271" t="str">
            <v>Port Dover</v>
          </cell>
          <cell r="O271" t="str">
            <v>Norfolk</v>
          </cell>
          <cell r="P271" t="str">
            <v>Southwest</v>
          </cell>
        </row>
        <row r="272">
          <cell r="C272" t="str">
            <v>O02-1660 Prince of Wales</v>
          </cell>
          <cell r="D272" t="str">
            <v>PSI Solar Finance 1 Limited Partnership</v>
          </cell>
          <cell r="E272" t="str">
            <v>CO</v>
          </cell>
          <cell r="F272">
            <v>41832</v>
          </cell>
          <cell r="G272">
            <v>41593</v>
          </cell>
          <cell r="H272">
            <v>48897</v>
          </cell>
          <cell r="I272" t="str">
            <v>19 years, 11 months, 30 days</v>
          </cell>
          <cell r="J272" t="str">
            <v>Renewables</v>
          </cell>
          <cell r="K272" t="str">
            <v>Solar (Rooftop)</v>
          </cell>
          <cell r="L272" t="str">
            <v>Solar</v>
          </cell>
          <cell r="M272" t="str">
            <v>Dx</v>
          </cell>
          <cell r="N272" t="str">
            <v>Ottawa</v>
          </cell>
          <cell r="O272" t="str">
            <v>Ottawa</v>
          </cell>
          <cell r="P272" t="str">
            <v>Ottawa</v>
          </cell>
        </row>
        <row r="273">
          <cell r="C273" t="str">
            <v>Puslich One</v>
          </cell>
          <cell r="D273" t="str">
            <v>1649511 Ontario Inc.</v>
          </cell>
          <cell r="E273" t="str">
            <v>CO</v>
          </cell>
          <cell r="F273">
            <v>41806</v>
          </cell>
          <cell r="G273">
            <v>41765</v>
          </cell>
          <cell r="H273">
            <v>49069</v>
          </cell>
          <cell r="I273" t="str">
            <v>19 years, 11 months, 29 days</v>
          </cell>
          <cell r="J273" t="str">
            <v>Renewables</v>
          </cell>
          <cell r="K273" t="str">
            <v>Solar (Rooftop)</v>
          </cell>
          <cell r="L273" t="str">
            <v>Solar</v>
          </cell>
          <cell r="M273" t="str">
            <v>Dx</v>
          </cell>
          <cell r="N273" t="str">
            <v>Puslinch</v>
          </cell>
          <cell r="O273" t="str">
            <v>Wellington</v>
          </cell>
          <cell r="P273" t="str">
            <v>Southwest</v>
          </cell>
        </row>
        <row r="274">
          <cell r="C274" t="str">
            <v>R05-317 Rutherford</v>
          </cell>
          <cell r="D274" t="str">
            <v>Sky Solar (Canada) FIT 1 Limited Partnership</v>
          </cell>
          <cell r="E274" t="str">
            <v>CO</v>
          </cell>
          <cell r="F274">
            <v>41800</v>
          </cell>
          <cell r="G274">
            <v>41870</v>
          </cell>
          <cell r="H274">
            <v>49174</v>
          </cell>
          <cell r="I274" t="str">
            <v>19 years, 11 months, 30 days</v>
          </cell>
          <cell r="J274" t="str">
            <v>Renewables</v>
          </cell>
          <cell r="K274" t="str">
            <v>Solar (Rooftop)</v>
          </cell>
          <cell r="L274" t="str">
            <v>Solar</v>
          </cell>
          <cell r="M274" t="str">
            <v>Dx</v>
          </cell>
          <cell r="N274" t="str">
            <v>Brampton</v>
          </cell>
          <cell r="O274" t="str">
            <v>Peel</v>
          </cell>
          <cell r="P274" t="str">
            <v>Toronto</v>
          </cell>
        </row>
        <row r="275">
          <cell r="C275" t="str">
            <v>1862 Sheppard Ave W</v>
          </cell>
          <cell r="D275" t="str">
            <v>Toronto Community Housing Corporation</v>
          </cell>
          <cell r="E275" t="str">
            <v>CO</v>
          </cell>
          <cell r="F275">
            <v>41029</v>
          </cell>
          <cell r="G275">
            <v>40941</v>
          </cell>
          <cell r="H275">
            <v>48245</v>
          </cell>
          <cell r="I275" t="str">
            <v>19 years, 11 months, 30 days</v>
          </cell>
          <cell r="J275" t="str">
            <v>Renewables</v>
          </cell>
          <cell r="K275" t="str">
            <v>Solar (Rooftop)</v>
          </cell>
          <cell r="L275" t="str">
            <v>Solar</v>
          </cell>
          <cell r="M275" t="str">
            <v>Dx</v>
          </cell>
          <cell r="N275" t="str">
            <v>Toronto</v>
          </cell>
          <cell r="O275" t="str">
            <v>Toronto</v>
          </cell>
          <cell r="P275" t="str">
            <v>Toronto</v>
          </cell>
        </row>
        <row r="276">
          <cell r="C276" t="str">
            <v>190 Woolner Ave.</v>
          </cell>
          <cell r="D276" t="str">
            <v>Toronto Community Housing Corporation</v>
          </cell>
          <cell r="E276" t="str">
            <v>CO</v>
          </cell>
          <cell r="F276">
            <v>41029</v>
          </cell>
          <cell r="G276">
            <v>40996</v>
          </cell>
          <cell r="H276">
            <v>48300</v>
          </cell>
          <cell r="I276" t="str">
            <v>19 years, 11 months, 28 days</v>
          </cell>
          <cell r="J276" t="str">
            <v>Renewables</v>
          </cell>
          <cell r="K276" t="str">
            <v>Solar (Rooftop)</v>
          </cell>
          <cell r="L276" t="str">
            <v>Solar</v>
          </cell>
          <cell r="M276" t="str">
            <v>Dx</v>
          </cell>
          <cell r="N276" t="str">
            <v>Toronto</v>
          </cell>
          <cell r="O276" t="str">
            <v>Toronto</v>
          </cell>
          <cell r="P276" t="str">
            <v>Toronto</v>
          </cell>
        </row>
        <row r="277">
          <cell r="C277" t="str">
            <v>Heney Riding Arena</v>
          </cell>
          <cell r="D277" t="str">
            <v>James Heney and Ruth Heney</v>
          </cell>
          <cell r="E277" t="str">
            <v>CO</v>
          </cell>
          <cell r="F277">
            <v>41820</v>
          </cell>
          <cell r="G277">
            <v>41465</v>
          </cell>
          <cell r="H277">
            <v>48769</v>
          </cell>
          <cell r="I277" t="str">
            <v>19 years, 11 months, 29 days</v>
          </cell>
          <cell r="J277" t="str">
            <v>Renewables</v>
          </cell>
          <cell r="K277" t="str">
            <v>Solar (Rooftop)</v>
          </cell>
          <cell r="L277" t="str">
            <v>Solar</v>
          </cell>
          <cell r="M277" t="str">
            <v>Dx</v>
          </cell>
          <cell r="N277" t="str">
            <v>Enterprise</v>
          </cell>
          <cell r="O277" t="str">
            <v>Lennox and Addington</v>
          </cell>
          <cell r="P277" t="str">
            <v>East</v>
          </cell>
        </row>
        <row r="278">
          <cell r="C278" t="str">
            <v>#86 1050 O'Brien Rd, Renfrew</v>
          </cell>
          <cell r="D278" t="str">
            <v>PSI Solar Finance 1 Limited Partnership</v>
          </cell>
          <cell r="E278" t="str">
            <v>CO</v>
          </cell>
          <cell r="F278">
            <v>41897</v>
          </cell>
          <cell r="G278">
            <v>41466</v>
          </cell>
          <cell r="H278">
            <v>48770</v>
          </cell>
          <cell r="I278" t="str">
            <v>19 years, 11 months, 29 days</v>
          </cell>
          <cell r="J278" t="str">
            <v>Renewables</v>
          </cell>
          <cell r="K278" t="str">
            <v>Solar (Rooftop)</v>
          </cell>
          <cell r="L278" t="str">
            <v>Solar</v>
          </cell>
          <cell r="M278" t="str">
            <v>Dx</v>
          </cell>
          <cell r="N278" t="str">
            <v>Renfrew</v>
          </cell>
          <cell r="O278" t="str">
            <v>Renfrew</v>
          </cell>
          <cell r="P278" t="str">
            <v>East</v>
          </cell>
        </row>
        <row r="279">
          <cell r="C279" t="str">
            <v>M09-77 Ward</v>
          </cell>
          <cell r="D279" t="str">
            <v>VESPA ENGINEERS LTD.</v>
          </cell>
          <cell r="E279" t="str">
            <v>CO</v>
          </cell>
          <cell r="F279">
            <v>41716</v>
          </cell>
          <cell r="G279">
            <v>41865</v>
          </cell>
          <cell r="H279">
            <v>49169</v>
          </cell>
          <cell r="I279" t="str">
            <v>19 years, 11 months, 30 days</v>
          </cell>
          <cell r="J279" t="str">
            <v>Renewables</v>
          </cell>
          <cell r="K279" t="str">
            <v>Solar (Rooftop)</v>
          </cell>
          <cell r="L279" t="str">
            <v>Solar</v>
          </cell>
          <cell r="M279" t="str">
            <v>Dx</v>
          </cell>
          <cell r="N279" t="str">
            <v>Brampton</v>
          </cell>
          <cell r="O279" t="str">
            <v>Peel</v>
          </cell>
          <cell r="P279" t="str">
            <v>Toronto</v>
          </cell>
        </row>
        <row r="280">
          <cell r="C280" t="str">
            <v>O02-1000 Valin</v>
          </cell>
          <cell r="D280" t="str">
            <v>PSI Solar Finance 1 Limited Partnership</v>
          </cell>
          <cell r="E280" t="str">
            <v>CO</v>
          </cell>
          <cell r="F280">
            <v>41832</v>
          </cell>
          <cell r="G280">
            <v>41394</v>
          </cell>
          <cell r="H280">
            <v>48698</v>
          </cell>
          <cell r="I280" t="str">
            <v>19 years, 11 months, 30 days</v>
          </cell>
          <cell r="J280" t="str">
            <v>Renewables</v>
          </cell>
          <cell r="K280" t="str">
            <v>Solar (Rooftop)</v>
          </cell>
          <cell r="L280" t="str">
            <v>Solar</v>
          </cell>
          <cell r="M280" t="str">
            <v>Dx</v>
          </cell>
          <cell r="N280" t="str">
            <v>Ottawa</v>
          </cell>
          <cell r="O280" t="str">
            <v>Ottawa</v>
          </cell>
          <cell r="P280" t="str">
            <v>Ottawa</v>
          </cell>
        </row>
        <row r="281">
          <cell r="C281" t="str">
            <v>Merivale Mall Rooftop 1</v>
          </cell>
          <cell r="D281" t="str">
            <v>1540709 Ontario Limited</v>
          </cell>
          <cell r="E281" t="str">
            <v>CO</v>
          </cell>
          <cell r="F281">
            <v>41442</v>
          </cell>
          <cell r="G281">
            <v>41386</v>
          </cell>
          <cell r="H281">
            <v>48690</v>
          </cell>
          <cell r="I281" t="str">
            <v>19 years, 11 months, 30 days</v>
          </cell>
          <cell r="J281" t="str">
            <v>Renewables</v>
          </cell>
          <cell r="K281" t="str">
            <v>Solar (Rooftop)</v>
          </cell>
          <cell r="L281" t="str">
            <v>Solar</v>
          </cell>
          <cell r="M281" t="str">
            <v>Dx</v>
          </cell>
          <cell r="N281" t="str">
            <v>Ottawa</v>
          </cell>
          <cell r="O281" t="str">
            <v>Ottawa</v>
          </cell>
          <cell r="P281" t="str">
            <v>Ottawa</v>
          </cell>
        </row>
        <row r="282">
          <cell r="C282" t="str">
            <v>1036 Gilead Road, PEC</v>
          </cell>
          <cell r="D282" t="str">
            <v>CLEAVE ENERGY HOLDINGS LTD.</v>
          </cell>
          <cell r="E282" t="str">
            <v>CO</v>
          </cell>
          <cell r="F282">
            <v>41790</v>
          </cell>
          <cell r="G282">
            <v>41961</v>
          </cell>
          <cell r="H282">
            <v>49094</v>
          </cell>
          <cell r="I282" t="str">
            <v>19 years, 6 months, 12 days</v>
          </cell>
          <cell r="J282" t="str">
            <v>Renewables</v>
          </cell>
          <cell r="K282" t="str">
            <v>Solar (Rooftop)</v>
          </cell>
          <cell r="L282" t="str">
            <v>Solar</v>
          </cell>
          <cell r="M282" t="str">
            <v>Dx</v>
          </cell>
          <cell r="N282" t="str">
            <v>Bloomfield</v>
          </cell>
          <cell r="O282" t="str">
            <v>Prince Edward</v>
          </cell>
          <cell r="P282" t="str">
            <v>East</v>
          </cell>
        </row>
        <row r="283">
          <cell r="C283" t="str">
            <v>499 South Big Island Road - P.E.C.</v>
          </cell>
          <cell r="D283" t="str">
            <v>CLEAVE ENERGY HOLDINGS LTD.</v>
          </cell>
          <cell r="E283" t="str">
            <v>CO</v>
          </cell>
          <cell r="F283">
            <v>41463</v>
          </cell>
          <cell r="G283">
            <v>41667</v>
          </cell>
          <cell r="H283">
            <v>48767</v>
          </cell>
          <cell r="I283" t="str">
            <v>19 years, 5 months, 9 days</v>
          </cell>
          <cell r="J283" t="str">
            <v>Renewables</v>
          </cell>
          <cell r="K283" t="str">
            <v>Solar (Rooftop)</v>
          </cell>
          <cell r="L283" t="str">
            <v>Solar</v>
          </cell>
          <cell r="M283" t="str">
            <v>Dx</v>
          </cell>
          <cell r="N283" t="str">
            <v>Demorestville</v>
          </cell>
          <cell r="O283" t="str">
            <v>Prince Edward</v>
          </cell>
          <cell r="P283" t="str">
            <v>East</v>
          </cell>
        </row>
        <row r="284">
          <cell r="C284" t="str">
            <v>71 Melford Rooftop PV</v>
          </cell>
          <cell r="D284" t="str">
            <v>Dalemont Properties Inc.</v>
          </cell>
          <cell r="E284" t="str">
            <v>CO</v>
          </cell>
          <cell r="F284">
            <v>41029</v>
          </cell>
          <cell r="G284">
            <v>41024</v>
          </cell>
          <cell r="H284">
            <v>48328</v>
          </cell>
          <cell r="I284" t="str">
            <v>19 years, 11 months, 30 days</v>
          </cell>
          <cell r="J284" t="str">
            <v>Renewables</v>
          </cell>
          <cell r="K284" t="str">
            <v>Solar (Rooftop)</v>
          </cell>
          <cell r="L284" t="str">
            <v>Solar</v>
          </cell>
          <cell r="M284" t="str">
            <v>Dx</v>
          </cell>
          <cell r="N284" t="str">
            <v>Toronto</v>
          </cell>
          <cell r="O284" t="str">
            <v>Toronto</v>
          </cell>
          <cell r="P284" t="str">
            <v>Toronto</v>
          </cell>
        </row>
        <row r="285">
          <cell r="C285" t="str">
            <v>31 THORNHEIGHTS ROAD</v>
          </cell>
          <cell r="D285" t="str">
            <v>Victor Kam</v>
          </cell>
          <cell r="E285" t="str">
            <v>CO</v>
          </cell>
          <cell r="F285">
            <v>41029</v>
          </cell>
          <cell r="G285">
            <v>41043</v>
          </cell>
          <cell r="H285">
            <v>48347</v>
          </cell>
          <cell r="I285" t="str">
            <v>19 years, 11 months, 29 days</v>
          </cell>
          <cell r="J285" t="str">
            <v>Renewables</v>
          </cell>
          <cell r="K285" t="str">
            <v>Solar (Rooftop)</v>
          </cell>
          <cell r="L285" t="str">
            <v>Solar</v>
          </cell>
          <cell r="M285" t="str">
            <v>Dx</v>
          </cell>
          <cell r="N285" t="str">
            <v>Thornhill</v>
          </cell>
          <cell r="O285" t="str">
            <v>York</v>
          </cell>
          <cell r="P285" t="str">
            <v>Toronto</v>
          </cell>
        </row>
        <row r="286">
          <cell r="C286" t="str">
            <v>KIPLING COLLEGIATE INSTITUTE</v>
          </cell>
          <cell r="D286" t="str">
            <v>Toronto District School Board</v>
          </cell>
          <cell r="E286" t="str">
            <v>CO</v>
          </cell>
          <cell r="F286">
            <v>41818</v>
          </cell>
          <cell r="G286">
            <v>40973</v>
          </cell>
          <cell r="H286">
            <v>48277</v>
          </cell>
          <cell r="I286" t="str">
            <v>19 years, 11 months, 28 days</v>
          </cell>
          <cell r="J286" t="str">
            <v>Renewables</v>
          </cell>
          <cell r="K286" t="str">
            <v>Solar (Rooftop)</v>
          </cell>
          <cell r="L286" t="str">
            <v>Solar</v>
          </cell>
          <cell r="M286" t="str">
            <v>Dx</v>
          </cell>
          <cell r="N286" t="str">
            <v>Toronto</v>
          </cell>
          <cell r="O286" t="str">
            <v>Toronto</v>
          </cell>
          <cell r="P286" t="str">
            <v>Toronto</v>
          </cell>
        </row>
        <row r="287">
          <cell r="C287" t="str">
            <v>(C83) Real Canadian Superstore Murphy Road</v>
          </cell>
          <cell r="D287" t="str">
            <v>Firelight Solar LP</v>
          </cell>
          <cell r="E287" t="str">
            <v>CO</v>
          </cell>
          <cell r="F287">
            <v>41805</v>
          </cell>
          <cell r="G287">
            <v>41795</v>
          </cell>
          <cell r="H287">
            <v>49099</v>
          </cell>
          <cell r="I287" t="str">
            <v>19 years, 11 months, 30 days</v>
          </cell>
          <cell r="J287" t="str">
            <v>Renewables</v>
          </cell>
          <cell r="K287" t="str">
            <v>Solar (Rooftop)</v>
          </cell>
          <cell r="L287" t="str">
            <v>Solar</v>
          </cell>
          <cell r="M287" t="str">
            <v>Dx</v>
          </cell>
          <cell r="N287" t="str">
            <v>Sarnia</v>
          </cell>
          <cell r="O287" t="str">
            <v>Lambton</v>
          </cell>
          <cell r="P287" t="str">
            <v>West</v>
          </cell>
        </row>
        <row r="288">
          <cell r="C288" t="str">
            <v>GE Real Estate - Vaughan, ON (30 Whitmore Rd)</v>
          </cell>
          <cell r="D288" t="str">
            <v>Firelight Solar LP</v>
          </cell>
          <cell r="E288" t="str">
            <v>CO</v>
          </cell>
          <cell r="F288">
            <v>41029</v>
          </cell>
          <cell r="G288">
            <v>40690</v>
          </cell>
          <cell r="H288">
            <v>47994</v>
          </cell>
          <cell r="I288" t="str">
            <v>19 years, 11 months, 29 days</v>
          </cell>
          <cell r="J288" t="str">
            <v>Renewables</v>
          </cell>
          <cell r="K288" t="str">
            <v>Solar (Rooftop)</v>
          </cell>
          <cell r="L288" t="str">
            <v>Solar</v>
          </cell>
          <cell r="M288" t="str">
            <v>Dx</v>
          </cell>
          <cell r="N288" t="str">
            <v>Woodbridge</v>
          </cell>
          <cell r="O288" t="str">
            <v>York</v>
          </cell>
          <cell r="P288" t="str">
            <v>Toronto</v>
          </cell>
        </row>
        <row r="289">
          <cell r="C289" t="str">
            <v>Auto Camping Ltd.</v>
          </cell>
          <cell r="D289" t="str">
            <v>1520185 Ontario Ltd.</v>
          </cell>
          <cell r="E289" t="str">
            <v>CO</v>
          </cell>
          <cell r="F289">
            <v>41790</v>
          </cell>
          <cell r="G289">
            <v>41320</v>
          </cell>
          <cell r="H289">
            <v>48624</v>
          </cell>
          <cell r="I289" t="str">
            <v>19 years, 11 months, 30 days</v>
          </cell>
          <cell r="J289" t="str">
            <v>Renewables</v>
          </cell>
          <cell r="K289" t="str">
            <v>Solar (Rooftop)</v>
          </cell>
          <cell r="L289" t="str">
            <v>Solar</v>
          </cell>
          <cell r="M289" t="str">
            <v>Dx</v>
          </cell>
          <cell r="N289" t="str">
            <v>Toronto</v>
          </cell>
          <cell r="O289" t="str">
            <v>Toronto</v>
          </cell>
          <cell r="P289" t="str">
            <v>Toronto</v>
          </cell>
        </row>
        <row r="290">
          <cell r="C290" t="str">
            <v>MEGA SOLAR</v>
          </cell>
          <cell r="D290" t="str">
            <v>Splettstoesser Farms Inc.</v>
          </cell>
          <cell r="E290" t="str">
            <v>CO</v>
          </cell>
          <cell r="F290">
            <v>41832</v>
          </cell>
          <cell r="G290">
            <v>41046</v>
          </cell>
          <cell r="H290">
            <v>48350</v>
          </cell>
          <cell r="I290" t="str">
            <v>19 years, 11 months, 29 days</v>
          </cell>
          <cell r="J290" t="str">
            <v>Renewables</v>
          </cell>
          <cell r="K290" t="str">
            <v>Solar (Rooftop)</v>
          </cell>
          <cell r="L290" t="str">
            <v>Solar</v>
          </cell>
          <cell r="M290" t="str">
            <v>Dx</v>
          </cell>
          <cell r="N290" t="str">
            <v>Ripley</v>
          </cell>
          <cell r="O290" t="str">
            <v>Bruce</v>
          </cell>
          <cell r="P290" t="str">
            <v>Bruce</v>
          </cell>
        </row>
        <row r="291">
          <cell r="C291" t="str">
            <v>ROW - 1990 Ottawa Street</v>
          </cell>
          <cell r="D291" t="str">
            <v>The Regional Municipality of Waterloo</v>
          </cell>
          <cell r="E291" t="str">
            <v>CO</v>
          </cell>
          <cell r="F291">
            <v>41834</v>
          </cell>
          <cell r="G291">
            <v>41981</v>
          </cell>
          <cell r="H291">
            <v>49138</v>
          </cell>
          <cell r="I291" t="str">
            <v>19 years, 7 months, 5 days</v>
          </cell>
          <cell r="J291" t="str">
            <v>Renewables</v>
          </cell>
          <cell r="K291" t="str">
            <v>Solar (Rooftop)</v>
          </cell>
          <cell r="L291" t="str">
            <v>Solar</v>
          </cell>
          <cell r="M291" t="str">
            <v>Dx</v>
          </cell>
          <cell r="N291" t="str">
            <v>Kitchener</v>
          </cell>
          <cell r="O291" t="str">
            <v>Waterloo</v>
          </cell>
          <cell r="P291" t="str">
            <v>Southwest</v>
          </cell>
        </row>
        <row r="292">
          <cell r="C292" t="str">
            <v>405 Lake Road</v>
          </cell>
          <cell r="D292" t="str">
            <v>405 Lake Road Investments Inc.</v>
          </cell>
          <cell r="E292" t="str">
            <v>CO</v>
          </cell>
          <cell r="F292">
            <v>41806</v>
          </cell>
          <cell r="G292">
            <v>41463</v>
          </cell>
          <cell r="H292">
            <v>48767</v>
          </cell>
          <cell r="I292" t="str">
            <v>19 years, 11 months, 29 days</v>
          </cell>
          <cell r="J292" t="str">
            <v>Renewables</v>
          </cell>
          <cell r="K292" t="str">
            <v>Solar (Rooftop)</v>
          </cell>
          <cell r="L292" t="str">
            <v>Solar</v>
          </cell>
          <cell r="M292" t="str">
            <v>Dx</v>
          </cell>
          <cell r="N292" t="str">
            <v>Bowmanville</v>
          </cell>
          <cell r="O292" t="str">
            <v>Durham</v>
          </cell>
          <cell r="P292" t="str">
            <v>Toronto</v>
          </cell>
        </row>
        <row r="293">
          <cell r="C293" t="str">
            <v>3115 14th Avenue</v>
          </cell>
          <cell r="D293" t="str">
            <v>GBG Solar 2010 Partnership</v>
          </cell>
          <cell r="E293" t="str">
            <v>CO</v>
          </cell>
          <cell r="F293">
            <v>41029</v>
          </cell>
          <cell r="G293">
            <v>41156</v>
          </cell>
          <cell r="H293">
            <v>48460</v>
          </cell>
          <cell r="I293" t="str">
            <v>19 years, 11 months, 30 days</v>
          </cell>
          <cell r="J293" t="str">
            <v>Renewables</v>
          </cell>
          <cell r="K293" t="str">
            <v>Solar (Rooftop)</v>
          </cell>
          <cell r="L293" t="str">
            <v>Solar</v>
          </cell>
          <cell r="M293" t="str">
            <v>Dx</v>
          </cell>
          <cell r="N293" t="str">
            <v>Markham</v>
          </cell>
          <cell r="O293" t="str">
            <v>York</v>
          </cell>
          <cell r="P293" t="str">
            <v>Toronto</v>
          </cell>
        </row>
        <row r="294">
          <cell r="C294" t="str">
            <v>Wardlaw Poultry Farm Project</v>
          </cell>
          <cell r="D294" t="str">
            <v>J.C.K.G. Holdings Inc.</v>
          </cell>
          <cell r="E294" t="str">
            <v>CO</v>
          </cell>
          <cell r="F294">
            <v>41442</v>
          </cell>
          <cell r="G294">
            <v>41227</v>
          </cell>
          <cell r="H294">
            <v>48531</v>
          </cell>
          <cell r="I294" t="str">
            <v>19 years, 11 months, 30 days</v>
          </cell>
          <cell r="J294" t="str">
            <v>Renewables</v>
          </cell>
          <cell r="K294" t="str">
            <v>Solar (Rooftop)</v>
          </cell>
          <cell r="L294" t="str">
            <v>Solar</v>
          </cell>
          <cell r="M294" t="str">
            <v>Dx</v>
          </cell>
          <cell r="N294" t="str">
            <v>Cookstown</v>
          </cell>
          <cell r="O294" t="str">
            <v>Simcoe</v>
          </cell>
          <cell r="P294" t="str">
            <v>Southwest</v>
          </cell>
        </row>
        <row r="295">
          <cell r="C295" t="str">
            <v>Mikhail Sobeys 250</v>
          </cell>
          <cell r="D295" t="str">
            <v>2452369 Ontario Ltd.</v>
          </cell>
          <cell r="E295" t="str">
            <v>CO</v>
          </cell>
          <cell r="F295">
            <v>41912</v>
          </cell>
          <cell r="G295">
            <v>41830</v>
          </cell>
          <cell r="H295">
            <v>49134</v>
          </cell>
          <cell r="I295" t="str">
            <v>19 years, 11 months, 29 days</v>
          </cell>
          <cell r="J295" t="str">
            <v>Renewables</v>
          </cell>
          <cell r="K295" t="str">
            <v>Solar (Rooftop)</v>
          </cell>
          <cell r="L295" t="str">
            <v>Solar</v>
          </cell>
          <cell r="M295" t="str">
            <v>Dx</v>
          </cell>
          <cell r="N295" t="str">
            <v>Amherstburg</v>
          </cell>
          <cell r="O295" t="str">
            <v>Essex</v>
          </cell>
          <cell r="P295" t="str">
            <v>West</v>
          </cell>
        </row>
        <row r="296">
          <cell r="C296" t="str">
            <v>Ferme Joly Drouin et Filles Solar</v>
          </cell>
          <cell r="D296" t="str">
            <v>1055466 Ontario Inc.</v>
          </cell>
          <cell r="E296" t="str">
            <v>CO</v>
          </cell>
          <cell r="F296">
            <v>41440</v>
          </cell>
          <cell r="G296">
            <v>40961</v>
          </cell>
          <cell r="H296">
            <v>48265</v>
          </cell>
          <cell r="I296" t="str">
            <v>19 years, 11 months, 30 days</v>
          </cell>
          <cell r="J296" t="str">
            <v>Renewables</v>
          </cell>
          <cell r="K296" t="str">
            <v>Solar (Rooftop)</v>
          </cell>
          <cell r="L296" t="str">
            <v>Solar</v>
          </cell>
          <cell r="M296" t="str">
            <v>Dx</v>
          </cell>
          <cell r="N296" t="str">
            <v>Plantagenet</v>
          </cell>
          <cell r="O296" t="str">
            <v>Prescott and Russell</v>
          </cell>
          <cell r="P296" t="str">
            <v>Ottawa</v>
          </cell>
        </row>
        <row r="297">
          <cell r="C297" t="str">
            <v>Bridgeline Solar System</v>
          </cell>
          <cell r="D297" t="str">
            <v>2177304 Ontario Limited</v>
          </cell>
          <cell r="E297" t="str">
            <v>CO</v>
          </cell>
          <cell r="F297">
            <v>41029</v>
          </cell>
          <cell r="G297">
            <v>40835</v>
          </cell>
          <cell r="H297">
            <v>48139</v>
          </cell>
          <cell r="I297" t="str">
            <v>19 years, 11 months, 29 days</v>
          </cell>
          <cell r="J297" t="str">
            <v>Renewables</v>
          </cell>
          <cell r="K297" t="str">
            <v>Solar (Rooftop)</v>
          </cell>
          <cell r="L297" t="str">
            <v>Solar</v>
          </cell>
          <cell r="M297" t="str">
            <v>Dx</v>
          </cell>
          <cell r="N297" t="str">
            <v>Deseronto</v>
          </cell>
          <cell r="O297" t="str">
            <v>Hastings</v>
          </cell>
          <cell r="P297" t="str">
            <v>East</v>
          </cell>
        </row>
        <row r="298">
          <cell r="C298" t="str">
            <v>350 Newkirk Road</v>
          </cell>
          <cell r="D298" t="str">
            <v>2083053 ONTARIO LTD.</v>
          </cell>
          <cell r="E298" t="str">
            <v>CO</v>
          </cell>
          <cell r="F298">
            <v>41796</v>
          </cell>
          <cell r="G298">
            <v>41978</v>
          </cell>
          <cell r="H298">
            <v>49100</v>
          </cell>
          <cell r="I298" t="str">
            <v>19 years, 6 months, 0 days</v>
          </cell>
          <cell r="J298" t="str">
            <v>Renewables</v>
          </cell>
          <cell r="K298" t="str">
            <v>Solar (Rooftop)</v>
          </cell>
          <cell r="L298" t="str">
            <v>Solar</v>
          </cell>
          <cell r="M298" t="str">
            <v>Dx</v>
          </cell>
          <cell r="N298" t="str">
            <v>Richmond Hill</v>
          </cell>
          <cell r="O298" t="str">
            <v>York</v>
          </cell>
          <cell r="P298" t="str">
            <v>Toronto</v>
          </cell>
        </row>
        <row r="299">
          <cell r="C299" t="str">
            <v>McIvor Crt (Lincoln St) 50kW</v>
          </cell>
          <cell r="D299" t="str">
            <v>Thunder Bay District Housing Corporation</v>
          </cell>
          <cell r="E299" t="str">
            <v>CO</v>
          </cell>
          <cell r="F299">
            <v>41029</v>
          </cell>
          <cell r="G299">
            <v>41184</v>
          </cell>
          <cell r="H299">
            <v>48488</v>
          </cell>
          <cell r="I299" t="str">
            <v>19 years, 11 months, 29 days</v>
          </cell>
          <cell r="J299" t="str">
            <v>Renewables</v>
          </cell>
          <cell r="K299" t="str">
            <v>Solar (Rooftop)</v>
          </cell>
          <cell r="L299" t="str">
            <v>Solar</v>
          </cell>
          <cell r="M299" t="str">
            <v>Dx</v>
          </cell>
          <cell r="N299" t="str">
            <v>Thunder Bay</v>
          </cell>
          <cell r="O299" t="str">
            <v>Thunder Bay</v>
          </cell>
          <cell r="P299" t="str">
            <v>Northwest</v>
          </cell>
        </row>
        <row r="300">
          <cell r="C300" t="str">
            <v>#251 400 Weber Street North, Waterloo</v>
          </cell>
          <cell r="D300" t="str">
            <v>PSI Solar Finance 1 Limited Partnership</v>
          </cell>
          <cell r="E300" t="str">
            <v>CO</v>
          </cell>
          <cell r="F300">
            <v>41897</v>
          </cell>
          <cell r="G300">
            <v>41590</v>
          </cell>
          <cell r="H300">
            <v>48894</v>
          </cell>
          <cell r="I300" t="str">
            <v>19 years, 11 months, 30 days</v>
          </cell>
          <cell r="J300" t="str">
            <v>Renewables</v>
          </cell>
          <cell r="K300" t="str">
            <v>Solar (Rooftop)</v>
          </cell>
          <cell r="L300" t="str">
            <v>Solar</v>
          </cell>
          <cell r="M300" t="str">
            <v>Dx</v>
          </cell>
          <cell r="N300" t="str">
            <v>Waterloo</v>
          </cell>
          <cell r="O300" t="str">
            <v>Waterloo</v>
          </cell>
          <cell r="P300" t="str">
            <v>Southwest</v>
          </cell>
        </row>
        <row r="301">
          <cell r="C301" t="str">
            <v>Zabek 15746 Niagara Parkway Project</v>
          </cell>
          <cell r="D301" t="str">
            <v>Zabek Farms Ltd.</v>
          </cell>
          <cell r="E301" t="str">
            <v>CO</v>
          </cell>
          <cell r="F301">
            <v>41832</v>
          </cell>
          <cell r="G301">
            <v>40976</v>
          </cell>
          <cell r="H301">
            <v>48280</v>
          </cell>
          <cell r="I301" t="str">
            <v>19 years, 11 months, 28 days</v>
          </cell>
          <cell r="J301" t="str">
            <v>Renewables</v>
          </cell>
          <cell r="K301" t="str">
            <v>Solar (Rooftop)</v>
          </cell>
          <cell r="L301" t="str">
            <v>Solar</v>
          </cell>
          <cell r="M301" t="str">
            <v>Dx</v>
          </cell>
          <cell r="N301" t="str">
            <v>Niagara-on-the-Lake</v>
          </cell>
          <cell r="O301" t="str">
            <v>Niagara</v>
          </cell>
          <cell r="P301" t="str">
            <v>Niagara</v>
          </cell>
        </row>
        <row r="302">
          <cell r="C302" t="str">
            <v>8750 Holgate</v>
          </cell>
          <cell r="D302" t="str">
            <v>TerraForm MP Solar, LLC</v>
          </cell>
          <cell r="E302" t="str">
            <v>CO</v>
          </cell>
          <cell r="F302">
            <v>41818</v>
          </cell>
          <cell r="G302">
            <v>41996</v>
          </cell>
          <cell r="H302">
            <v>49300</v>
          </cell>
          <cell r="I302" t="str">
            <v>19 years, 11 months, 29 days</v>
          </cell>
          <cell r="J302" t="str">
            <v>Renewables</v>
          </cell>
          <cell r="K302" t="str">
            <v>Solar (Rooftop)</v>
          </cell>
          <cell r="L302" t="str">
            <v>Solar</v>
          </cell>
          <cell r="M302" t="str">
            <v>Dx</v>
          </cell>
          <cell r="N302" t="str">
            <v>Milton</v>
          </cell>
          <cell r="O302" t="str">
            <v>Halton</v>
          </cell>
          <cell r="P302" t="str">
            <v>Southwest</v>
          </cell>
        </row>
        <row r="303">
          <cell r="C303" t="str">
            <v>Flamborough Solar</v>
          </cell>
          <cell r="D303" t="str">
            <v>Bill Panagiotakopoulos</v>
          </cell>
          <cell r="E303" t="str">
            <v>CO</v>
          </cell>
          <cell r="F303">
            <v>41828</v>
          </cell>
          <cell r="G303">
            <v>42122</v>
          </cell>
          <cell r="H303">
            <v>49132</v>
          </cell>
          <cell r="I303" t="str">
            <v>19 years, 2 months, 9 days</v>
          </cell>
          <cell r="J303" t="str">
            <v>Renewables</v>
          </cell>
          <cell r="K303" t="str">
            <v>Solar (Ground Mounted)</v>
          </cell>
          <cell r="L303" t="str">
            <v>Solar</v>
          </cell>
          <cell r="M303" t="str">
            <v>Dx</v>
          </cell>
          <cell r="N303" t="str">
            <v>Hamilton</v>
          </cell>
          <cell r="O303" t="str">
            <v>Hamilton</v>
          </cell>
          <cell r="P303" t="str">
            <v>Southwest</v>
          </cell>
        </row>
        <row r="304">
          <cell r="C304" t="str">
            <v>Dave Rampel Solar Park</v>
          </cell>
          <cell r="D304" t="str">
            <v>Rainy River First Nations Solar 3 Limited Partnership</v>
          </cell>
          <cell r="E304" t="str">
            <v>CO</v>
          </cell>
          <cell r="F304">
            <v>41943</v>
          </cell>
          <cell r="G304">
            <v>42055</v>
          </cell>
          <cell r="H304">
            <v>49359</v>
          </cell>
          <cell r="I304" t="str">
            <v>19 years, 11 months, 30 days</v>
          </cell>
          <cell r="J304" t="str">
            <v>Renewables</v>
          </cell>
          <cell r="K304" t="str">
            <v>Solar (Ground Mounted)</v>
          </cell>
          <cell r="L304" t="str">
            <v>Solar</v>
          </cell>
          <cell r="M304" t="str">
            <v>Dx</v>
          </cell>
          <cell r="N304" t="str">
            <v>Rainy River</v>
          </cell>
          <cell r="O304" t="str">
            <v>Rainy River</v>
          </cell>
          <cell r="P304" t="str">
            <v>Northwest</v>
          </cell>
        </row>
        <row r="305">
          <cell r="C305" t="str">
            <v>Solar-Caledonia</v>
          </cell>
          <cell r="D305" t="str">
            <v>Solar-Caledonia Inc.</v>
          </cell>
          <cell r="E305" t="str">
            <v>CO</v>
          </cell>
          <cell r="F305">
            <v>41910</v>
          </cell>
          <cell r="G305">
            <v>41121</v>
          </cell>
          <cell r="H305">
            <v>48425</v>
          </cell>
          <cell r="I305" t="str">
            <v>19 years, 11 months, 29 days</v>
          </cell>
          <cell r="J305" t="str">
            <v>Renewables</v>
          </cell>
          <cell r="K305" t="str">
            <v>Solar (Rooftop)</v>
          </cell>
          <cell r="L305" t="str">
            <v>Solar</v>
          </cell>
          <cell r="M305" t="str">
            <v>Dx</v>
          </cell>
          <cell r="N305" t="str">
            <v>Alfred</v>
          </cell>
          <cell r="O305" t="str">
            <v>Prescott and Russell</v>
          </cell>
          <cell r="P305" t="str">
            <v>Ottawa</v>
          </cell>
        </row>
        <row r="306">
          <cell r="C306" t="str">
            <v>Sunflower</v>
          </cell>
          <cell r="D306" t="str">
            <v>NL Holdings Inc.</v>
          </cell>
          <cell r="E306" t="str">
            <v>CO</v>
          </cell>
          <cell r="F306">
            <v>40663</v>
          </cell>
          <cell r="G306">
            <v>40486</v>
          </cell>
          <cell r="H306">
            <v>47790</v>
          </cell>
          <cell r="I306" t="str">
            <v>19 years, 11 months, 30 days</v>
          </cell>
          <cell r="J306" t="str">
            <v>Renewables</v>
          </cell>
          <cell r="K306" t="str">
            <v>Solar (Rooftop)</v>
          </cell>
          <cell r="L306" t="str">
            <v>Solar</v>
          </cell>
          <cell r="M306" t="str">
            <v>Dx</v>
          </cell>
          <cell r="N306" t="str">
            <v>Paris</v>
          </cell>
          <cell r="O306" t="str">
            <v>Brant</v>
          </cell>
          <cell r="P306" t="str">
            <v>Southwest</v>
          </cell>
        </row>
        <row r="307">
          <cell r="C307" t="str">
            <v>O02-345 Ravenhill</v>
          </cell>
          <cell r="D307" t="str">
            <v>PSI Solar Finance 1 Limited Partnership</v>
          </cell>
          <cell r="E307" t="str">
            <v>CO</v>
          </cell>
          <cell r="F307">
            <v>41834</v>
          </cell>
          <cell r="G307">
            <v>41409</v>
          </cell>
          <cell r="H307">
            <v>48713</v>
          </cell>
          <cell r="I307" t="str">
            <v>19 years, 11 months, 29 days</v>
          </cell>
          <cell r="J307" t="str">
            <v>Renewables</v>
          </cell>
          <cell r="K307" t="str">
            <v>Solar (Rooftop)</v>
          </cell>
          <cell r="L307" t="str">
            <v>Solar</v>
          </cell>
          <cell r="M307" t="str">
            <v>Dx</v>
          </cell>
          <cell r="N307" t="str">
            <v>Ottawa</v>
          </cell>
          <cell r="O307" t="str">
            <v>Ottawa</v>
          </cell>
          <cell r="P307" t="str">
            <v>Ottawa</v>
          </cell>
        </row>
        <row r="308">
          <cell r="C308" t="str">
            <v>RayLight</v>
          </cell>
          <cell r="D308" t="str">
            <v>Concord RayLight Partnership</v>
          </cell>
          <cell r="E308" t="str">
            <v>CO</v>
          </cell>
          <cell r="F308">
            <v>41724</v>
          </cell>
          <cell r="G308">
            <v>41936</v>
          </cell>
          <cell r="H308">
            <v>49240</v>
          </cell>
          <cell r="I308" t="str">
            <v>19 years, 11 months, 29 days</v>
          </cell>
          <cell r="J308" t="str">
            <v>Renewables</v>
          </cell>
          <cell r="K308" t="str">
            <v>Solar (Ground Mounted)</v>
          </cell>
          <cell r="L308" t="str">
            <v>Solar</v>
          </cell>
          <cell r="M308" t="str">
            <v>Dx</v>
          </cell>
          <cell r="N308" t="str">
            <v>Wyebridge</v>
          </cell>
          <cell r="O308" t="str">
            <v>Simcoe</v>
          </cell>
          <cell r="P308" t="str">
            <v>Essa</v>
          </cell>
        </row>
        <row r="309">
          <cell r="C309" t="str">
            <v>RW Solar Farm</v>
          </cell>
          <cell r="D309" t="str">
            <v>Skyline Clean Energy Holdings (III) Inc.</v>
          </cell>
          <cell r="E309" t="str">
            <v>CO</v>
          </cell>
          <cell r="F309">
            <v>41806</v>
          </cell>
          <cell r="G309">
            <v>41857</v>
          </cell>
          <cell r="H309">
            <v>49161</v>
          </cell>
          <cell r="I309" t="str">
            <v>19 years, 11 months, 30 days</v>
          </cell>
          <cell r="J309" t="str">
            <v>Renewables</v>
          </cell>
          <cell r="K309" t="str">
            <v>Solar (Ground Mounted)</v>
          </cell>
          <cell r="L309" t="str">
            <v>Solar</v>
          </cell>
          <cell r="M309" t="str">
            <v>Dx</v>
          </cell>
          <cell r="N309" t="str">
            <v>Bath</v>
          </cell>
          <cell r="O309" t="str">
            <v>Lennox and Addington</v>
          </cell>
          <cell r="P309" t="str">
            <v>East</v>
          </cell>
        </row>
        <row r="310">
          <cell r="C310" t="str">
            <v>Canadian Solar Developers Ltd. L.P. #11</v>
          </cell>
          <cell r="D310" t="str">
            <v>Mann Ground Mount Solar Ltd.</v>
          </cell>
          <cell r="E310" t="str">
            <v>CO</v>
          </cell>
          <cell r="F310">
            <v>41489</v>
          </cell>
          <cell r="G310">
            <v>41704</v>
          </cell>
          <cell r="H310">
            <v>48793</v>
          </cell>
          <cell r="I310" t="str">
            <v>19 years, 4 months, 27 days</v>
          </cell>
          <cell r="J310" t="str">
            <v>Renewables</v>
          </cell>
          <cell r="K310" t="str">
            <v>Solar (Ground Mounted)</v>
          </cell>
          <cell r="L310" t="str">
            <v>Solar</v>
          </cell>
          <cell r="M310" t="str">
            <v>Dx</v>
          </cell>
          <cell r="N310" t="str">
            <v>Barrie</v>
          </cell>
          <cell r="O310" t="str">
            <v>Simcoe</v>
          </cell>
          <cell r="P310" t="str">
            <v>Essa</v>
          </cell>
        </row>
        <row r="311">
          <cell r="C311" t="str">
            <v>20 Bertrand</v>
          </cell>
          <cell r="D311" t="str">
            <v>2372511 Ontario Inc.</v>
          </cell>
          <cell r="E311" t="str">
            <v>CO</v>
          </cell>
          <cell r="F311">
            <v>41029</v>
          </cell>
          <cell r="G311">
            <v>41250</v>
          </cell>
          <cell r="H311">
            <v>48333</v>
          </cell>
          <cell r="I311" t="str">
            <v>19 years, 4 months, 22 days</v>
          </cell>
          <cell r="J311" t="str">
            <v>Renewables</v>
          </cell>
          <cell r="K311" t="str">
            <v>Solar (Rooftop)</v>
          </cell>
          <cell r="L311" t="str">
            <v>Solar</v>
          </cell>
          <cell r="M311" t="str">
            <v>Dx</v>
          </cell>
          <cell r="N311" t="str">
            <v>Toronto</v>
          </cell>
          <cell r="O311" t="str">
            <v>Toronto</v>
          </cell>
          <cell r="P311" t="str">
            <v>Toronto</v>
          </cell>
        </row>
        <row r="312">
          <cell r="C312" t="str">
            <v>River City</v>
          </cell>
          <cell r="D312" t="str">
            <v>River City Vineyard Christan Fellowship of Sarnia</v>
          </cell>
          <cell r="E312" t="str">
            <v>CO</v>
          </cell>
          <cell r="F312">
            <v>41841</v>
          </cell>
          <cell r="G312">
            <v>41264</v>
          </cell>
          <cell r="H312">
            <v>48568</v>
          </cell>
          <cell r="I312" t="str">
            <v>19 years, 11 months, 29 days</v>
          </cell>
          <cell r="J312" t="str">
            <v>Renewables</v>
          </cell>
          <cell r="K312" t="str">
            <v>Solar (Rooftop)</v>
          </cell>
          <cell r="L312" t="str">
            <v>Solar</v>
          </cell>
          <cell r="M312" t="str">
            <v>Dx</v>
          </cell>
          <cell r="N312" t="str">
            <v>Sarnia</v>
          </cell>
          <cell r="O312" t="str">
            <v>Lambton</v>
          </cell>
          <cell r="P312" t="str">
            <v>West</v>
          </cell>
        </row>
        <row r="313">
          <cell r="C313" t="str">
            <v>M07-5040 Timberlea</v>
          </cell>
          <cell r="D313" t="str">
            <v>Alectra Utilities Corporation</v>
          </cell>
          <cell r="E313" t="str">
            <v>CO</v>
          </cell>
          <cell r="F313">
            <v>41800</v>
          </cell>
          <cell r="G313">
            <v>41983</v>
          </cell>
          <cell r="H313">
            <v>49287</v>
          </cell>
          <cell r="I313" t="str">
            <v>19 years, 11 months, 29 days</v>
          </cell>
          <cell r="J313" t="str">
            <v>Renewables</v>
          </cell>
          <cell r="K313" t="str">
            <v>Solar (Rooftop)</v>
          </cell>
          <cell r="L313" t="str">
            <v>Solar</v>
          </cell>
          <cell r="M313" t="str">
            <v>Dx</v>
          </cell>
          <cell r="N313" t="str">
            <v>Mississauga</v>
          </cell>
          <cell r="O313" t="str">
            <v>Peel</v>
          </cell>
          <cell r="P313" t="str">
            <v>Toronto</v>
          </cell>
        </row>
        <row r="314">
          <cell r="C314" t="str">
            <v>RE Orillia 2</v>
          </cell>
          <cell r="D314" t="str">
            <v>Met Axium Solar Orillia 2 L.P.</v>
          </cell>
          <cell r="E314" t="str">
            <v>CO</v>
          </cell>
          <cell r="F314">
            <v>41382</v>
          </cell>
          <cell r="G314">
            <v>41697</v>
          </cell>
          <cell r="H314">
            <v>49001</v>
          </cell>
          <cell r="I314" t="str">
            <v>19 years, 11 months, 30 days</v>
          </cell>
          <cell r="J314" t="str">
            <v>Renewables</v>
          </cell>
          <cell r="K314" t="str">
            <v>Solar (Ground Mounted)</v>
          </cell>
          <cell r="L314" t="str">
            <v>Solar</v>
          </cell>
          <cell r="M314" t="str">
            <v>Dx</v>
          </cell>
          <cell r="N314" t="str">
            <v>Hawkestone</v>
          </cell>
          <cell r="O314" t="str">
            <v>Simcoe</v>
          </cell>
          <cell r="P314" t="str">
            <v>Essa</v>
          </cell>
        </row>
        <row r="315">
          <cell r="C315" t="str">
            <v>Maryland Farms Biogas</v>
          </cell>
          <cell r="D315" t="str">
            <v>Maryland Farms Biogas Ltd.</v>
          </cell>
          <cell r="E315" t="str">
            <v>CO</v>
          </cell>
          <cell r="F315">
            <v>41365</v>
          </cell>
          <cell r="G315">
            <v>41039</v>
          </cell>
          <cell r="H315">
            <v>48343</v>
          </cell>
          <cell r="I315" t="str">
            <v>19 years, 11 months, 29 days</v>
          </cell>
          <cell r="J315" t="str">
            <v>Renewables</v>
          </cell>
          <cell r="K315" t="str">
            <v>Bioenergy</v>
          </cell>
          <cell r="L315" t="str">
            <v>Biogas</v>
          </cell>
          <cell r="M315" t="str">
            <v>Dx</v>
          </cell>
          <cell r="N315" t="str">
            <v>Reaboro</v>
          </cell>
          <cell r="O315" t="str">
            <v>Kawartha Lakes</v>
          </cell>
          <cell r="P315" t="str">
            <v>Essa</v>
          </cell>
        </row>
        <row r="316">
          <cell r="C316" t="str">
            <v>H06-1706 ELGIN MILLS</v>
          </cell>
          <cell r="D316" t="str">
            <v>MOM Solar Limited Partnership</v>
          </cell>
          <cell r="E316" t="str">
            <v>CO</v>
          </cell>
          <cell r="F316">
            <v>41029</v>
          </cell>
          <cell r="G316">
            <v>41204</v>
          </cell>
          <cell r="H316">
            <v>48508</v>
          </cell>
          <cell r="I316" t="str">
            <v>19 years, 11 months, 29 days</v>
          </cell>
          <cell r="J316" t="str">
            <v>Renewables</v>
          </cell>
          <cell r="K316" t="str">
            <v>Solar (Rooftop)</v>
          </cell>
          <cell r="L316" t="str">
            <v>Solar</v>
          </cell>
          <cell r="M316" t="str">
            <v>Dx</v>
          </cell>
          <cell r="N316" t="str">
            <v>Richmond Hill</v>
          </cell>
          <cell r="O316" t="str">
            <v>York</v>
          </cell>
          <cell r="P316" t="str">
            <v>Toronto</v>
          </cell>
        </row>
        <row r="317">
          <cell r="C317" t="str">
            <v>460 Industrial</v>
          </cell>
          <cell r="D317" t="str">
            <v>SunEdison DG Operating Holdings-2, LLC</v>
          </cell>
          <cell r="E317" t="str">
            <v>CO</v>
          </cell>
          <cell r="F317">
            <v>41029</v>
          </cell>
          <cell r="G317">
            <v>40772</v>
          </cell>
          <cell r="H317">
            <v>48076</v>
          </cell>
          <cell r="I317" t="str">
            <v>19 years, 11 months, 30 days</v>
          </cell>
          <cell r="J317" t="str">
            <v>Renewables</v>
          </cell>
          <cell r="K317" t="str">
            <v>Solar (Rooftop)</v>
          </cell>
          <cell r="L317" t="str">
            <v>Solar</v>
          </cell>
          <cell r="M317" t="str">
            <v>Dx</v>
          </cell>
          <cell r="N317" t="str">
            <v>Woodstock</v>
          </cell>
          <cell r="O317" t="str">
            <v>Oxford</v>
          </cell>
          <cell r="P317" t="str">
            <v>Southwest</v>
          </cell>
        </row>
        <row r="318">
          <cell r="C318" t="str">
            <v>349 Kenora Avenue</v>
          </cell>
          <cell r="D318" t="str">
            <v>Marshall Real Estate Holdings Ltd.</v>
          </cell>
          <cell r="E318" t="str">
            <v>CO</v>
          </cell>
          <cell r="F318">
            <v>41799</v>
          </cell>
          <cell r="G318">
            <v>41799</v>
          </cell>
          <cell r="H318">
            <v>49103</v>
          </cell>
          <cell r="I318" t="str">
            <v>19 years, 11 months, 30 days</v>
          </cell>
          <cell r="J318" t="str">
            <v>Renewables</v>
          </cell>
          <cell r="K318" t="str">
            <v>Solar (Rooftop)</v>
          </cell>
          <cell r="L318" t="str">
            <v>Solar</v>
          </cell>
          <cell r="M318" t="str">
            <v>Dx</v>
          </cell>
          <cell r="N318" t="str">
            <v>Hamilton</v>
          </cell>
          <cell r="O318" t="str">
            <v>Hamilton</v>
          </cell>
          <cell r="P318" t="str">
            <v>Southwest</v>
          </cell>
        </row>
        <row r="319">
          <cell r="C319" t="str">
            <v>CEPEO Secondary Omer-Deslauriers</v>
          </cell>
          <cell r="D319" t="str">
            <v>Ameresco CEPEO Solar Inc.</v>
          </cell>
          <cell r="E319" t="str">
            <v>CO</v>
          </cell>
          <cell r="F319">
            <v>41029</v>
          </cell>
          <cell r="G319">
            <v>41208</v>
          </cell>
          <cell r="H319">
            <v>48333</v>
          </cell>
          <cell r="I319" t="str">
            <v>19 years, 6 months, 3 days</v>
          </cell>
          <cell r="J319" t="str">
            <v>Renewables</v>
          </cell>
          <cell r="K319" t="str">
            <v>Solar (Rooftop)</v>
          </cell>
          <cell r="L319" t="str">
            <v>Solar</v>
          </cell>
          <cell r="M319" t="str">
            <v>Dx</v>
          </cell>
          <cell r="N319" t="str">
            <v>Ottawa</v>
          </cell>
          <cell r="O319" t="str">
            <v>Ottawa</v>
          </cell>
          <cell r="P319" t="str">
            <v>Ottawa</v>
          </cell>
        </row>
        <row r="320">
          <cell r="C320" t="str">
            <v>Menkes-60 Valleybrook</v>
          </cell>
          <cell r="D320" t="str">
            <v>Castleberry Investments Limited</v>
          </cell>
          <cell r="E320" t="str">
            <v>CO</v>
          </cell>
          <cell r="F320">
            <v>42279</v>
          </cell>
          <cell r="G320">
            <v>42208</v>
          </cell>
          <cell r="H320">
            <v>49512</v>
          </cell>
          <cell r="I320" t="str">
            <v>19 years, 11 months, 29 days</v>
          </cell>
          <cell r="J320" t="str">
            <v>Renewables</v>
          </cell>
          <cell r="K320" t="str">
            <v>Solar (Rooftop)</v>
          </cell>
          <cell r="L320" t="str">
            <v>Solar</v>
          </cell>
          <cell r="M320" t="str">
            <v>Dx</v>
          </cell>
          <cell r="N320" t="str">
            <v>Toronto</v>
          </cell>
          <cell r="O320" t="str">
            <v>Toronto</v>
          </cell>
          <cell r="P320" t="str">
            <v>Toronto</v>
          </cell>
        </row>
        <row r="321">
          <cell r="C321" t="str">
            <v>Jessie's Quality Services Solar</v>
          </cell>
          <cell r="D321" t="str">
            <v>2466316 Ontario Inc.</v>
          </cell>
          <cell r="E321" t="str">
            <v>CO</v>
          </cell>
          <cell r="F321">
            <v>41825</v>
          </cell>
          <cell r="G321">
            <v>41366</v>
          </cell>
          <cell r="H321">
            <v>48670</v>
          </cell>
          <cell r="I321" t="str">
            <v>19 years, 11 months, 30 days</v>
          </cell>
          <cell r="J321" t="str">
            <v>Renewables</v>
          </cell>
          <cell r="K321" t="str">
            <v>Solar (Rooftop)</v>
          </cell>
          <cell r="L321" t="str">
            <v>Solar</v>
          </cell>
          <cell r="M321" t="str">
            <v>Dx</v>
          </cell>
          <cell r="N321" t="str">
            <v>Elliot Lake</v>
          </cell>
          <cell r="O321" t="str">
            <v>Algoma</v>
          </cell>
          <cell r="P321" t="str">
            <v>Northeast</v>
          </cell>
        </row>
        <row r="322">
          <cell r="C322" t="str">
            <v>1081 Meyerside</v>
          </cell>
          <cell r="D322" t="str">
            <v>ASI SPE 108 Inc.</v>
          </cell>
          <cell r="E322" t="str">
            <v>CO</v>
          </cell>
          <cell r="F322">
            <v>41804</v>
          </cell>
          <cell r="G322">
            <v>41976</v>
          </cell>
          <cell r="H322">
            <v>49108</v>
          </cell>
          <cell r="I322" t="str">
            <v>19 years, 6 months, 10 days</v>
          </cell>
          <cell r="J322" t="str">
            <v>Renewables</v>
          </cell>
          <cell r="K322" t="str">
            <v>Solar (Rooftop)</v>
          </cell>
          <cell r="L322" t="str">
            <v>Solar</v>
          </cell>
          <cell r="M322" t="str">
            <v>Dx</v>
          </cell>
          <cell r="N322" t="str">
            <v>Brampton</v>
          </cell>
          <cell r="O322" t="str">
            <v>Peel</v>
          </cell>
          <cell r="P322" t="str">
            <v>Toronto</v>
          </cell>
        </row>
        <row r="323">
          <cell r="C323" t="str">
            <v>TrackCorpCanada</v>
          </cell>
          <cell r="D323" t="str">
            <v>2191262 Ontario Inc.</v>
          </cell>
          <cell r="E323" t="str">
            <v>CO</v>
          </cell>
          <cell r="F323">
            <v>41790</v>
          </cell>
          <cell r="G323">
            <v>41443</v>
          </cell>
          <cell r="H323">
            <v>48747</v>
          </cell>
          <cell r="I323" t="str">
            <v>19 years, 11 months, 30 days</v>
          </cell>
          <cell r="J323" t="str">
            <v>Renewables</v>
          </cell>
          <cell r="K323" t="str">
            <v>Solar (Rooftop)</v>
          </cell>
          <cell r="L323" t="str">
            <v>Solar</v>
          </cell>
          <cell r="M323" t="str">
            <v>Dx</v>
          </cell>
          <cell r="N323" t="str">
            <v>Calabogie</v>
          </cell>
          <cell r="O323" t="str">
            <v>Renfrew</v>
          </cell>
          <cell r="P323" t="str">
            <v>East</v>
          </cell>
        </row>
        <row r="324">
          <cell r="C324" t="str">
            <v>H06-2911 EGLINTON</v>
          </cell>
          <cell r="D324" t="str">
            <v>PSI Solar Finance 1 Limited Partnership</v>
          </cell>
          <cell r="E324" t="str">
            <v>CO</v>
          </cell>
          <cell r="F324">
            <v>41722</v>
          </cell>
          <cell r="G324">
            <v>41876</v>
          </cell>
          <cell r="H324">
            <v>49026</v>
          </cell>
          <cell r="I324" t="str">
            <v>19 years, 6 months, 26 days</v>
          </cell>
          <cell r="J324" t="str">
            <v>Renewables</v>
          </cell>
          <cell r="K324" t="str">
            <v>Solar (Rooftop)</v>
          </cell>
          <cell r="L324" t="str">
            <v>Solar</v>
          </cell>
          <cell r="M324" t="str">
            <v>Dx</v>
          </cell>
          <cell r="N324" t="str">
            <v>Toronto</v>
          </cell>
          <cell r="O324" t="str">
            <v>Toronto</v>
          </cell>
          <cell r="P324" t="str">
            <v>Toronto</v>
          </cell>
        </row>
        <row r="325">
          <cell r="C325" t="str">
            <v>Northland Power Solar Rideau Lakes</v>
          </cell>
          <cell r="D325" t="str">
            <v>Northland Power Solar Rideau Lakes L.P.</v>
          </cell>
          <cell r="E325" t="str">
            <v>CO</v>
          </cell>
          <cell r="F325">
            <v>41324</v>
          </cell>
          <cell r="G325">
            <v>41446</v>
          </cell>
          <cell r="H325">
            <v>48750</v>
          </cell>
          <cell r="I325" t="str">
            <v>19 years, 11 months, 30 days</v>
          </cell>
          <cell r="J325" t="str">
            <v>Renewables</v>
          </cell>
          <cell r="K325" t="str">
            <v>Solar (Ground Mounted)</v>
          </cell>
          <cell r="L325" t="str">
            <v>Solar</v>
          </cell>
          <cell r="M325" t="str">
            <v>Dx</v>
          </cell>
          <cell r="N325" t="str">
            <v>Portland</v>
          </cell>
          <cell r="O325" t="str">
            <v>Leeds and Grenville</v>
          </cell>
          <cell r="P325" t="str">
            <v>East</v>
          </cell>
        </row>
        <row r="326">
          <cell r="C326" t="str">
            <v>(C8) Loblaws Bullock Drive</v>
          </cell>
          <cell r="D326" t="str">
            <v>Firelight Solar LP</v>
          </cell>
          <cell r="E326" t="str">
            <v>CO</v>
          </cell>
          <cell r="F326">
            <v>41724</v>
          </cell>
          <cell r="G326">
            <v>41529</v>
          </cell>
          <cell r="H326">
            <v>48833</v>
          </cell>
          <cell r="I326" t="str">
            <v>19 years, 11 months, 30 days</v>
          </cell>
          <cell r="J326" t="str">
            <v>Renewables</v>
          </cell>
          <cell r="K326" t="str">
            <v>Solar (Rooftop)</v>
          </cell>
          <cell r="L326" t="str">
            <v>Solar</v>
          </cell>
          <cell r="M326" t="str">
            <v>Dx</v>
          </cell>
          <cell r="N326" t="str">
            <v>Markham</v>
          </cell>
          <cell r="O326" t="str">
            <v>York</v>
          </cell>
          <cell r="P326" t="str">
            <v>Toronto</v>
          </cell>
        </row>
        <row r="327">
          <cell r="C327" t="str">
            <v>WhiteOak Solar</v>
          </cell>
          <cell r="D327" t="str">
            <v>London Hydro Inc.</v>
          </cell>
          <cell r="E327" t="str">
            <v>CO</v>
          </cell>
          <cell r="F327">
            <v>41820</v>
          </cell>
          <cell r="G327">
            <v>41191</v>
          </cell>
          <cell r="H327">
            <v>48495</v>
          </cell>
          <cell r="I327" t="str">
            <v>19 years, 11 months, 29 days</v>
          </cell>
          <cell r="J327" t="str">
            <v>Renewables</v>
          </cell>
          <cell r="K327" t="str">
            <v>Solar (Rooftop)</v>
          </cell>
          <cell r="L327" t="str">
            <v>Solar</v>
          </cell>
          <cell r="M327" t="str">
            <v>Dx</v>
          </cell>
          <cell r="N327" t="str">
            <v>London</v>
          </cell>
          <cell r="O327" t="str">
            <v>Middlesex</v>
          </cell>
          <cell r="P327" t="str">
            <v>West</v>
          </cell>
        </row>
        <row r="328">
          <cell r="C328" t="str">
            <v>Lewis Farm A</v>
          </cell>
          <cell r="D328" t="str">
            <v>1455029 Ontario Limited</v>
          </cell>
          <cell r="E328" t="str">
            <v>CO</v>
          </cell>
          <cell r="F328">
            <v>41029</v>
          </cell>
          <cell r="G328">
            <v>40774</v>
          </cell>
          <cell r="H328">
            <v>48078</v>
          </cell>
          <cell r="I328" t="str">
            <v>19 years, 11 months, 30 days</v>
          </cell>
          <cell r="J328" t="str">
            <v>Renewables</v>
          </cell>
          <cell r="K328" t="str">
            <v>Solar (Rooftop)</v>
          </cell>
          <cell r="L328" t="str">
            <v>Solar</v>
          </cell>
          <cell r="M328" t="str">
            <v>Dx</v>
          </cell>
          <cell r="N328" t="str">
            <v>Lucan</v>
          </cell>
          <cell r="O328" t="str">
            <v>Middlesex</v>
          </cell>
          <cell r="P328" t="str">
            <v>Southwest</v>
          </cell>
        </row>
        <row r="329">
          <cell r="C329" t="str">
            <v>DTFarm</v>
          </cell>
          <cell r="D329" t="str">
            <v>John F. C. Dove</v>
          </cell>
          <cell r="E329" t="str">
            <v>CO</v>
          </cell>
          <cell r="F329">
            <v>41806</v>
          </cell>
          <cell r="G329">
            <v>41526</v>
          </cell>
          <cell r="H329">
            <v>48830</v>
          </cell>
          <cell r="I329" t="str">
            <v>19 years, 11 months, 30 days</v>
          </cell>
          <cell r="J329" t="str">
            <v>Renewables</v>
          </cell>
          <cell r="K329" t="str">
            <v>Solar (Ground Mounted)</v>
          </cell>
          <cell r="L329" t="str">
            <v>Solar</v>
          </cell>
          <cell r="M329" t="str">
            <v>Dx</v>
          </cell>
          <cell r="N329" t="str">
            <v>Dryden</v>
          </cell>
          <cell r="O329" t="str">
            <v>Kenora</v>
          </cell>
          <cell r="P329" t="str">
            <v>Northwest</v>
          </cell>
        </row>
        <row r="330">
          <cell r="C330" t="str">
            <v>SunE Rutley</v>
          </cell>
          <cell r="D330" t="str">
            <v>SunE Rutley LP</v>
          </cell>
          <cell r="E330" t="str">
            <v>CO</v>
          </cell>
          <cell r="F330">
            <v>41005</v>
          </cell>
          <cell r="G330">
            <v>40962</v>
          </cell>
          <cell r="H330">
            <v>48266</v>
          </cell>
          <cell r="I330" t="str">
            <v>19 years, 11 months, 30 days</v>
          </cell>
          <cell r="J330" t="str">
            <v>Renewables</v>
          </cell>
          <cell r="K330" t="str">
            <v>Solar (Ground Mounted)</v>
          </cell>
          <cell r="L330" t="str">
            <v>Solar</v>
          </cell>
          <cell r="M330" t="str">
            <v>Dx</v>
          </cell>
          <cell r="N330" t="str">
            <v>Ingleside</v>
          </cell>
          <cell r="O330" t="str">
            <v>Stormont, Dundas and Glengarry</v>
          </cell>
          <cell r="P330" t="str">
            <v>East</v>
          </cell>
        </row>
        <row r="331">
          <cell r="C331" t="str">
            <v>(O3) One President's Choice Circle</v>
          </cell>
          <cell r="D331" t="str">
            <v>Firelight Solar LP</v>
          </cell>
          <cell r="E331" t="str">
            <v>CO</v>
          </cell>
          <cell r="F331">
            <v>41710</v>
          </cell>
          <cell r="G331">
            <v>41781</v>
          </cell>
          <cell r="H331">
            <v>49085</v>
          </cell>
          <cell r="I331" t="str">
            <v>19 years, 11 months, 29 days</v>
          </cell>
          <cell r="J331" t="str">
            <v>Renewables</v>
          </cell>
          <cell r="K331" t="str">
            <v>Solar (Rooftop)</v>
          </cell>
          <cell r="L331" t="str">
            <v>Solar</v>
          </cell>
          <cell r="M331" t="str">
            <v>Dx</v>
          </cell>
          <cell r="N331" t="str">
            <v>Brampton</v>
          </cell>
          <cell r="O331" t="str">
            <v>Peel</v>
          </cell>
          <cell r="P331" t="str">
            <v>Toronto</v>
          </cell>
        </row>
        <row r="332">
          <cell r="C332" t="str">
            <v>HAF Energy</v>
          </cell>
          <cell r="D332" t="str">
            <v>Vineland Power Inc.</v>
          </cell>
          <cell r="E332" t="str">
            <v>CO</v>
          </cell>
          <cell r="F332">
            <v>41788</v>
          </cell>
          <cell r="G332">
            <v>41815</v>
          </cell>
          <cell r="H332">
            <v>49092</v>
          </cell>
          <cell r="I332" t="str">
            <v>19 years, 11 months, 3 days</v>
          </cell>
          <cell r="J332" t="str">
            <v>Renewables</v>
          </cell>
          <cell r="K332" t="str">
            <v>Wind (On-Shore)</v>
          </cell>
          <cell r="L332" t="str">
            <v>Wind</v>
          </cell>
          <cell r="M332" t="str">
            <v>Dx</v>
          </cell>
          <cell r="N332" t="str">
            <v>Caistor Centre</v>
          </cell>
          <cell r="O332" t="str">
            <v>Niagara</v>
          </cell>
          <cell r="P332" t="str">
            <v>Niagara</v>
          </cell>
        </row>
        <row r="333">
          <cell r="C333" t="str">
            <v>358 - 360 Ontario Street</v>
          </cell>
          <cell r="D333" t="str">
            <v>Community Solar Assets 1 Ltd.</v>
          </cell>
          <cell r="E333" t="str">
            <v>CO</v>
          </cell>
          <cell r="F333">
            <v>41820</v>
          </cell>
          <cell r="G333">
            <v>41227</v>
          </cell>
          <cell r="H333">
            <v>48531</v>
          </cell>
          <cell r="I333" t="str">
            <v>19 years, 11 months, 30 days</v>
          </cell>
          <cell r="J333" t="str">
            <v>Renewables</v>
          </cell>
          <cell r="K333" t="str">
            <v>Solar (Rooftop)</v>
          </cell>
          <cell r="L333" t="str">
            <v>Solar</v>
          </cell>
          <cell r="M333" t="str">
            <v>Dx</v>
          </cell>
          <cell r="N333" t="str">
            <v>St. Catharines</v>
          </cell>
          <cell r="O333" t="str">
            <v>Niagara</v>
          </cell>
          <cell r="P333" t="str">
            <v>Niagara</v>
          </cell>
        </row>
        <row r="334">
          <cell r="C334" t="str">
            <v>All Weather Farmers Inc. Barn</v>
          </cell>
          <cell r="D334" t="str">
            <v>All Weather Farming Inc.</v>
          </cell>
          <cell r="E334" t="str">
            <v>CO</v>
          </cell>
          <cell r="F334">
            <v>41029</v>
          </cell>
          <cell r="G334">
            <v>40899</v>
          </cell>
          <cell r="H334">
            <v>48203</v>
          </cell>
          <cell r="I334" t="str">
            <v>19 years, 11 months, 29 days</v>
          </cell>
          <cell r="J334" t="str">
            <v>Renewables</v>
          </cell>
          <cell r="K334" t="str">
            <v>Solar (Rooftop)</v>
          </cell>
          <cell r="L334" t="str">
            <v>Solar</v>
          </cell>
          <cell r="M334" t="str">
            <v>Dx</v>
          </cell>
          <cell r="N334" t="str">
            <v>Simcoe</v>
          </cell>
          <cell r="O334" t="str">
            <v>Norfolk</v>
          </cell>
          <cell r="P334" t="str">
            <v>Southwest</v>
          </cell>
        </row>
        <row r="335">
          <cell r="C335" t="str">
            <v>150 Toro Road</v>
          </cell>
          <cell r="D335" t="str">
            <v>Sunny Day Energy Inc.</v>
          </cell>
          <cell r="E335" t="str">
            <v>CO</v>
          </cell>
          <cell r="F335">
            <v>41834</v>
          </cell>
          <cell r="G335">
            <v>41838</v>
          </cell>
          <cell r="H335">
            <v>49142</v>
          </cell>
          <cell r="I335" t="str">
            <v>19 years, 11 months, 29 days</v>
          </cell>
          <cell r="J335" t="str">
            <v>Renewables</v>
          </cell>
          <cell r="K335" t="str">
            <v>Solar (Rooftop)</v>
          </cell>
          <cell r="L335" t="str">
            <v>Solar</v>
          </cell>
          <cell r="M335" t="str">
            <v>Dx</v>
          </cell>
          <cell r="N335" t="str">
            <v>Toronto</v>
          </cell>
          <cell r="O335" t="str">
            <v>Toronto</v>
          </cell>
          <cell r="P335" t="str">
            <v>Toronto</v>
          </cell>
        </row>
        <row r="336">
          <cell r="C336" t="str">
            <v>H06-600 KING</v>
          </cell>
          <cell r="D336" t="str">
            <v>PSI Solar Finance 1 Limited Partnership</v>
          </cell>
          <cell r="E336" t="str">
            <v>CO</v>
          </cell>
          <cell r="F336">
            <v>41807</v>
          </cell>
          <cell r="G336">
            <v>41765</v>
          </cell>
          <cell r="H336">
            <v>49069</v>
          </cell>
          <cell r="I336" t="str">
            <v>19 years, 11 months, 29 days</v>
          </cell>
          <cell r="J336" t="str">
            <v>Renewables</v>
          </cell>
          <cell r="K336" t="str">
            <v>Solar (Rooftop)</v>
          </cell>
          <cell r="L336" t="str">
            <v>Solar</v>
          </cell>
          <cell r="M336" t="str">
            <v>Dx</v>
          </cell>
          <cell r="N336" t="str">
            <v>Waterloo</v>
          </cell>
          <cell r="O336" t="str">
            <v>Waterloo</v>
          </cell>
          <cell r="P336" t="str">
            <v>Southwest</v>
          </cell>
        </row>
        <row r="337">
          <cell r="C337" t="str">
            <v>CanFirst - Markham (90 Nolan Court)</v>
          </cell>
          <cell r="D337" t="str">
            <v>Firelight Solar LP</v>
          </cell>
          <cell r="E337" t="str">
            <v>CO</v>
          </cell>
          <cell r="F337">
            <v>41463</v>
          </cell>
          <cell r="G337">
            <v>40948</v>
          </cell>
          <cell r="H337">
            <v>48252</v>
          </cell>
          <cell r="I337" t="str">
            <v>19 years, 11 months, 30 days</v>
          </cell>
          <cell r="J337" t="str">
            <v>Renewables</v>
          </cell>
          <cell r="K337" t="str">
            <v>Solar (Rooftop)</v>
          </cell>
          <cell r="L337" t="str">
            <v>Solar</v>
          </cell>
          <cell r="M337" t="str">
            <v>Dx</v>
          </cell>
          <cell r="N337" t="str">
            <v>Markham</v>
          </cell>
          <cell r="O337" t="str">
            <v>York</v>
          </cell>
          <cell r="P337" t="str">
            <v>Toronto</v>
          </cell>
        </row>
        <row r="338">
          <cell r="C338" t="str">
            <v>Atlantic Packaging - 5711 Atlantic Dr</v>
          </cell>
          <cell r="D338" t="str">
            <v>Atlantic Packaging Products Ltd.</v>
          </cell>
          <cell r="E338" t="str">
            <v>CO</v>
          </cell>
          <cell r="F338">
            <v>41695</v>
          </cell>
          <cell r="G338">
            <v>41239</v>
          </cell>
          <cell r="H338">
            <v>48543</v>
          </cell>
          <cell r="I338" t="str">
            <v>19 years, 11 months, 30 days</v>
          </cell>
          <cell r="J338" t="str">
            <v>Renewables</v>
          </cell>
          <cell r="K338" t="str">
            <v>Solar (Rooftop)</v>
          </cell>
          <cell r="L338" t="str">
            <v>Solar</v>
          </cell>
          <cell r="M338" t="str">
            <v>Dx</v>
          </cell>
          <cell r="N338" t="str">
            <v>Mississauga</v>
          </cell>
          <cell r="O338" t="str">
            <v>Peel</v>
          </cell>
          <cell r="P338" t="str">
            <v>Toronto</v>
          </cell>
        </row>
        <row r="339">
          <cell r="C339" t="str">
            <v>171 Front St</v>
          </cell>
          <cell r="D339" t="str">
            <v>Toronto Community Housing Corporation Inc.</v>
          </cell>
          <cell r="E339" t="str">
            <v>CO</v>
          </cell>
          <cell r="F339">
            <v>41715</v>
          </cell>
          <cell r="G339">
            <v>40997</v>
          </cell>
          <cell r="H339">
            <v>48301</v>
          </cell>
          <cell r="I339" t="str">
            <v>19 years, 11 months, 28 days</v>
          </cell>
          <cell r="J339" t="str">
            <v>Renewables</v>
          </cell>
          <cell r="K339" t="str">
            <v>Solar (Rooftop)</v>
          </cell>
          <cell r="L339" t="str">
            <v>Solar</v>
          </cell>
          <cell r="M339" t="str">
            <v>Dx</v>
          </cell>
          <cell r="N339" t="str">
            <v>Toronto</v>
          </cell>
          <cell r="O339" t="str">
            <v>Toronto</v>
          </cell>
          <cell r="P339" t="str">
            <v>Toronto</v>
          </cell>
        </row>
        <row r="340">
          <cell r="C340" t="str">
            <v>Haemmerli Solar</v>
          </cell>
          <cell r="D340" t="str">
            <v>Hans Haemmerli and Edith Haemmerli</v>
          </cell>
          <cell r="E340" t="str">
            <v>CO</v>
          </cell>
          <cell r="F340">
            <v>41512</v>
          </cell>
          <cell r="G340">
            <v>41115</v>
          </cell>
          <cell r="H340">
            <v>48419</v>
          </cell>
          <cell r="I340" t="str">
            <v>19 years, 11 months, 29 days</v>
          </cell>
          <cell r="J340" t="str">
            <v>Renewables</v>
          </cell>
          <cell r="K340" t="str">
            <v>Solar (Rooftop)</v>
          </cell>
          <cell r="L340" t="str">
            <v>Solar</v>
          </cell>
          <cell r="M340" t="str">
            <v>Dx</v>
          </cell>
          <cell r="N340" t="str">
            <v>Mitchell</v>
          </cell>
          <cell r="O340" t="str">
            <v>Perth</v>
          </cell>
          <cell r="P340" t="str">
            <v>Southwest</v>
          </cell>
        </row>
        <row r="341">
          <cell r="C341" t="str">
            <v>Milal</v>
          </cell>
          <cell r="D341" t="str">
            <v>Alectra Utilities Corporation</v>
          </cell>
          <cell r="E341" t="str">
            <v>CO</v>
          </cell>
          <cell r="F341">
            <v>41813</v>
          </cell>
          <cell r="G341">
            <v>41242</v>
          </cell>
          <cell r="H341">
            <v>48546</v>
          </cell>
          <cell r="I341" t="str">
            <v>19 years, 11 months, 30 days</v>
          </cell>
          <cell r="J341" t="str">
            <v>Renewables</v>
          </cell>
          <cell r="K341" t="str">
            <v>Solar (Rooftop)</v>
          </cell>
          <cell r="L341" t="str">
            <v>Solar</v>
          </cell>
          <cell r="M341" t="str">
            <v>Dx</v>
          </cell>
          <cell r="N341" t="str">
            <v>Toronto</v>
          </cell>
          <cell r="O341" t="str">
            <v>Toronto</v>
          </cell>
          <cell r="P341" t="str">
            <v>Toronto</v>
          </cell>
        </row>
        <row r="342">
          <cell r="C342" t="str">
            <v>(C7) Real Canadian Superstore Argentia Road</v>
          </cell>
          <cell r="D342" t="str">
            <v>Firelight Solar LP</v>
          </cell>
          <cell r="E342" t="str">
            <v>CO</v>
          </cell>
          <cell r="F342">
            <v>41737</v>
          </cell>
          <cell r="G342">
            <v>41382</v>
          </cell>
          <cell r="H342">
            <v>48686</v>
          </cell>
          <cell r="I342" t="str">
            <v>19 years, 11 months, 30 days</v>
          </cell>
          <cell r="J342" t="str">
            <v>Renewables</v>
          </cell>
          <cell r="K342" t="str">
            <v>Solar (Rooftop)</v>
          </cell>
          <cell r="L342" t="str">
            <v>Solar</v>
          </cell>
          <cell r="M342" t="str">
            <v>Dx</v>
          </cell>
          <cell r="N342" t="str">
            <v>Mississauga</v>
          </cell>
          <cell r="O342" t="str">
            <v>Peel</v>
          </cell>
          <cell r="P342" t="str">
            <v>Southwest</v>
          </cell>
        </row>
        <row r="343">
          <cell r="C343" t="str">
            <v>810 Blackburn Mews</v>
          </cell>
          <cell r="D343" t="str">
            <v>Jay Patry Enterprises Inc.</v>
          </cell>
          <cell r="E343" t="str">
            <v>CO</v>
          </cell>
          <cell r="F343">
            <v>41825</v>
          </cell>
          <cell r="G343">
            <v>41984</v>
          </cell>
          <cell r="H343">
            <v>49288</v>
          </cell>
          <cell r="I343" t="str">
            <v>19 years, 11 months, 29 days</v>
          </cell>
          <cell r="J343" t="str">
            <v>Renewables</v>
          </cell>
          <cell r="K343" t="str">
            <v>Solar (Rooftop)</v>
          </cell>
          <cell r="L343" t="str">
            <v>Solar</v>
          </cell>
          <cell r="M343" t="str">
            <v>Dx</v>
          </cell>
          <cell r="N343" t="str">
            <v>Kingston</v>
          </cell>
          <cell r="O343" t="str">
            <v>Frontenac</v>
          </cell>
          <cell r="P343" t="str">
            <v>East</v>
          </cell>
        </row>
        <row r="344">
          <cell r="C344" t="str">
            <v>4100 Garden St Whitby</v>
          </cell>
          <cell r="D344" t="str">
            <v>MOM Solar Limited Partnership</v>
          </cell>
          <cell r="E344" t="str">
            <v>CO</v>
          </cell>
          <cell r="F344">
            <v>41029</v>
          </cell>
          <cell r="G344">
            <v>41206</v>
          </cell>
          <cell r="H344">
            <v>48510</v>
          </cell>
          <cell r="I344" t="str">
            <v>19 years, 11 months, 29 days</v>
          </cell>
          <cell r="J344" t="str">
            <v>Renewables</v>
          </cell>
          <cell r="K344" t="str">
            <v>Solar (Rooftop)</v>
          </cell>
          <cell r="L344" t="str">
            <v>Solar</v>
          </cell>
          <cell r="M344" t="str">
            <v>Dx</v>
          </cell>
          <cell r="N344" t="str">
            <v>Whitby</v>
          </cell>
          <cell r="O344" t="str">
            <v>Durham</v>
          </cell>
          <cell r="P344" t="str">
            <v>Toronto</v>
          </cell>
        </row>
        <row r="345">
          <cell r="C345" t="str">
            <v>PowerStream 2010-120</v>
          </cell>
          <cell r="D345" t="str">
            <v>Alectra Utilities Corporation</v>
          </cell>
          <cell r="E345" t="str">
            <v>CO</v>
          </cell>
          <cell r="F345">
            <v>41826</v>
          </cell>
          <cell r="G345">
            <v>41246</v>
          </cell>
          <cell r="H345">
            <v>48550</v>
          </cell>
          <cell r="I345" t="str">
            <v>19 years, 11 months, 29 days</v>
          </cell>
          <cell r="J345" t="str">
            <v>Renewables</v>
          </cell>
          <cell r="K345" t="str">
            <v>Solar (Rooftop)</v>
          </cell>
          <cell r="L345" t="str">
            <v>Solar</v>
          </cell>
          <cell r="M345" t="str">
            <v>Dx</v>
          </cell>
          <cell r="N345" t="str">
            <v>Thornhill</v>
          </cell>
          <cell r="O345" t="str">
            <v>York</v>
          </cell>
          <cell r="P345" t="str">
            <v>Toronto</v>
          </cell>
        </row>
        <row r="346">
          <cell r="C346" t="str">
            <v>Rohrer Solar</v>
          </cell>
          <cell r="D346" t="str">
            <v>Mark Rohrer</v>
          </cell>
          <cell r="E346" t="str">
            <v>CO</v>
          </cell>
          <cell r="F346">
            <v>41806</v>
          </cell>
          <cell r="G346">
            <v>41293</v>
          </cell>
          <cell r="H346">
            <v>48597</v>
          </cell>
          <cell r="I346" t="str">
            <v>19 years, 11 months, 30 days</v>
          </cell>
          <cell r="J346" t="str">
            <v>Renewables</v>
          </cell>
          <cell r="K346" t="str">
            <v>Solar (Rooftop)</v>
          </cell>
          <cell r="L346" t="str">
            <v>Solar</v>
          </cell>
          <cell r="M346" t="str">
            <v>Dx</v>
          </cell>
          <cell r="N346" t="str">
            <v>Harriston</v>
          </cell>
          <cell r="O346" t="str">
            <v>Wellington</v>
          </cell>
          <cell r="P346" t="str">
            <v>Southwest</v>
          </cell>
        </row>
        <row r="347">
          <cell r="C347" t="str">
            <v>Aecon Cambridge Solar</v>
          </cell>
          <cell r="D347" t="str">
            <v>Aecon Industrial, a division of Aecon Construction</v>
          </cell>
          <cell r="E347" t="str">
            <v>CO</v>
          </cell>
          <cell r="F347">
            <v>41029</v>
          </cell>
          <cell r="G347">
            <v>40682</v>
          </cell>
          <cell r="H347">
            <v>47986</v>
          </cell>
          <cell r="I347" t="str">
            <v>19 years, 11 months, 29 days</v>
          </cell>
          <cell r="J347" t="str">
            <v>Renewables</v>
          </cell>
          <cell r="K347" t="str">
            <v>Solar (Rooftop)</v>
          </cell>
          <cell r="L347" t="str">
            <v>Solar</v>
          </cell>
          <cell r="M347" t="str">
            <v>Dx</v>
          </cell>
          <cell r="N347" t="str">
            <v>Cambridge</v>
          </cell>
          <cell r="O347" t="str">
            <v>Waterloo</v>
          </cell>
          <cell r="P347" t="str">
            <v>Southwest</v>
          </cell>
        </row>
        <row r="348">
          <cell r="C348" t="str">
            <v>Grimsby Bioreactor Project</v>
          </cell>
          <cell r="D348" t="str">
            <v>1414229 Ontario Limited</v>
          </cell>
          <cell r="E348" t="str">
            <v>CO</v>
          </cell>
          <cell r="F348">
            <v>41752</v>
          </cell>
          <cell r="G348">
            <v>42333</v>
          </cell>
          <cell r="H348">
            <v>49056</v>
          </cell>
          <cell r="I348" t="str">
            <v>18 years, 4 months, 28 days</v>
          </cell>
          <cell r="J348" t="str">
            <v>Renewables</v>
          </cell>
          <cell r="K348" t="str">
            <v>Bioenergy</v>
          </cell>
          <cell r="L348" t="str">
            <v>Biogas</v>
          </cell>
          <cell r="M348" t="str">
            <v>Dx</v>
          </cell>
          <cell r="N348" t="str">
            <v>Grimsby</v>
          </cell>
          <cell r="O348" t="str">
            <v>Niagara</v>
          </cell>
          <cell r="P348" t="str">
            <v>Niagara</v>
          </cell>
        </row>
        <row r="349">
          <cell r="C349" t="str">
            <v>A10-3670-3680 Victoria Park</v>
          </cell>
          <cell r="D349" t="str">
            <v>Fengate (FGDI) Limited Partnership</v>
          </cell>
          <cell r="E349" t="str">
            <v>CO</v>
          </cell>
          <cell r="F349">
            <v>41818</v>
          </cell>
          <cell r="G349">
            <v>42041</v>
          </cell>
          <cell r="H349">
            <v>49345</v>
          </cell>
          <cell r="I349" t="str">
            <v>19 years, 11 months, 30 days</v>
          </cell>
          <cell r="J349" t="str">
            <v>Renewables</v>
          </cell>
          <cell r="K349" t="str">
            <v>Solar (Rooftop)</v>
          </cell>
          <cell r="L349" t="str">
            <v>Solar</v>
          </cell>
          <cell r="M349" t="str">
            <v>Dx</v>
          </cell>
          <cell r="N349" t="str">
            <v>Toronto</v>
          </cell>
          <cell r="O349" t="str">
            <v>Toronto</v>
          </cell>
          <cell r="P349" t="str">
            <v>Toronto</v>
          </cell>
        </row>
        <row r="350">
          <cell r="C350" t="str">
            <v>Hislop Roof</v>
          </cell>
          <cell r="D350" t="str">
            <v>883 999 Ontario Inc.</v>
          </cell>
          <cell r="E350" t="str">
            <v>CO</v>
          </cell>
          <cell r="F350">
            <v>41804</v>
          </cell>
          <cell r="G350">
            <v>41094</v>
          </cell>
          <cell r="H350">
            <v>48398</v>
          </cell>
          <cell r="I350" t="str">
            <v>19 years, 11 months, 29 days</v>
          </cell>
          <cell r="J350" t="str">
            <v>Renewables</v>
          </cell>
          <cell r="K350" t="str">
            <v>Solar (Rooftop)</v>
          </cell>
          <cell r="L350" t="str">
            <v>Solar</v>
          </cell>
          <cell r="M350" t="str">
            <v>Dx</v>
          </cell>
          <cell r="N350" t="str">
            <v>Stratford</v>
          </cell>
          <cell r="O350" t="str">
            <v>Perth</v>
          </cell>
          <cell r="P350" t="str">
            <v>Southwest</v>
          </cell>
        </row>
        <row r="351">
          <cell r="C351" t="str">
            <v>CK Biogas</v>
          </cell>
          <cell r="D351" t="str">
            <v>Entegrus Powerlines Inc.</v>
          </cell>
          <cell r="E351" t="str">
            <v>CO</v>
          </cell>
          <cell r="F351">
            <v>41595</v>
          </cell>
          <cell r="G351">
            <v>41555</v>
          </cell>
          <cell r="H351">
            <v>48859</v>
          </cell>
          <cell r="I351" t="str">
            <v>19 years, 11 months, 29 days</v>
          </cell>
          <cell r="J351" t="str">
            <v>Renewables</v>
          </cell>
          <cell r="K351" t="str">
            <v>Bioenergy</v>
          </cell>
          <cell r="L351" t="str">
            <v>Biogas</v>
          </cell>
          <cell r="M351" t="str">
            <v>Dx</v>
          </cell>
          <cell r="N351" t="str">
            <v>Chatham</v>
          </cell>
          <cell r="O351" t="str">
            <v>Chatham-Kent</v>
          </cell>
          <cell r="P351" t="str">
            <v>West</v>
          </cell>
        </row>
        <row r="352">
          <cell r="C352" t="str">
            <v>T04-25 Crouse</v>
          </cell>
          <cell r="D352" t="str">
            <v>Alectra Utilities Corporation</v>
          </cell>
          <cell r="E352" t="str">
            <v>CO</v>
          </cell>
          <cell r="F352">
            <v>41729</v>
          </cell>
          <cell r="G352">
            <v>41908</v>
          </cell>
          <cell r="H352">
            <v>49212</v>
          </cell>
          <cell r="I352" t="str">
            <v>19 years, 11 months, 30 days</v>
          </cell>
          <cell r="J352" t="str">
            <v>Renewables</v>
          </cell>
          <cell r="K352" t="str">
            <v>Solar (Rooftop)</v>
          </cell>
          <cell r="L352" t="str">
            <v>Solar</v>
          </cell>
          <cell r="M352" t="str">
            <v>Dx</v>
          </cell>
          <cell r="N352" t="str">
            <v>Toronto</v>
          </cell>
          <cell r="O352" t="str">
            <v>Toronto</v>
          </cell>
          <cell r="P352" t="str">
            <v>Toronto</v>
          </cell>
        </row>
        <row r="353">
          <cell r="C353" t="str">
            <v>Civic Complex Solar</v>
          </cell>
          <cell r="D353" t="str">
            <v>2252112 Ontario Inc.</v>
          </cell>
          <cell r="E353" t="str">
            <v>CO</v>
          </cell>
          <cell r="F353">
            <v>41827</v>
          </cell>
          <cell r="G353">
            <v>41088</v>
          </cell>
          <cell r="H353">
            <v>48392</v>
          </cell>
          <cell r="I353" t="str">
            <v>19 years, 11 months, 30 days</v>
          </cell>
          <cell r="J353" t="str">
            <v>Renewables</v>
          </cell>
          <cell r="K353" t="str">
            <v>Solar (Rooftop)</v>
          </cell>
          <cell r="L353" t="str">
            <v>Solar</v>
          </cell>
          <cell r="M353" t="str">
            <v>Dx</v>
          </cell>
          <cell r="N353" t="str">
            <v>Oshawa</v>
          </cell>
          <cell r="O353" t="str">
            <v>Durham</v>
          </cell>
          <cell r="P353" t="str">
            <v>Toronto</v>
          </cell>
        </row>
        <row r="354">
          <cell r="C354" t="str">
            <v>K04-1210 Birchmount</v>
          </cell>
          <cell r="D354" t="str">
            <v>Sky Solar (Canada) FIT 1 Limited Partnership</v>
          </cell>
          <cell r="E354" t="str">
            <v>CO</v>
          </cell>
          <cell r="F354">
            <v>41722</v>
          </cell>
          <cell r="G354">
            <v>41891</v>
          </cell>
          <cell r="H354">
            <v>49195</v>
          </cell>
          <cell r="I354" t="str">
            <v>19 years, 11 months, 30 days</v>
          </cell>
          <cell r="J354" t="str">
            <v>Renewables</v>
          </cell>
          <cell r="K354" t="str">
            <v>Solar (Rooftop)</v>
          </cell>
          <cell r="L354" t="str">
            <v>Solar</v>
          </cell>
          <cell r="M354" t="str">
            <v>Dx</v>
          </cell>
          <cell r="N354" t="str">
            <v>Toronto</v>
          </cell>
          <cell r="O354" t="str">
            <v>Toronto</v>
          </cell>
          <cell r="P354" t="str">
            <v>Toronto</v>
          </cell>
        </row>
        <row r="355">
          <cell r="C355" t="str">
            <v>Longueil TS Malbouef</v>
          </cell>
          <cell r="D355" t="str">
            <v>SunE Alfred LP</v>
          </cell>
          <cell r="E355" t="str">
            <v>CO</v>
          </cell>
          <cell r="F355">
            <v>41391</v>
          </cell>
          <cell r="G355">
            <v>41632</v>
          </cell>
          <cell r="H355">
            <v>48936</v>
          </cell>
          <cell r="I355" t="str">
            <v>19 years, 11 months, 29 days</v>
          </cell>
          <cell r="J355" t="str">
            <v>Renewables</v>
          </cell>
          <cell r="K355" t="str">
            <v>Solar (Ground Mounted)</v>
          </cell>
          <cell r="L355" t="str">
            <v>Solar</v>
          </cell>
          <cell r="M355" t="str">
            <v>Dx</v>
          </cell>
          <cell r="N355" t="str">
            <v>Alfred</v>
          </cell>
          <cell r="O355" t="str">
            <v>Prescott and Russell</v>
          </cell>
          <cell r="P355" t="str">
            <v>Ottawa</v>
          </cell>
        </row>
        <row r="356">
          <cell r="C356" t="str">
            <v>Barrie Business &amp; Storage Center</v>
          </cell>
          <cell r="D356" t="str">
            <v>Solera Sustainable Energies Company Limited</v>
          </cell>
          <cell r="E356" t="str">
            <v>CO</v>
          </cell>
          <cell r="F356">
            <v>41813</v>
          </cell>
          <cell r="G356">
            <v>41985</v>
          </cell>
          <cell r="H356">
            <v>49289</v>
          </cell>
          <cell r="I356" t="str">
            <v>19 years, 11 months, 29 days</v>
          </cell>
          <cell r="J356" t="str">
            <v>Renewables</v>
          </cell>
          <cell r="K356" t="str">
            <v>Solar (Rooftop)</v>
          </cell>
          <cell r="L356" t="str">
            <v>Solar</v>
          </cell>
          <cell r="M356" t="str">
            <v>Dx</v>
          </cell>
          <cell r="N356" t="str">
            <v>Barrie</v>
          </cell>
          <cell r="O356" t="str">
            <v>Simcoe</v>
          </cell>
          <cell r="P356" t="str">
            <v>Essa</v>
          </cell>
        </row>
        <row r="357">
          <cell r="C357" t="str">
            <v>(C50) Zehrs 16th Street East</v>
          </cell>
          <cell r="D357" t="str">
            <v>Firelight Solar LP</v>
          </cell>
          <cell r="E357" t="str">
            <v>CO</v>
          </cell>
          <cell r="F357">
            <v>41729</v>
          </cell>
          <cell r="G357">
            <v>41838</v>
          </cell>
          <cell r="H357">
            <v>49142</v>
          </cell>
          <cell r="I357" t="str">
            <v>19 years, 11 months, 29 days</v>
          </cell>
          <cell r="J357" t="str">
            <v>Renewables</v>
          </cell>
          <cell r="K357" t="str">
            <v>Solar (Rooftop)</v>
          </cell>
          <cell r="L357" t="str">
            <v>Solar</v>
          </cell>
          <cell r="M357" t="str">
            <v>Dx</v>
          </cell>
          <cell r="N357" t="str">
            <v>Owen Sound</v>
          </cell>
          <cell r="O357" t="str">
            <v>Grey</v>
          </cell>
          <cell r="P357" t="str">
            <v>Southwest</v>
          </cell>
        </row>
        <row r="358">
          <cell r="C358" t="str">
            <v>Petrocorn</v>
          </cell>
          <cell r="D358" t="str">
            <v>Petro Corn Inc.</v>
          </cell>
          <cell r="E358" t="str">
            <v>CO</v>
          </cell>
          <cell r="F358">
            <v>41352</v>
          </cell>
          <cell r="G358">
            <v>41001</v>
          </cell>
          <cell r="H358">
            <v>48305</v>
          </cell>
          <cell r="I358" t="str">
            <v>19 years, 11 months, 30 days</v>
          </cell>
          <cell r="J358" t="str">
            <v>Renewables</v>
          </cell>
          <cell r="K358" t="str">
            <v>Bioenergy</v>
          </cell>
          <cell r="L358" t="str">
            <v>Biogas</v>
          </cell>
          <cell r="M358" t="str">
            <v>Dx</v>
          </cell>
          <cell r="N358" t="str">
            <v>Curran</v>
          </cell>
          <cell r="O358" t="str">
            <v>Prescott and Russell</v>
          </cell>
          <cell r="P358" t="str">
            <v>Ottawa</v>
          </cell>
        </row>
        <row r="359">
          <cell r="C359" t="str">
            <v>Veridian Connections Solar - Head Office</v>
          </cell>
          <cell r="D359" t="str">
            <v>Elexicon Energy Inc.</v>
          </cell>
          <cell r="E359" t="str">
            <v>CO</v>
          </cell>
          <cell r="F359">
            <v>41818</v>
          </cell>
          <cell r="G359">
            <v>41213</v>
          </cell>
          <cell r="H359">
            <v>48517</v>
          </cell>
          <cell r="I359" t="str">
            <v>19 years, 11 months, 29 days</v>
          </cell>
          <cell r="J359" t="str">
            <v>Renewables</v>
          </cell>
          <cell r="K359" t="str">
            <v>Solar (Rooftop)</v>
          </cell>
          <cell r="L359" t="str">
            <v>Solar</v>
          </cell>
          <cell r="M359" t="str">
            <v>Dx</v>
          </cell>
          <cell r="N359" t="str">
            <v>Ajax</v>
          </cell>
          <cell r="O359" t="str">
            <v>Durham</v>
          </cell>
          <cell r="P359" t="str">
            <v>Toronto</v>
          </cell>
        </row>
        <row r="360">
          <cell r="C360" t="str">
            <v>225 Evans Avenue</v>
          </cell>
          <cell r="D360" t="str">
            <v>PSI Solar Finance 1 Limited Partnership</v>
          </cell>
          <cell r="E360" t="str">
            <v>CO</v>
          </cell>
          <cell r="F360">
            <v>41372</v>
          </cell>
          <cell r="G360">
            <v>41340</v>
          </cell>
          <cell r="H360">
            <v>48644</v>
          </cell>
          <cell r="I360" t="str">
            <v>19 years, 11 months, 27 days</v>
          </cell>
          <cell r="J360" t="str">
            <v>Renewables</v>
          </cell>
          <cell r="K360" t="str">
            <v>Solar (Rooftop)</v>
          </cell>
          <cell r="L360" t="str">
            <v>Solar</v>
          </cell>
          <cell r="M360" t="str">
            <v>Dx</v>
          </cell>
          <cell r="N360" t="str">
            <v>Toronto</v>
          </cell>
          <cell r="O360" t="str">
            <v>Toronto</v>
          </cell>
          <cell r="P360" t="str">
            <v>Toronto</v>
          </cell>
        </row>
        <row r="361">
          <cell r="C361" t="str">
            <v>A10-100 Canadian</v>
          </cell>
          <cell r="D361" t="str">
            <v>Fengate (FGDI) Limited Partnership</v>
          </cell>
          <cell r="E361" t="str">
            <v>CO</v>
          </cell>
          <cell r="F361">
            <v>41813</v>
          </cell>
          <cell r="G361">
            <v>42026</v>
          </cell>
          <cell r="H361">
            <v>49330</v>
          </cell>
          <cell r="I361" t="str">
            <v>19 years, 11 months, 30 days</v>
          </cell>
          <cell r="J361" t="str">
            <v>Renewables</v>
          </cell>
          <cell r="K361" t="str">
            <v>Solar (Rooftop)</v>
          </cell>
          <cell r="L361" t="str">
            <v>Solar</v>
          </cell>
          <cell r="M361" t="str">
            <v>Dx</v>
          </cell>
          <cell r="N361" t="str">
            <v>Toronto</v>
          </cell>
          <cell r="O361" t="str">
            <v>Toronto</v>
          </cell>
          <cell r="P361" t="str">
            <v>Toronto</v>
          </cell>
        </row>
        <row r="362">
          <cell r="C362" t="str">
            <v>Ferguson FIT Generation</v>
          </cell>
          <cell r="D362" t="str">
            <v>2342152 Ontario Inc.</v>
          </cell>
          <cell r="E362" t="str">
            <v>CO</v>
          </cell>
          <cell r="F362">
            <v>41827</v>
          </cell>
          <cell r="G362">
            <v>41107</v>
          </cell>
          <cell r="H362">
            <v>48411</v>
          </cell>
          <cell r="I362" t="str">
            <v>19 years, 11 months, 29 days</v>
          </cell>
          <cell r="J362" t="str">
            <v>Renewables</v>
          </cell>
          <cell r="K362" t="str">
            <v>Solar (Rooftop)</v>
          </cell>
          <cell r="L362" t="str">
            <v>Solar</v>
          </cell>
          <cell r="M362" t="str">
            <v>Dx</v>
          </cell>
          <cell r="N362" t="str">
            <v>Osgoode</v>
          </cell>
          <cell r="O362" t="str">
            <v>Ottawa</v>
          </cell>
          <cell r="P362" t="str">
            <v>Ottawa</v>
          </cell>
        </row>
        <row r="363">
          <cell r="C363" t="str">
            <v>M09-1405 Denison</v>
          </cell>
          <cell r="D363" t="str">
            <v>MAR-CAR MANAGEMENT LIMITED</v>
          </cell>
          <cell r="E363" t="str">
            <v>CO</v>
          </cell>
          <cell r="F363">
            <v>41716</v>
          </cell>
          <cell r="G363">
            <v>41270</v>
          </cell>
          <cell r="H363">
            <v>48574</v>
          </cell>
          <cell r="I363" t="str">
            <v>19 years, 11 months, 29 days</v>
          </cell>
          <cell r="J363" t="str">
            <v>Renewables</v>
          </cell>
          <cell r="K363" t="str">
            <v>Solar (Rooftop)</v>
          </cell>
          <cell r="L363" t="str">
            <v>Solar</v>
          </cell>
          <cell r="M363" t="str">
            <v>Dx</v>
          </cell>
          <cell r="N363" t="str">
            <v>Markham</v>
          </cell>
          <cell r="O363" t="str">
            <v>York</v>
          </cell>
          <cell r="P363" t="str">
            <v>Toronto</v>
          </cell>
        </row>
        <row r="364">
          <cell r="C364" t="str">
            <v>CASSANDRA PUBLIC SCHOOL</v>
          </cell>
          <cell r="D364" t="str">
            <v>Toronto District School Board</v>
          </cell>
          <cell r="E364" t="str">
            <v>CO</v>
          </cell>
          <cell r="F364">
            <v>41813</v>
          </cell>
          <cell r="G364">
            <v>41036</v>
          </cell>
          <cell r="H364">
            <v>48340</v>
          </cell>
          <cell r="I364" t="str">
            <v>19 years, 11 months, 29 days</v>
          </cell>
          <cell r="J364" t="str">
            <v>Renewables</v>
          </cell>
          <cell r="K364" t="str">
            <v>Solar (Rooftop)</v>
          </cell>
          <cell r="L364" t="str">
            <v>Solar</v>
          </cell>
          <cell r="M364" t="str">
            <v>Dx</v>
          </cell>
          <cell r="N364" t="str">
            <v>Toronto</v>
          </cell>
          <cell r="O364" t="str">
            <v>Toronto</v>
          </cell>
          <cell r="P364" t="str">
            <v>Toronto</v>
          </cell>
        </row>
        <row r="365">
          <cell r="C365" t="str">
            <v>K03-148 Mohawk</v>
          </cell>
          <cell r="D365" t="str">
            <v>GS 2013 LP</v>
          </cell>
          <cell r="E365" t="str">
            <v>CO</v>
          </cell>
          <cell r="F365">
            <v>41713</v>
          </cell>
          <cell r="G365">
            <v>41572</v>
          </cell>
          <cell r="H365">
            <v>48876</v>
          </cell>
          <cell r="I365" t="str">
            <v>19 years, 11 months, 29 days</v>
          </cell>
          <cell r="J365" t="str">
            <v>Renewables</v>
          </cell>
          <cell r="K365" t="str">
            <v>Solar (Rooftop)</v>
          </cell>
          <cell r="L365" t="str">
            <v>Solar</v>
          </cell>
          <cell r="M365" t="str">
            <v>Dx</v>
          </cell>
          <cell r="N365" t="str">
            <v>Brantford</v>
          </cell>
          <cell r="O365" t="str">
            <v>Brant</v>
          </cell>
          <cell r="P365" t="str">
            <v>Southwest</v>
          </cell>
        </row>
        <row r="366">
          <cell r="C366" t="str">
            <v>Nature Pork Systems</v>
          </cell>
          <cell r="D366" t="str">
            <v>Nature Pork Systems Inc.</v>
          </cell>
          <cell r="E366" t="str">
            <v>CO</v>
          </cell>
          <cell r="F366">
            <v>41843</v>
          </cell>
          <cell r="G366">
            <v>41795</v>
          </cell>
          <cell r="H366">
            <v>49099</v>
          </cell>
          <cell r="I366" t="str">
            <v>19 years, 11 months, 30 days</v>
          </cell>
          <cell r="J366" t="str">
            <v>Renewables</v>
          </cell>
          <cell r="K366" t="str">
            <v>Solar (Rooftop)</v>
          </cell>
          <cell r="L366" t="str">
            <v>Solar</v>
          </cell>
          <cell r="M366" t="str">
            <v>Dx</v>
          </cell>
          <cell r="N366" t="str">
            <v>Burgessville</v>
          </cell>
          <cell r="O366" t="str">
            <v>Oxford</v>
          </cell>
          <cell r="P366" t="str">
            <v>Southwest</v>
          </cell>
        </row>
        <row r="367">
          <cell r="C367" t="str">
            <v>(C58) Zehrs Holiday Inn Drive</v>
          </cell>
          <cell r="D367" t="str">
            <v>Firelight Solar LP</v>
          </cell>
          <cell r="E367" t="str">
            <v>CO</v>
          </cell>
          <cell r="F367">
            <v>41737</v>
          </cell>
          <cell r="G367">
            <v>41607</v>
          </cell>
          <cell r="H367">
            <v>48911</v>
          </cell>
          <cell r="I367" t="str">
            <v>19 years, 11 months, 30 days</v>
          </cell>
          <cell r="J367" t="str">
            <v>Renewables</v>
          </cell>
          <cell r="K367" t="str">
            <v>Solar (Rooftop)</v>
          </cell>
          <cell r="L367" t="str">
            <v>Solar</v>
          </cell>
          <cell r="M367" t="str">
            <v>Dx</v>
          </cell>
          <cell r="N367" t="str">
            <v>Cambridge</v>
          </cell>
          <cell r="O367" t="str">
            <v>Waterloo</v>
          </cell>
          <cell r="P367" t="str">
            <v>Southwest</v>
          </cell>
        </row>
        <row r="368">
          <cell r="C368" t="str">
            <v>Folkens # 9</v>
          </cell>
          <cell r="D368" t="str">
            <v>2 4 6 0 8 8 2 O N T A R I O L I M I T E D</v>
          </cell>
          <cell r="E368" t="str">
            <v>CO</v>
          </cell>
          <cell r="F368">
            <v>41799</v>
          </cell>
          <cell r="G368">
            <v>41981</v>
          </cell>
          <cell r="H368">
            <v>49103</v>
          </cell>
          <cell r="I368" t="str">
            <v>19 years, 6 months, 0 days</v>
          </cell>
          <cell r="J368" t="str">
            <v>Renewables</v>
          </cell>
          <cell r="K368" t="str">
            <v>Solar (Rooftop)</v>
          </cell>
          <cell r="L368" t="str">
            <v>Solar</v>
          </cell>
          <cell r="M368" t="str">
            <v>Dx</v>
          </cell>
          <cell r="N368" t="str">
            <v>Hamilton</v>
          </cell>
          <cell r="O368" t="str">
            <v>Hamilton</v>
          </cell>
          <cell r="P368" t="str">
            <v>Southwest</v>
          </cell>
        </row>
        <row r="369">
          <cell r="C369" t="str">
            <v>Tufford</v>
          </cell>
          <cell r="D369" t="str">
            <v>1825059 Ontario Inc.</v>
          </cell>
          <cell r="E369" t="str">
            <v>CO</v>
          </cell>
          <cell r="F369">
            <v>41848</v>
          </cell>
          <cell r="G369">
            <v>41039</v>
          </cell>
          <cell r="H369">
            <v>48343</v>
          </cell>
          <cell r="I369" t="str">
            <v>19 years, 11 months, 29 days</v>
          </cell>
          <cell r="J369" t="str">
            <v>Renewables</v>
          </cell>
          <cell r="K369" t="str">
            <v>Solar (Rooftop)</v>
          </cell>
          <cell r="L369" t="str">
            <v>Solar</v>
          </cell>
          <cell r="M369" t="str">
            <v>Dx</v>
          </cell>
          <cell r="N369" t="str">
            <v>Lincoln</v>
          </cell>
          <cell r="O369" t="str">
            <v>Niagara</v>
          </cell>
          <cell r="P369" t="str">
            <v>Niagara</v>
          </cell>
        </row>
        <row r="370">
          <cell r="C370" t="str">
            <v>AB101-501</v>
          </cell>
          <cell r="D370" t="str">
            <v>STRASHIN POWER CORPORATION</v>
          </cell>
          <cell r="E370" t="str">
            <v>CO</v>
          </cell>
          <cell r="F370">
            <v>41828</v>
          </cell>
          <cell r="G370">
            <v>41360</v>
          </cell>
          <cell r="H370">
            <v>48664</v>
          </cell>
          <cell r="I370" t="str">
            <v>19 years, 11 months, 27 days</v>
          </cell>
          <cell r="J370" t="str">
            <v>Renewables</v>
          </cell>
          <cell r="K370" t="str">
            <v>Solar (Rooftop)</v>
          </cell>
          <cell r="L370" t="str">
            <v>Solar</v>
          </cell>
          <cell r="M370" t="str">
            <v>Dx</v>
          </cell>
          <cell r="N370" t="str">
            <v>Toronto</v>
          </cell>
          <cell r="O370" t="str">
            <v>Toronto</v>
          </cell>
          <cell r="P370" t="str">
            <v>Toronto</v>
          </cell>
        </row>
        <row r="371">
          <cell r="C371" t="str">
            <v>Champion Solar I</v>
          </cell>
          <cell r="D371" t="str">
            <v>Community Solar Assets 1 Ltd.</v>
          </cell>
          <cell r="E371" t="str">
            <v>CO</v>
          </cell>
          <cell r="F371">
            <v>41825</v>
          </cell>
          <cell r="G371">
            <v>41470</v>
          </cell>
          <cell r="H371">
            <v>48774</v>
          </cell>
          <cell r="I371" t="str">
            <v>19 years, 11 months, 29 days</v>
          </cell>
          <cell r="J371" t="str">
            <v>Renewables</v>
          </cell>
          <cell r="K371" t="str">
            <v>Solar (Rooftop)</v>
          </cell>
          <cell r="L371" t="str">
            <v>Solar</v>
          </cell>
          <cell r="M371" t="str">
            <v>Dx</v>
          </cell>
          <cell r="N371" t="str">
            <v>Moose Creek</v>
          </cell>
          <cell r="O371" t="str">
            <v>Stormont, Dundas and Glengarry</v>
          </cell>
          <cell r="P371" t="str">
            <v>Ottawa</v>
          </cell>
        </row>
        <row r="372">
          <cell r="C372" t="str">
            <v>Normanby Solar 1</v>
          </cell>
          <cell r="D372" t="str">
            <v>757182 Ontario Ltd.</v>
          </cell>
          <cell r="E372" t="str">
            <v>CO</v>
          </cell>
          <cell r="F372">
            <v>41454</v>
          </cell>
          <cell r="G372">
            <v>41039</v>
          </cell>
          <cell r="H372">
            <v>48343</v>
          </cell>
          <cell r="I372" t="str">
            <v>19 years, 11 months, 29 days</v>
          </cell>
          <cell r="J372" t="str">
            <v>Renewables</v>
          </cell>
          <cell r="K372" t="str">
            <v>Solar (Rooftop)</v>
          </cell>
          <cell r="L372" t="str">
            <v>Solar</v>
          </cell>
          <cell r="M372" t="str">
            <v>Dx</v>
          </cell>
          <cell r="N372" t="str">
            <v>Ayton</v>
          </cell>
          <cell r="O372" t="str">
            <v>Grey</v>
          </cell>
          <cell r="P372" t="str">
            <v>Southwest</v>
          </cell>
        </row>
        <row r="373">
          <cell r="C373" t="str">
            <v>Hensall</v>
          </cell>
          <cell r="D373" t="str">
            <v>2428760 Ontario Inc.</v>
          </cell>
          <cell r="E373" t="str">
            <v>CO</v>
          </cell>
          <cell r="F373">
            <v>41813</v>
          </cell>
          <cell r="G373">
            <v>41990</v>
          </cell>
          <cell r="H373">
            <v>49294</v>
          </cell>
          <cell r="I373" t="str">
            <v>19 years, 11 months, 29 days</v>
          </cell>
          <cell r="J373" t="str">
            <v>Renewables</v>
          </cell>
          <cell r="K373" t="str">
            <v>Solar (Rooftop)</v>
          </cell>
          <cell r="L373" t="str">
            <v>Solar</v>
          </cell>
          <cell r="M373" t="str">
            <v>Dx</v>
          </cell>
          <cell r="N373" t="str">
            <v>Hensall</v>
          </cell>
          <cell r="O373" t="str">
            <v>Huron</v>
          </cell>
          <cell r="P373" t="str">
            <v>Southwest</v>
          </cell>
        </row>
        <row r="374">
          <cell r="C374" t="str">
            <v>3610 Mavis Rd RT</v>
          </cell>
          <cell r="D374" t="str">
            <v>Brightroof Solar Limited Partnership</v>
          </cell>
          <cell r="E374" t="str">
            <v>CO</v>
          </cell>
          <cell r="F374">
            <v>41818</v>
          </cell>
          <cell r="G374">
            <v>41227</v>
          </cell>
          <cell r="H374">
            <v>48531</v>
          </cell>
          <cell r="I374" t="str">
            <v>19 years, 11 months, 30 days</v>
          </cell>
          <cell r="J374" t="str">
            <v>Renewables</v>
          </cell>
          <cell r="K374" t="str">
            <v>Solar (Rooftop)</v>
          </cell>
          <cell r="L374" t="str">
            <v>Solar</v>
          </cell>
          <cell r="M374" t="str">
            <v>Dx</v>
          </cell>
          <cell r="N374" t="str">
            <v>Mississauga</v>
          </cell>
          <cell r="O374" t="str">
            <v>Peel</v>
          </cell>
          <cell r="P374" t="str">
            <v>Toronto</v>
          </cell>
        </row>
        <row r="375">
          <cell r="C375" t="str">
            <v>#206 450 Muskoka Rd, Bracebridge</v>
          </cell>
          <cell r="D375" t="str">
            <v>PSI Solar Finance 1 Limited Partnership</v>
          </cell>
          <cell r="E375" t="str">
            <v>CO</v>
          </cell>
          <cell r="F375">
            <v>41796</v>
          </cell>
          <cell r="G375">
            <v>41481</v>
          </cell>
          <cell r="H375">
            <v>48785</v>
          </cell>
          <cell r="I375" t="str">
            <v>19 years, 11 months, 29 days</v>
          </cell>
          <cell r="J375" t="str">
            <v>Renewables</v>
          </cell>
          <cell r="K375" t="str">
            <v>Solar (Rooftop)</v>
          </cell>
          <cell r="L375" t="str">
            <v>Solar</v>
          </cell>
          <cell r="M375" t="str">
            <v>Dx</v>
          </cell>
          <cell r="N375" t="str">
            <v>Bracebridge</v>
          </cell>
          <cell r="O375" t="str">
            <v>Muskoka</v>
          </cell>
          <cell r="P375" t="str">
            <v>Essa</v>
          </cell>
        </row>
        <row r="376">
          <cell r="C376" t="str">
            <v>Bloomfield Solar Inc.</v>
          </cell>
          <cell r="D376" t="str">
            <v>Bloomfield Solar Inc.</v>
          </cell>
          <cell r="E376" t="str">
            <v>CO</v>
          </cell>
          <cell r="F376">
            <v>41790</v>
          </cell>
          <cell r="G376">
            <v>41507</v>
          </cell>
          <cell r="H376">
            <v>48811</v>
          </cell>
          <cell r="I376" t="str">
            <v>19 years, 11 months, 30 days</v>
          </cell>
          <cell r="J376" t="str">
            <v>Renewables</v>
          </cell>
          <cell r="K376" t="str">
            <v>Solar (Rooftop)</v>
          </cell>
          <cell r="L376" t="str">
            <v>Solar</v>
          </cell>
          <cell r="M376" t="str">
            <v>Dx</v>
          </cell>
          <cell r="N376" t="str">
            <v>Bloomfield</v>
          </cell>
          <cell r="O376" t="str">
            <v>Prince Edward</v>
          </cell>
          <cell r="P376" t="str">
            <v>East</v>
          </cell>
        </row>
        <row r="377">
          <cell r="C377" t="str">
            <v>Canadian Solar Developers Ltd. L.P. #14</v>
          </cell>
          <cell r="D377" t="str">
            <v>Mann Ground Mount Solar Ltd.</v>
          </cell>
          <cell r="E377" t="str">
            <v>CO</v>
          </cell>
          <cell r="F377">
            <v>41489</v>
          </cell>
          <cell r="G377">
            <v>41704</v>
          </cell>
          <cell r="H377">
            <v>48793</v>
          </cell>
          <cell r="I377" t="str">
            <v>19 years, 4 months, 27 days</v>
          </cell>
          <cell r="J377" t="str">
            <v>Renewables</v>
          </cell>
          <cell r="K377" t="str">
            <v>Solar (Ground Mounted)</v>
          </cell>
          <cell r="L377" t="str">
            <v>Solar</v>
          </cell>
          <cell r="M377" t="str">
            <v>Dx</v>
          </cell>
          <cell r="N377" t="str">
            <v>Barrie</v>
          </cell>
          <cell r="O377" t="str">
            <v>Simcoe</v>
          </cell>
          <cell r="P377" t="str">
            <v>Essa</v>
          </cell>
        </row>
        <row r="378">
          <cell r="C378" t="str">
            <v>Royal Sponge</v>
          </cell>
          <cell r="D378" t="str">
            <v>WC Enerco Inc.</v>
          </cell>
          <cell r="E378" t="str">
            <v>CO</v>
          </cell>
          <cell r="F378">
            <v>41813</v>
          </cell>
          <cell r="G378">
            <v>41995</v>
          </cell>
          <cell r="H378">
            <v>49299</v>
          </cell>
          <cell r="I378" t="str">
            <v>19 years, 11 months, 29 days</v>
          </cell>
          <cell r="J378" t="str">
            <v>Renewables</v>
          </cell>
          <cell r="K378" t="str">
            <v>Solar (Rooftop)</v>
          </cell>
          <cell r="L378" t="str">
            <v>Solar</v>
          </cell>
          <cell r="M378" t="str">
            <v>Dx</v>
          </cell>
          <cell r="N378" t="str">
            <v>Brampton</v>
          </cell>
          <cell r="O378" t="str">
            <v>Peel</v>
          </cell>
          <cell r="P378" t="str">
            <v>Toronto</v>
          </cell>
        </row>
        <row r="379">
          <cell r="C379" t="str">
            <v>Villa Nova 100</v>
          </cell>
          <cell r="D379" t="str">
            <v>Dan Matten</v>
          </cell>
          <cell r="E379" t="str">
            <v>CO</v>
          </cell>
          <cell r="F379">
            <v>41811</v>
          </cell>
          <cell r="G379">
            <v>41689</v>
          </cell>
          <cell r="H379">
            <v>48993</v>
          </cell>
          <cell r="I379" t="str">
            <v>19 years, 11 months, 30 days</v>
          </cell>
          <cell r="J379" t="str">
            <v>Renewables</v>
          </cell>
          <cell r="K379" t="str">
            <v>Solar (Ground Mounted)</v>
          </cell>
          <cell r="L379" t="str">
            <v>Solar</v>
          </cell>
          <cell r="M379" t="str">
            <v>Dx</v>
          </cell>
          <cell r="N379" t="str">
            <v>Waterford</v>
          </cell>
          <cell r="O379" t="str">
            <v>Norfolk</v>
          </cell>
          <cell r="P379" t="str">
            <v>Southwest</v>
          </cell>
        </row>
        <row r="380">
          <cell r="C380" t="str">
            <v>Duynisveld Home Farm</v>
          </cell>
          <cell r="D380" t="str">
            <v>Leonard Duynisveld</v>
          </cell>
          <cell r="E380" t="str">
            <v>CO</v>
          </cell>
          <cell r="F380">
            <v>41841</v>
          </cell>
          <cell r="G380">
            <v>41123</v>
          </cell>
          <cell r="H380">
            <v>48427</v>
          </cell>
          <cell r="I380" t="str">
            <v>19 years, 11 months, 30 days</v>
          </cell>
          <cell r="J380" t="str">
            <v>Renewables</v>
          </cell>
          <cell r="K380" t="str">
            <v>Solar (Rooftop)</v>
          </cell>
          <cell r="L380" t="str">
            <v>Solar</v>
          </cell>
          <cell r="M380" t="str">
            <v>Dx</v>
          </cell>
          <cell r="N380" t="str">
            <v>Ilderton</v>
          </cell>
          <cell r="O380" t="str">
            <v>Middlesex</v>
          </cell>
          <cell r="P380" t="str">
            <v>West</v>
          </cell>
        </row>
        <row r="381">
          <cell r="C381" t="str">
            <v>A07-11 Automatic</v>
          </cell>
          <cell r="D381" t="str">
            <v>Saratoga Potato Chip Company Inc.</v>
          </cell>
          <cell r="E381" t="str">
            <v>CO</v>
          </cell>
          <cell r="F381">
            <v>41862</v>
          </cell>
          <cell r="G381">
            <v>41995</v>
          </cell>
          <cell r="H381">
            <v>49299</v>
          </cell>
          <cell r="I381" t="str">
            <v>19 years, 11 months, 29 days</v>
          </cell>
          <cell r="J381" t="str">
            <v>Renewables</v>
          </cell>
          <cell r="K381" t="str">
            <v>Solar (Rooftop)</v>
          </cell>
          <cell r="L381" t="str">
            <v>Solar</v>
          </cell>
          <cell r="M381" t="str">
            <v>Dx</v>
          </cell>
          <cell r="N381" t="str">
            <v>Brampton</v>
          </cell>
          <cell r="O381" t="str">
            <v>Peel</v>
          </cell>
          <cell r="P381" t="str">
            <v>Toronto</v>
          </cell>
        </row>
        <row r="382">
          <cell r="C382" t="str">
            <v>Luyks Home Farm</v>
          </cell>
          <cell r="D382" t="str">
            <v>Luyks Holdings Ltd</v>
          </cell>
          <cell r="E382" t="str">
            <v>CO</v>
          </cell>
          <cell r="F382">
            <v>41029</v>
          </cell>
          <cell r="G382">
            <v>40899</v>
          </cell>
          <cell r="H382">
            <v>48203</v>
          </cell>
          <cell r="I382" t="str">
            <v>19 years, 11 months, 29 days</v>
          </cell>
          <cell r="J382" t="str">
            <v>Renewables</v>
          </cell>
          <cell r="K382" t="str">
            <v>Solar (Rooftop)</v>
          </cell>
          <cell r="L382" t="str">
            <v>Solar</v>
          </cell>
          <cell r="M382" t="str">
            <v>Dx</v>
          </cell>
          <cell r="N382" t="str">
            <v>Port Stanley</v>
          </cell>
          <cell r="O382" t="str">
            <v>Elgin</v>
          </cell>
          <cell r="P382" t="str">
            <v>West</v>
          </cell>
        </row>
        <row r="383">
          <cell r="C383" t="str">
            <v>Scott Solar</v>
          </cell>
          <cell r="D383" t="str">
            <v>SCP Properties Inc.</v>
          </cell>
          <cell r="E383" t="str">
            <v>CO</v>
          </cell>
          <cell r="F383">
            <v>41029</v>
          </cell>
          <cell r="G383">
            <v>40760</v>
          </cell>
          <cell r="H383">
            <v>48064</v>
          </cell>
          <cell r="I383" t="str">
            <v>19 years, 11 months, 30 days</v>
          </cell>
          <cell r="J383" t="str">
            <v>Renewables</v>
          </cell>
          <cell r="K383" t="str">
            <v>Solar (Rooftop)</v>
          </cell>
          <cell r="L383" t="str">
            <v>Solar</v>
          </cell>
          <cell r="M383" t="str">
            <v>Dx</v>
          </cell>
          <cell r="N383" t="str">
            <v>Meaford</v>
          </cell>
          <cell r="O383" t="str">
            <v>Grey</v>
          </cell>
          <cell r="P383" t="str">
            <v>Southwest</v>
          </cell>
        </row>
        <row r="384">
          <cell r="C384" t="str">
            <v>Consolidated Maintenance facility Solar Roof</v>
          </cell>
          <cell r="D384" t="str">
            <v>Kitchener Generation Corporation</v>
          </cell>
          <cell r="E384" t="str">
            <v>CO</v>
          </cell>
          <cell r="F384">
            <v>41399</v>
          </cell>
          <cell r="G384">
            <v>40633</v>
          </cell>
          <cell r="H384">
            <v>47937</v>
          </cell>
          <cell r="I384" t="str">
            <v>19 years, 11 months, 27 days</v>
          </cell>
          <cell r="J384" t="str">
            <v>Renewables</v>
          </cell>
          <cell r="K384" t="str">
            <v>Solar (Rooftop)</v>
          </cell>
          <cell r="L384" t="str">
            <v>Solar</v>
          </cell>
          <cell r="M384" t="str">
            <v>Dx</v>
          </cell>
          <cell r="N384" t="str">
            <v>Kitchener</v>
          </cell>
          <cell r="O384" t="str">
            <v>Waterloo</v>
          </cell>
          <cell r="P384" t="str">
            <v>Southwest</v>
          </cell>
        </row>
        <row r="385">
          <cell r="C385" t="str">
            <v>Groeneveld Solar</v>
          </cell>
          <cell r="D385" t="str">
            <v>1825115 Ontario Inc.</v>
          </cell>
          <cell r="E385" t="str">
            <v>CO</v>
          </cell>
          <cell r="F385">
            <v>41813</v>
          </cell>
          <cell r="G385">
            <v>41307</v>
          </cell>
          <cell r="H385">
            <v>48611</v>
          </cell>
          <cell r="I385" t="str">
            <v>19 years, 11 months, 30 days</v>
          </cell>
          <cell r="J385" t="str">
            <v>Renewables</v>
          </cell>
          <cell r="K385" t="str">
            <v>Solar (Rooftop)</v>
          </cell>
          <cell r="L385" t="str">
            <v>Solar</v>
          </cell>
          <cell r="M385" t="str">
            <v>Dx</v>
          </cell>
          <cell r="N385" t="str">
            <v>Fenwick</v>
          </cell>
          <cell r="O385" t="str">
            <v>Niagara</v>
          </cell>
          <cell r="P385" t="str">
            <v>Niagara</v>
          </cell>
        </row>
        <row r="386">
          <cell r="C386" t="str">
            <v>(C51) Zehrs Niagara Street North</v>
          </cell>
          <cell r="D386" t="str">
            <v>Firelight Solar LP</v>
          </cell>
          <cell r="E386" t="str">
            <v>CO</v>
          </cell>
          <cell r="F386">
            <v>41728</v>
          </cell>
          <cell r="G386">
            <v>41626</v>
          </cell>
          <cell r="H386">
            <v>48930</v>
          </cell>
          <cell r="I386" t="str">
            <v>19 years, 11 months, 29 days</v>
          </cell>
          <cell r="J386" t="str">
            <v>Renewables</v>
          </cell>
          <cell r="K386" t="str">
            <v>Solar (Rooftop)</v>
          </cell>
          <cell r="L386" t="str">
            <v>Solar</v>
          </cell>
          <cell r="M386" t="str">
            <v>Dx</v>
          </cell>
          <cell r="N386" t="str">
            <v>Welland</v>
          </cell>
          <cell r="O386" t="str">
            <v>Niagara</v>
          </cell>
          <cell r="P386" t="str">
            <v>Niagara</v>
          </cell>
        </row>
        <row r="387">
          <cell r="C387" t="str">
            <v>Kirchmeier Farms PV</v>
          </cell>
          <cell r="D387" t="str">
            <v>Kirchmeier Renergy Inc.</v>
          </cell>
          <cell r="E387" t="str">
            <v>CO</v>
          </cell>
          <cell r="F387">
            <v>41569</v>
          </cell>
          <cell r="G387">
            <v>41730</v>
          </cell>
          <cell r="H387">
            <v>48873</v>
          </cell>
          <cell r="I387" t="str">
            <v>19 years, 6 months, 20 days</v>
          </cell>
          <cell r="J387" t="str">
            <v>Renewables</v>
          </cell>
          <cell r="K387" t="str">
            <v>Solar (Rooftop)</v>
          </cell>
          <cell r="L387" t="str">
            <v>Solar</v>
          </cell>
          <cell r="M387" t="str">
            <v>Dx</v>
          </cell>
          <cell r="N387" t="str">
            <v>St. Isidore</v>
          </cell>
          <cell r="O387" t="str">
            <v>Prescott and Russell</v>
          </cell>
          <cell r="P387" t="str">
            <v>Ottawa</v>
          </cell>
        </row>
        <row r="388">
          <cell r="C388" t="str">
            <v>Vehcom Manufacturing</v>
          </cell>
          <cell r="D388" t="str">
            <v>Linamar Corporation</v>
          </cell>
          <cell r="E388" t="str">
            <v>CO</v>
          </cell>
          <cell r="F388">
            <v>41029</v>
          </cell>
          <cell r="G388">
            <v>41212</v>
          </cell>
          <cell r="H388">
            <v>48516</v>
          </cell>
          <cell r="I388" t="str">
            <v>19 years, 11 months, 29 days</v>
          </cell>
          <cell r="J388" t="str">
            <v>Renewables</v>
          </cell>
          <cell r="K388" t="str">
            <v>Solar (Rooftop)</v>
          </cell>
          <cell r="L388" t="str">
            <v>Solar</v>
          </cell>
          <cell r="M388" t="str">
            <v>Dx</v>
          </cell>
          <cell r="N388" t="str">
            <v>Guelph</v>
          </cell>
          <cell r="O388" t="str">
            <v>Wellington</v>
          </cell>
          <cell r="P388" t="str">
            <v>Southwest</v>
          </cell>
        </row>
        <row r="389">
          <cell r="C389" t="str">
            <v>176 Esplanade</v>
          </cell>
          <cell r="D389" t="str">
            <v>Toronto Community Housing Corporation Inc.</v>
          </cell>
          <cell r="E389" t="str">
            <v>CO</v>
          </cell>
          <cell r="F389">
            <v>41734</v>
          </cell>
          <cell r="G389">
            <v>40997</v>
          </cell>
          <cell r="H389">
            <v>48301</v>
          </cell>
          <cell r="I389" t="str">
            <v>19 years, 11 months, 28 days</v>
          </cell>
          <cell r="J389" t="str">
            <v>Renewables</v>
          </cell>
          <cell r="K389" t="str">
            <v>Solar (Rooftop)</v>
          </cell>
          <cell r="L389" t="str">
            <v>Solar</v>
          </cell>
          <cell r="M389" t="str">
            <v>Dx</v>
          </cell>
          <cell r="N389" t="str">
            <v>Toronto</v>
          </cell>
          <cell r="O389" t="str">
            <v>Toronto</v>
          </cell>
          <cell r="P389" t="str">
            <v>Toronto</v>
          </cell>
        </row>
        <row r="390">
          <cell r="C390" t="str">
            <v>Fulton Rooftop Solar PV</v>
          </cell>
          <cell r="D390" t="str">
            <v>Sino-can Agri-products &amp; Clean Energy Limited</v>
          </cell>
          <cell r="E390" t="str">
            <v>CO</v>
          </cell>
          <cell r="F390">
            <v>41029</v>
          </cell>
          <cell r="G390">
            <v>41046</v>
          </cell>
          <cell r="H390">
            <v>48333</v>
          </cell>
          <cell r="I390" t="str">
            <v>19 years, 11 months, 12 days</v>
          </cell>
          <cell r="J390" t="str">
            <v>Renewables</v>
          </cell>
          <cell r="K390" t="str">
            <v>Solar (Rooftop)</v>
          </cell>
          <cell r="L390" t="str">
            <v>Solar</v>
          </cell>
          <cell r="M390" t="str">
            <v>Dx</v>
          </cell>
          <cell r="N390" t="str">
            <v>Caledon</v>
          </cell>
          <cell r="O390" t="str">
            <v>Peel</v>
          </cell>
          <cell r="P390" t="str">
            <v>Toronto</v>
          </cell>
        </row>
        <row r="391">
          <cell r="C391" t="str">
            <v>Lewis Farm 2</v>
          </cell>
          <cell r="D391" t="str">
            <v>Adelaide Farms</v>
          </cell>
          <cell r="E391" t="str">
            <v>CO</v>
          </cell>
          <cell r="F391">
            <v>41029</v>
          </cell>
          <cell r="G391">
            <v>40774</v>
          </cell>
          <cell r="H391">
            <v>48078</v>
          </cell>
          <cell r="I391" t="str">
            <v>19 years, 11 months, 30 days</v>
          </cell>
          <cell r="J391" t="str">
            <v>Renewables</v>
          </cell>
          <cell r="K391" t="str">
            <v>Solar (Rooftop)</v>
          </cell>
          <cell r="L391" t="str">
            <v>Solar</v>
          </cell>
          <cell r="M391" t="str">
            <v>Dx</v>
          </cell>
          <cell r="N391" t="str">
            <v>Denfield</v>
          </cell>
          <cell r="O391" t="str">
            <v>Middlesex</v>
          </cell>
          <cell r="P391" t="str">
            <v>West</v>
          </cell>
        </row>
        <row r="392">
          <cell r="C392" t="str">
            <v>ROW - 95 Concession Street</v>
          </cell>
          <cell r="D392" t="str">
            <v>The Regional Municipality of Waterloo</v>
          </cell>
          <cell r="E392" t="str">
            <v>CO</v>
          </cell>
          <cell r="F392">
            <v>41461</v>
          </cell>
          <cell r="G392">
            <v>41015</v>
          </cell>
          <cell r="H392">
            <v>48319</v>
          </cell>
          <cell r="I392" t="str">
            <v>19 years, 11 months, 30 days</v>
          </cell>
          <cell r="J392" t="str">
            <v>Renewables</v>
          </cell>
          <cell r="K392" t="str">
            <v>Solar (Rooftop)</v>
          </cell>
          <cell r="L392" t="str">
            <v>Solar</v>
          </cell>
          <cell r="M392" t="str">
            <v>Dx</v>
          </cell>
          <cell r="N392" t="str">
            <v>Cambridge</v>
          </cell>
          <cell r="O392" t="str">
            <v>Waterloo</v>
          </cell>
          <cell r="P392" t="str">
            <v>Southwest</v>
          </cell>
        </row>
        <row r="393">
          <cell r="C393" t="str">
            <v>sunshine &amp; sugar inc.</v>
          </cell>
          <cell r="D393" t="str">
            <v>sunshine &amp; sugar inc.</v>
          </cell>
          <cell r="E393" t="str">
            <v>CO</v>
          </cell>
          <cell r="F393">
            <v>41029</v>
          </cell>
          <cell r="G393">
            <v>40917</v>
          </cell>
          <cell r="H393">
            <v>48221</v>
          </cell>
          <cell r="I393" t="str">
            <v>19 years, 11 months, 30 days</v>
          </cell>
          <cell r="J393" t="str">
            <v>Renewables</v>
          </cell>
          <cell r="K393" t="str">
            <v>Solar (Rooftop)</v>
          </cell>
          <cell r="L393" t="str">
            <v>Solar</v>
          </cell>
          <cell r="M393" t="str">
            <v>Dx</v>
          </cell>
          <cell r="N393" t="str">
            <v>Toronto</v>
          </cell>
          <cell r="O393" t="str">
            <v>Toronto</v>
          </cell>
          <cell r="P393" t="str">
            <v>Toronto</v>
          </cell>
        </row>
        <row r="394">
          <cell r="C394" t="str">
            <v>(C75) Real Canadian Superstore Steeles Avenue West</v>
          </cell>
          <cell r="D394" t="str">
            <v>Firelight Solar LP</v>
          </cell>
          <cell r="E394" t="str">
            <v>CO</v>
          </cell>
          <cell r="F394">
            <v>41805</v>
          </cell>
          <cell r="G394">
            <v>41346</v>
          </cell>
          <cell r="H394">
            <v>48650</v>
          </cell>
          <cell r="I394" t="str">
            <v>19 years, 11 months, 27 days</v>
          </cell>
          <cell r="J394" t="str">
            <v>Renewables</v>
          </cell>
          <cell r="K394" t="str">
            <v>Solar (Rooftop)</v>
          </cell>
          <cell r="L394" t="str">
            <v>Solar</v>
          </cell>
          <cell r="M394" t="str">
            <v>Dx</v>
          </cell>
          <cell r="N394" t="str">
            <v>Brampton</v>
          </cell>
          <cell r="O394" t="str">
            <v>Peel</v>
          </cell>
          <cell r="P394" t="str">
            <v>Toronto</v>
          </cell>
        </row>
        <row r="395">
          <cell r="C395" t="str">
            <v>Rustowil</v>
          </cell>
          <cell r="D395" t="str">
            <v>Rustowil Farm Inc.</v>
          </cell>
          <cell r="E395" t="str">
            <v>CO</v>
          </cell>
          <cell r="F395">
            <v>41806</v>
          </cell>
          <cell r="G395">
            <v>41079</v>
          </cell>
          <cell r="H395">
            <v>48383</v>
          </cell>
          <cell r="I395" t="str">
            <v>19 years, 11 months, 30 days</v>
          </cell>
          <cell r="J395" t="str">
            <v>Renewables</v>
          </cell>
          <cell r="K395" t="str">
            <v>Solar (Rooftop)</v>
          </cell>
          <cell r="L395" t="str">
            <v>Solar</v>
          </cell>
          <cell r="M395" t="str">
            <v>Dx</v>
          </cell>
          <cell r="N395" t="str">
            <v>Joyceville</v>
          </cell>
          <cell r="O395" t="str">
            <v>Frontenac</v>
          </cell>
          <cell r="P395" t="str">
            <v>East</v>
          </cell>
        </row>
        <row r="396">
          <cell r="C396" t="str">
            <v>Alfred</v>
          </cell>
          <cell r="D396" t="str">
            <v>Concord Alfred Partnership</v>
          </cell>
          <cell r="E396" t="str">
            <v>CO</v>
          </cell>
          <cell r="F396">
            <v>42099</v>
          </cell>
          <cell r="G396">
            <v>42333</v>
          </cell>
          <cell r="H396">
            <v>49637</v>
          </cell>
          <cell r="I396" t="str">
            <v>19 years, 11 months, 30 days</v>
          </cell>
          <cell r="J396" t="str">
            <v>Renewables</v>
          </cell>
          <cell r="K396" t="str">
            <v>Solar (Ground Mounted)</v>
          </cell>
          <cell r="L396" t="str">
            <v>Solar</v>
          </cell>
          <cell r="M396" t="str">
            <v>Dx</v>
          </cell>
          <cell r="N396" t="str">
            <v>Alfred</v>
          </cell>
          <cell r="O396" t="str">
            <v>Prescott and Russell</v>
          </cell>
          <cell r="P396" t="str">
            <v>Ottawa</v>
          </cell>
        </row>
        <row r="397">
          <cell r="C397" t="str">
            <v>Domric International Ltd.</v>
          </cell>
          <cell r="D397" t="str">
            <v>Domric International Ltd.</v>
          </cell>
          <cell r="E397" t="str">
            <v>CO</v>
          </cell>
          <cell r="F397">
            <v>41841</v>
          </cell>
          <cell r="G397">
            <v>41730</v>
          </cell>
          <cell r="H397">
            <v>49034</v>
          </cell>
          <cell r="I397" t="str">
            <v>19 years, 11 months, 30 days</v>
          </cell>
          <cell r="J397" t="str">
            <v>Renewables</v>
          </cell>
          <cell r="K397" t="str">
            <v>Solar (Rooftop)</v>
          </cell>
          <cell r="L397" t="str">
            <v>Solar</v>
          </cell>
          <cell r="M397" t="str">
            <v>Dx</v>
          </cell>
          <cell r="N397" t="str">
            <v>Kingsville</v>
          </cell>
          <cell r="O397" t="str">
            <v>Essex</v>
          </cell>
          <cell r="P397" t="str">
            <v>West</v>
          </cell>
        </row>
        <row r="398">
          <cell r="C398" t="str">
            <v>130Denison</v>
          </cell>
          <cell r="D398" t="str">
            <v>130 Denison Solar Power Inc.</v>
          </cell>
          <cell r="E398" t="str">
            <v>CO</v>
          </cell>
          <cell r="F398">
            <v>41029</v>
          </cell>
          <cell r="G398">
            <v>40866</v>
          </cell>
          <cell r="H398">
            <v>48170</v>
          </cell>
          <cell r="I398" t="str">
            <v>19 years, 11 months, 30 days</v>
          </cell>
          <cell r="J398" t="str">
            <v>Renewables</v>
          </cell>
          <cell r="K398" t="str">
            <v>Solar (Rooftop)</v>
          </cell>
          <cell r="L398" t="str">
            <v>Solar</v>
          </cell>
          <cell r="M398" t="str">
            <v>Dx</v>
          </cell>
          <cell r="N398" t="str">
            <v>Markham</v>
          </cell>
          <cell r="O398" t="str">
            <v>York</v>
          </cell>
          <cell r="P398" t="str">
            <v>Toronto</v>
          </cell>
        </row>
        <row r="399">
          <cell r="C399" t="str">
            <v>Solar Connections- Commerce Park</v>
          </cell>
          <cell r="D399" t="str">
            <v>Herbert Elsner Shoes Limited</v>
          </cell>
          <cell r="E399" t="str">
            <v>CO</v>
          </cell>
          <cell r="F399">
            <v>41827</v>
          </cell>
          <cell r="G399">
            <v>41995</v>
          </cell>
          <cell r="H399">
            <v>49299</v>
          </cell>
          <cell r="I399" t="str">
            <v>19 years, 11 months, 29 days</v>
          </cell>
          <cell r="J399" t="str">
            <v>Renewables</v>
          </cell>
          <cell r="K399" t="str">
            <v>Solar (Rooftop)</v>
          </cell>
          <cell r="L399" t="str">
            <v>Solar</v>
          </cell>
          <cell r="M399" t="str">
            <v>Dx</v>
          </cell>
          <cell r="N399" t="str">
            <v>Innisfil</v>
          </cell>
          <cell r="O399" t="str">
            <v>Simcoe</v>
          </cell>
          <cell r="P399" t="str">
            <v>Southwest</v>
          </cell>
        </row>
        <row r="400">
          <cell r="C400" t="str">
            <v>LPC Manufacturing</v>
          </cell>
          <cell r="D400" t="str">
            <v>Linamar Corporation</v>
          </cell>
          <cell r="E400" t="str">
            <v>CO</v>
          </cell>
          <cell r="F400">
            <v>41029</v>
          </cell>
          <cell r="G400">
            <v>41192</v>
          </cell>
          <cell r="H400">
            <v>48496</v>
          </cell>
          <cell r="I400" t="str">
            <v>19 years, 11 months, 29 days</v>
          </cell>
          <cell r="J400" t="str">
            <v>Renewables</v>
          </cell>
          <cell r="K400" t="str">
            <v>Solar (Rooftop)</v>
          </cell>
          <cell r="L400" t="str">
            <v>Solar</v>
          </cell>
          <cell r="M400" t="str">
            <v>Dx</v>
          </cell>
          <cell r="N400" t="str">
            <v>Guelph</v>
          </cell>
          <cell r="O400" t="str">
            <v>Wellington</v>
          </cell>
          <cell r="P400" t="str">
            <v>Southwest</v>
          </cell>
        </row>
        <row r="401">
          <cell r="C401" t="str">
            <v>RE Smiths Falls 5</v>
          </cell>
          <cell r="D401" t="str">
            <v>Aurora Smiths Falls 5 Limited Partnership</v>
          </cell>
          <cell r="E401" t="str">
            <v>CO</v>
          </cell>
          <cell r="F401">
            <v>41323</v>
          </cell>
          <cell r="G401">
            <v>41318</v>
          </cell>
          <cell r="H401">
            <v>48622</v>
          </cell>
          <cell r="I401" t="str">
            <v>19 years, 11 months, 30 days</v>
          </cell>
          <cell r="J401" t="str">
            <v>Renewables</v>
          </cell>
          <cell r="K401" t="str">
            <v>Solar (Ground Mounted)</v>
          </cell>
          <cell r="L401" t="str">
            <v>Solar</v>
          </cell>
          <cell r="M401" t="str">
            <v>Dx</v>
          </cell>
          <cell r="N401" t="str">
            <v>Smiths Falls</v>
          </cell>
          <cell r="O401" t="str">
            <v>Lanark</v>
          </cell>
          <cell r="P401" t="str">
            <v>East</v>
          </cell>
        </row>
        <row r="402">
          <cell r="C402" t="str">
            <v>Middlebrook, 594 Glengarry Cres</v>
          </cell>
          <cell r="D402" t="str">
            <v>2249122 Ont Ltd</v>
          </cell>
          <cell r="E402" t="str">
            <v>CO</v>
          </cell>
          <cell r="F402">
            <v>41799</v>
          </cell>
          <cell r="G402">
            <v>41187</v>
          </cell>
          <cell r="H402">
            <v>48491</v>
          </cell>
          <cell r="I402" t="str">
            <v>19 years, 11 months, 29 days</v>
          </cell>
          <cell r="J402" t="str">
            <v>Renewables</v>
          </cell>
          <cell r="K402" t="str">
            <v>Solar (Rooftop)</v>
          </cell>
          <cell r="L402" t="str">
            <v>Solar</v>
          </cell>
          <cell r="M402" t="str">
            <v>Dx</v>
          </cell>
          <cell r="N402" t="str">
            <v>Fergus</v>
          </cell>
          <cell r="O402" t="str">
            <v>Wellington</v>
          </cell>
          <cell r="P402" t="str">
            <v>Southwest</v>
          </cell>
        </row>
        <row r="403">
          <cell r="C403" t="str">
            <v>York Mills Arena Solar PV</v>
          </cell>
          <cell r="D403" t="str">
            <v>Toronto Hydro-Electric System Limited</v>
          </cell>
          <cell r="E403" t="str">
            <v>CO</v>
          </cell>
          <cell r="F403">
            <v>41832</v>
          </cell>
          <cell r="G403">
            <v>41332</v>
          </cell>
          <cell r="H403">
            <v>48636</v>
          </cell>
          <cell r="I403" t="str">
            <v>19 years, 11 months, 30 days</v>
          </cell>
          <cell r="J403" t="str">
            <v>Renewables</v>
          </cell>
          <cell r="K403" t="str">
            <v>Solar (Rooftop)</v>
          </cell>
          <cell r="L403" t="str">
            <v>Solar</v>
          </cell>
          <cell r="M403" t="str">
            <v>Dx</v>
          </cell>
          <cell r="N403" t="str">
            <v>Toronto</v>
          </cell>
          <cell r="O403" t="str">
            <v>Toronto</v>
          </cell>
          <cell r="P403" t="str">
            <v>Toronto</v>
          </cell>
        </row>
        <row r="404">
          <cell r="C404" t="str">
            <v>1010 Lorne Street</v>
          </cell>
          <cell r="D404" t="str">
            <v>1010 Lorne Street Inc.</v>
          </cell>
          <cell r="E404" t="str">
            <v>CO</v>
          </cell>
          <cell r="F404">
            <v>41029</v>
          </cell>
          <cell r="G404">
            <v>40827</v>
          </cell>
          <cell r="H404">
            <v>48131</v>
          </cell>
          <cell r="I404" t="str">
            <v>19 years, 11 months, 29 days</v>
          </cell>
          <cell r="J404" t="str">
            <v>Renewables</v>
          </cell>
          <cell r="K404" t="str">
            <v>Solar (Rooftop)</v>
          </cell>
          <cell r="L404" t="str">
            <v>Solar</v>
          </cell>
          <cell r="M404" t="str">
            <v>Dx</v>
          </cell>
          <cell r="N404" t="str">
            <v>Sudbury</v>
          </cell>
          <cell r="O404" t="str">
            <v>Greater Sudbury</v>
          </cell>
          <cell r="P404" t="str">
            <v>Northeast</v>
          </cell>
        </row>
        <row r="405">
          <cell r="C405" t="str">
            <v>Snow Racer -1</v>
          </cell>
          <cell r="D405" t="str">
            <v>Sloot Construction Ltd.</v>
          </cell>
          <cell r="E405" t="str">
            <v>CO</v>
          </cell>
          <cell r="F405">
            <v>41813</v>
          </cell>
          <cell r="G405">
            <v>41295</v>
          </cell>
          <cell r="H405">
            <v>48599</v>
          </cell>
          <cell r="I405" t="str">
            <v>19 years, 11 months, 30 days</v>
          </cell>
          <cell r="J405" t="str">
            <v>Renewables</v>
          </cell>
          <cell r="K405" t="str">
            <v>Solar (Rooftop)</v>
          </cell>
          <cell r="L405" t="str">
            <v>Solar</v>
          </cell>
          <cell r="M405" t="str">
            <v>Dx</v>
          </cell>
          <cell r="N405" t="str">
            <v>Puslinch</v>
          </cell>
          <cell r="O405" t="str">
            <v>Wellington</v>
          </cell>
          <cell r="P405" t="str">
            <v>Southwest</v>
          </cell>
        </row>
        <row r="406">
          <cell r="C406" t="str">
            <v>417 Bus Line</v>
          </cell>
          <cell r="D406" t="str">
            <v>GYMMA INC.</v>
          </cell>
          <cell r="E406" t="str">
            <v>CO</v>
          </cell>
          <cell r="F406">
            <v>41029</v>
          </cell>
          <cell r="G406">
            <v>40949</v>
          </cell>
          <cell r="H406">
            <v>48253</v>
          </cell>
          <cell r="I406" t="str">
            <v>19 years, 11 months, 30 days</v>
          </cell>
          <cell r="J406" t="str">
            <v>Renewables</v>
          </cell>
          <cell r="K406" t="str">
            <v>Solar (Rooftop)</v>
          </cell>
          <cell r="L406" t="str">
            <v>Solar</v>
          </cell>
          <cell r="M406" t="str">
            <v>Dx</v>
          </cell>
          <cell r="N406" t="str">
            <v>Casselman</v>
          </cell>
          <cell r="O406" t="str">
            <v>Prescott and Russell</v>
          </cell>
          <cell r="P406" t="str">
            <v>Ottawa</v>
          </cell>
        </row>
        <row r="407">
          <cell r="C407" t="str">
            <v>Sumac Ridge Wind Farm</v>
          </cell>
          <cell r="D407" t="str">
            <v>SWNS Wind LP</v>
          </cell>
          <cell r="E407" t="str">
            <v>CO</v>
          </cell>
          <cell r="F407">
            <v>42654</v>
          </cell>
          <cell r="G407">
            <v>43048</v>
          </cell>
          <cell r="H407">
            <v>49958</v>
          </cell>
          <cell r="I407" t="str">
            <v>18 years, 11 months, 1 days</v>
          </cell>
          <cell r="J407" t="str">
            <v>Renewables</v>
          </cell>
          <cell r="K407" t="str">
            <v>Wind (On-Shore)</v>
          </cell>
          <cell r="L407" t="str">
            <v>Wind</v>
          </cell>
          <cell r="M407" t="str">
            <v>Dx</v>
          </cell>
          <cell r="N407" t="str">
            <v>Pontypool</v>
          </cell>
          <cell r="O407" t="str">
            <v>Kawartha Lakes</v>
          </cell>
          <cell r="P407" t="str">
            <v>Toronto</v>
          </cell>
        </row>
        <row r="408">
          <cell r="C408" t="str">
            <v>H06-35 PINEBUSH</v>
          </cell>
          <cell r="D408" t="str">
            <v>MOM Solar Limited Partnership</v>
          </cell>
          <cell r="E408" t="str">
            <v>CO</v>
          </cell>
          <cell r="F408">
            <v>41029</v>
          </cell>
          <cell r="G408">
            <v>41183</v>
          </cell>
          <cell r="H408">
            <v>48487</v>
          </cell>
          <cell r="I408" t="str">
            <v>19 years, 11 months, 29 days</v>
          </cell>
          <cell r="J408" t="str">
            <v>Renewables</v>
          </cell>
          <cell r="K408" t="str">
            <v>Solar (Rooftop)</v>
          </cell>
          <cell r="L408" t="str">
            <v>Solar</v>
          </cell>
          <cell r="M408" t="str">
            <v>Dx</v>
          </cell>
          <cell r="N408" t="str">
            <v>Cambridge</v>
          </cell>
          <cell r="O408" t="str">
            <v>Waterloo</v>
          </cell>
          <cell r="P408" t="str">
            <v>Southwest</v>
          </cell>
        </row>
        <row r="409">
          <cell r="C409" t="str">
            <v>Solray Energy Forfar 3</v>
          </cell>
          <cell r="D409" t="str">
            <v>Potentia Solar 14 Limited Partnership</v>
          </cell>
          <cell r="E409" t="str">
            <v>CO</v>
          </cell>
          <cell r="F409">
            <v>41695</v>
          </cell>
          <cell r="G409">
            <v>42228</v>
          </cell>
          <cell r="H409">
            <v>49532</v>
          </cell>
          <cell r="I409" t="str">
            <v>19 years, 11 months, 30 days</v>
          </cell>
          <cell r="J409" t="str">
            <v>Renewables</v>
          </cell>
          <cell r="K409" t="str">
            <v>Solar (Ground Mounted)</v>
          </cell>
          <cell r="L409" t="str">
            <v>Solar</v>
          </cell>
          <cell r="M409" t="str">
            <v>Dx</v>
          </cell>
          <cell r="N409" t="str">
            <v>Portland</v>
          </cell>
          <cell r="O409" t="str">
            <v>Leeds and Grenville</v>
          </cell>
          <cell r="P409" t="str">
            <v>East</v>
          </cell>
        </row>
        <row r="410">
          <cell r="C410" t="str">
            <v>Frook Biogas Facility 2</v>
          </cell>
          <cell r="D410" t="str">
            <v>Marl Creek Renewables Inc.</v>
          </cell>
          <cell r="E410" t="str">
            <v>CO</v>
          </cell>
          <cell r="F410">
            <v>41442</v>
          </cell>
          <cell r="G410">
            <v>41254</v>
          </cell>
          <cell r="H410">
            <v>48558</v>
          </cell>
          <cell r="I410" t="str">
            <v>19 years, 11 months, 29 days</v>
          </cell>
          <cell r="J410" t="str">
            <v>Renewables</v>
          </cell>
          <cell r="K410" t="str">
            <v>Bioenergy</v>
          </cell>
          <cell r="L410" t="str">
            <v>Biogas (On-Farm)</v>
          </cell>
          <cell r="M410" t="str">
            <v>Dx</v>
          </cell>
          <cell r="N410" t="str">
            <v>Elmwood</v>
          </cell>
          <cell r="O410" t="str">
            <v>Bruce</v>
          </cell>
          <cell r="P410" t="str">
            <v>Southwest</v>
          </cell>
        </row>
        <row r="411">
          <cell r="C411" t="str">
            <v>Schouten Corner View Farms Ltd.</v>
          </cell>
          <cell r="D411" t="str">
            <v>Schouten Corner View Farms Ltd.</v>
          </cell>
          <cell r="E411" t="str">
            <v>CO</v>
          </cell>
          <cell r="F411">
            <v>41888</v>
          </cell>
          <cell r="G411">
            <v>41656</v>
          </cell>
          <cell r="H411">
            <v>48960</v>
          </cell>
          <cell r="I411" t="str">
            <v>19 years, 11 months, 30 days</v>
          </cell>
          <cell r="J411" t="str">
            <v>Renewables</v>
          </cell>
          <cell r="K411" t="str">
            <v>Bioenergy</v>
          </cell>
          <cell r="L411" t="str">
            <v>Biogas</v>
          </cell>
          <cell r="M411" t="str">
            <v>Dx</v>
          </cell>
          <cell r="N411" t="str">
            <v>Richmond</v>
          </cell>
          <cell r="O411" t="str">
            <v>Ottawa</v>
          </cell>
          <cell r="P411" t="str">
            <v>Ottawa</v>
          </cell>
        </row>
        <row r="412">
          <cell r="C412" t="str">
            <v>2460 Tedlo St</v>
          </cell>
          <cell r="D412" t="str">
            <v>PSI Solar Finance 1 Limited Partnership</v>
          </cell>
          <cell r="E412" t="str">
            <v>CO</v>
          </cell>
          <cell r="F412">
            <v>41029</v>
          </cell>
          <cell r="G412">
            <v>40794</v>
          </cell>
          <cell r="H412">
            <v>48098</v>
          </cell>
          <cell r="I412" t="str">
            <v>19 years, 11 months, 30 days</v>
          </cell>
          <cell r="J412" t="str">
            <v>Renewables</v>
          </cell>
          <cell r="K412" t="str">
            <v>Solar (Rooftop)</v>
          </cell>
          <cell r="L412" t="str">
            <v>Solar</v>
          </cell>
          <cell r="M412" t="str">
            <v>Dx</v>
          </cell>
          <cell r="N412" t="str">
            <v>Mississauga</v>
          </cell>
          <cell r="O412" t="str">
            <v>Peel</v>
          </cell>
          <cell r="P412" t="str">
            <v>Toronto</v>
          </cell>
        </row>
        <row r="413">
          <cell r="C413" t="str">
            <v>Clovermead Farms Biogas</v>
          </cell>
          <cell r="D413" t="str">
            <v>Clovermead Farms Inc.</v>
          </cell>
          <cell r="E413" t="str">
            <v>CO</v>
          </cell>
          <cell r="F413">
            <v>41363</v>
          </cell>
          <cell r="G413">
            <v>41200</v>
          </cell>
          <cell r="H413">
            <v>48504</v>
          </cell>
          <cell r="I413" t="str">
            <v>19 years, 11 months, 29 days</v>
          </cell>
          <cell r="J413" t="str">
            <v>Renewables</v>
          </cell>
          <cell r="K413" t="str">
            <v>Bioenergy</v>
          </cell>
          <cell r="L413" t="str">
            <v>Biogas (On-Farm)</v>
          </cell>
          <cell r="M413" t="str">
            <v>Dx</v>
          </cell>
          <cell r="N413" t="str">
            <v>Alma</v>
          </cell>
          <cell r="O413" t="str">
            <v>Wellington</v>
          </cell>
          <cell r="P413" t="str">
            <v>Southwest</v>
          </cell>
        </row>
        <row r="414">
          <cell r="C414" t="str">
            <v>Robert Van Rooyen Solar</v>
          </cell>
          <cell r="D414" t="str">
            <v>2458215 Ontario Inc.</v>
          </cell>
          <cell r="E414" t="str">
            <v>CO</v>
          </cell>
          <cell r="F414">
            <v>41841</v>
          </cell>
          <cell r="G414">
            <v>42017</v>
          </cell>
          <cell r="H414">
            <v>49321</v>
          </cell>
          <cell r="I414" t="str">
            <v>19 years, 11 months, 30 days</v>
          </cell>
          <cell r="J414" t="str">
            <v>Renewables</v>
          </cell>
          <cell r="K414" t="str">
            <v>Solar (Rooftop)</v>
          </cell>
          <cell r="L414" t="str">
            <v>Solar</v>
          </cell>
          <cell r="M414" t="str">
            <v>Dx</v>
          </cell>
          <cell r="N414" t="str">
            <v>Chatham</v>
          </cell>
          <cell r="O414" t="str">
            <v>Chatham-Kent</v>
          </cell>
          <cell r="P414" t="str">
            <v>West</v>
          </cell>
        </row>
        <row r="415">
          <cell r="C415" t="str">
            <v>Entrepot</v>
          </cell>
          <cell r="D415" t="str">
            <v>8303703 Canada Inc.</v>
          </cell>
          <cell r="E415" t="str">
            <v>CO</v>
          </cell>
          <cell r="F415">
            <v>41820</v>
          </cell>
          <cell r="G415">
            <v>41535</v>
          </cell>
          <cell r="H415">
            <v>48839</v>
          </cell>
          <cell r="I415" t="str">
            <v>19 years, 11 months, 30 days</v>
          </cell>
          <cell r="J415" t="str">
            <v>Renewables</v>
          </cell>
          <cell r="K415" t="str">
            <v>Solar (Rooftop)</v>
          </cell>
          <cell r="L415" t="str">
            <v>Solar</v>
          </cell>
          <cell r="M415" t="str">
            <v>Dx</v>
          </cell>
          <cell r="N415" t="str">
            <v>St. Eugene</v>
          </cell>
          <cell r="O415" t="str">
            <v>Prescott and Russell</v>
          </cell>
          <cell r="P415" t="str">
            <v>Ottawa</v>
          </cell>
        </row>
        <row r="416">
          <cell r="C416" t="str">
            <v>10011R - 1067 Niagara Stone</v>
          </cell>
          <cell r="D416" t="str">
            <v>PRI RT Solar LP</v>
          </cell>
          <cell r="E416" t="str">
            <v>CO</v>
          </cell>
          <cell r="F416">
            <v>41827</v>
          </cell>
          <cell r="G416">
            <v>41652</v>
          </cell>
          <cell r="H416">
            <v>48956</v>
          </cell>
          <cell r="I416" t="str">
            <v>19 years, 11 months, 30 days</v>
          </cell>
          <cell r="J416" t="str">
            <v>Renewables</v>
          </cell>
          <cell r="K416" t="str">
            <v>Solar (Rooftop)</v>
          </cell>
          <cell r="L416" t="str">
            <v>Solar</v>
          </cell>
          <cell r="M416" t="str">
            <v>Dx</v>
          </cell>
          <cell r="N416" t="str">
            <v>Niagara-on-the-Lake</v>
          </cell>
          <cell r="O416" t="str">
            <v>Niagara</v>
          </cell>
          <cell r="P416" t="str">
            <v>Niagara</v>
          </cell>
        </row>
        <row r="417">
          <cell r="C417" t="str">
            <v>3154 CR -1</v>
          </cell>
          <cell r="D417" t="str">
            <v>CLEAVE ENERGY HOLDINGS LTD.</v>
          </cell>
          <cell r="E417" t="str">
            <v>CO</v>
          </cell>
          <cell r="F417">
            <v>41790</v>
          </cell>
          <cell r="G417">
            <v>41949</v>
          </cell>
          <cell r="H417">
            <v>49094</v>
          </cell>
          <cell r="I417" t="str">
            <v>19 years, 6 months, 24 days</v>
          </cell>
          <cell r="J417" t="str">
            <v>Renewables</v>
          </cell>
          <cell r="K417" t="str">
            <v>Solar (Rooftop)</v>
          </cell>
          <cell r="L417" t="str">
            <v>Solar</v>
          </cell>
          <cell r="M417" t="str">
            <v>Dx</v>
          </cell>
          <cell r="N417" t="str">
            <v>Bloomfield</v>
          </cell>
          <cell r="O417" t="str">
            <v>Prince Edward</v>
          </cell>
          <cell r="P417" t="str">
            <v>East</v>
          </cell>
        </row>
        <row r="418">
          <cell r="C418" t="str">
            <v>PowerStream 2010-116</v>
          </cell>
          <cell r="D418" t="str">
            <v>Alectra Utilities Corporation</v>
          </cell>
          <cell r="E418" t="str">
            <v>CO</v>
          </cell>
          <cell r="F418">
            <v>41826</v>
          </cell>
          <cell r="G418">
            <v>41246</v>
          </cell>
          <cell r="H418">
            <v>48550</v>
          </cell>
          <cell r="I418" t="str">
            <v>19 years, 11 months, 29 days</v>
          </cell>
          <cell r="J418" t="str">
            <v>Renewables</v>
          </cell>
          <cell r="K418" t="str">
            <v>Solar (Rooftop)</v>
          </cell>
          <cell r="L418" t="str">
            <v>Solar</v>
          </cell>
          <cell r="M418" t="str">
            <v>Dx</v>
          </cell>
          <cell r="N418" t="str">
            <v>Markham</v>
          </cell>
          <cell r="O418" t="str">
            <v>York</v>
          </cell>
          <cell r="P418" t="str">
            <v>Toronto</v>
          </cell>
        </row>
        <row r="419">
          <cell r="C419" t="str">
            <v>Nature Feed Centre</v>
          </cell>
          <cell r="D419" t="str">
            <v>Nature Feed Centre Inc.</v>
          </cell>
          <cell r="E419" t="str">
            <v>CO</v>
          </cell>
          <cell r="F419">
            <v>41029</v>
          </cell>
          <cell r="G419">
            <v>40819</v>
          </cell>
          <cell r="H419">
            <v>48123</v>
          </cell>
          <cell r="I419" t="str">
            <v>19 years, 11 months, 29 days</v>
          </cell>
          <cell r="J419" t="str">
            <v>Renewables</v>
          </cell>
          <cell r="K419" t="str">
            <v>Solar (Rooftop)</v>
          </cell>
          <cell r="L419" t="str">
            <v>Solar</v>
          </cell>
          <cell r="M419" t="str">
            <v>Dx</v>
          </cell>
          <cell r="N419" t="str">
            <v>Burgessville</v>
          </cell>
          <cell r="O419" t="str">
            <v>Oxford</v>
          </cell>
          <cell r="P419" t="str">
            <v>Southwest</v>
          </cell>
        </row>
        <row r="420">
          <cell r="C420" t="str">
            <v>3700 WESTON</v>
          </cell>
          <cell r="D420" t="str">
            <v>PSI Solar Finance 1 Limited Partnership</v>
          </cell>
          <cell r="E420" t="str">
            <v>CO</v>
          </cell>
          <cell r="F420">
            <v>41029</v>
          </cell>
          <cell r="G420">
            <v>41040</v>
          </cell>
          <cell r="H420">
            <v>48333</v>
          </cell>
          <cell r="I420" t="str">
            <v>19 years, 11 months, 18 days</v>
          </cell>
          <cell r="J420" t="str">
            <v>Renewables</v>
          </cell>
          <cell r="K420" t="str">
            <v>Solar (Rooftop)</v>
          </cell>
          <cell r="L420" t="str">
            <v>Solar</v>
          </cell>
          <cell r="M420" t="str">
            <v>Dx</v>
          </cell>
          <cell r="N420" t="str">
            <v>Toronto</v>
          </cell>
          <cell r="O420" t="str">
            <v>Toronto</v>
          </cell>
          <cell r="P420" t="str">
            <v>Toronto</v>
          </cell>
        </row>
        <row r="421">
          <cell r="C421" t="str">
            <v>1388319 533 Imperial</v>
          </cell>
          <cell r="D421" t="str">
            <v>St. Regis Solar Power Corporation</v>
          </cell>
          <cell r="E421" t="str">
            <v>CO</v>
          </cell>
          <cell r="F421">
            <v>41834</v>
          </cell>
          <cell r="G421">
            <v>41410</v>
          </cell>
          <cell r="H421">
            <v>48714</v>
          </cell>
          <cell r="I421" t="str">
            <v>19 years, 11 months, 29 days</v>
          </cell>
          <cell r="J421" t="str">
            <v>Renewables</v>
          </cell>
          <cell r="K421" t="str">
            <v>Solar (Rooftop)</v>
          </cell>
          <cell r="L421" t="str">
            <v>Solar</v>
          </cell>
          <cell r="M421" t="str">
            <v>Dx</v>
          </cell>
          <cell r="N421" t="str">
            <v>Guelph</v>
          </cell>
          <cell r="O421" t="str">
            <v>Wellington</v>
          </cell>
          <cell r="P421" t="str">
            <v>Southwest</v>
          </cell>
        </row>
        <row r="422">
          <cell r="C422" t="str">
            <v>Windsor Renewable Energy L1</v>
          </cell>
          <cell r="D422" t="str">
            <v>1277032 Ontario Inc.</v>
          </cell>
          <cell r="E422" t="str">
            <v>CO</v>
          </cell>
          <cell r="F422">
            <v>41029</v>
          </cell>
          <cell r="G422">
            <v>40737</v>
          </cell>
          <cell r="H422">
            <v>48041</v>
          </cell>
          <cell r="I422" t="str">
            <v>19 years, 11 months, 29 days</v>
          </cell>
          <cell r="J422" t="str">
            <v>Renewables</v>
          </cell>
          <cell r="K422" t="str">
            <v>Solar (Rooftop)</v>
          </cell>
          <cell r="L422" t="str">
            <v>Solar</v>
          </cell>
          <cell r="M422" t="str">
            <v>Dx</v>
          </cell>
          <cell r="N422" t="str">
            <v>Oldcastle</v>
          </cell>
          <cell r="O422" t="str">
            <v>Essex</v>
          </cell>
          <cell r="P422" t="str">
            <v>West</v>
          </cell>
        </row>
        <row r="423">
          <cell r="C423" t="str">
            <v>Centennial Plastic</v>
          </cell>
          <cell r="D423" t="str">
            <v>Centennial Plastic Mfg Ltd.</v>
          </cell>
          <cell r="E423" t="str">
            <v>CO</v>
          </cell>
          <cell r="F423">
            <v>41029</v>
          </cell>
          <cell r="G423">
            <v>40717</v>
          </cell>
          <cell r="H423">
            <v>48021</v>
          </cell>
          <cell r="I423" t="str">
            <v>19 years, 11 months, 30 days</v>
          </cell>
          <cell r="J423" t="str">
            <v>Renewables</v>
          </cell>
          <cell r="K423" t="str">
            <v>Solar (Rooftop)</v>
          </cell>
          <cell r="L423" t="str">
            <v>Solar</v>
          </cell>
          <cell r="M423" t="str">
            <v>Dx</v>
          </cell>
          <cell r="N423" t="str">
            <v>Mississauga</v>
          </cell>
          <cell r="O423" t="str">
            <v>Peel</v>
          </cell>
          <cell r="P423" t="str">
            <v>Toronto</v>
          </cell>
        </row>
        <row r="424">
          <cell r="C424" t="str">
            <v>White Otter Falls Hydroelectric Project</v>
          </cell>
          <cell r="D424" t="str">
            <v>Nipiy-WOF HydroKap L.P.</v>
          </cell>
          <cell r="E424" t="str">
            <v>CO</v>
          </cell>
          <cell r="F424">
            <v>41583</v>
          </cell>
          <cell r="G424">
            <v>41479</v>
          </cell>
          <cell r="H424">
            <v>56088</v>
          </cell>
          <cell r="I424" t="str">
            <v>39 years, 11 months, 29 days</v>
          </cell>
          <cell r="J424" t="str">
            <v>Renewables</v>
          </cell>
          <cell r="K424" t="str">
            <v>Run-of-River</v>
          </cell>
          <cell r="L424" t="str">
            <v>Waterpower</v>
          </cell>
          <cell r="M424" t="str">
            <v>Dx</v>
          </cell>
          <cell r="N424" t="str">
            <v>Kapuskasing</v>
          </cell>
          <cell r="O424" t="str">
            <v>Cochrane</v>
          </cell>
          <cell r="P424" t="str">
            <v>Northeast</v>
          </cell>
        </row>
        <row r="425">
          <cell r="C425" t="str">
            <v>T04-221 Todd Baylis</v>
          </cell>
          <cell r="D425" t="str">
            <v>Alectra Utilities Corporation</v>
          </cell>
          <cell r="E425" t="str">
            <v>CO</v>
          </cell>
          <cell r="F425">
            <v>41727</v>
          </cell>
          <cell r="G425">
            <v>41523</v>
          </cell>
          <cell r="H425">
            <v>48827</v>
          </cell>
          <cell r="I425" t="str">
            <v>19 years, 11 months, 30 days</v>
          </cell>
          <cell r="J425" t="str">
            <v>Renewables</v>
          </cell>
          <cell r="K425" t="str">
            <v>Solar (Rooftop)</v>
          </cell>
          <cell r="L425" t="str">
            <v>Solar</v>
          </cell>
          <cell r="M425" t="str">
            <v>Dx</v>
          </cell>
          <cell r="N425" t="str">
            <v>Toronto</v>
          </cell>
          <cell r="O425" t="str">
            <v>Toronto</v>
          </cell>
          <cell r="P425" t="str">
            <v>Toronto</v>
          </cell>
        </row>
        <row r="426">
          <cell r="C426" t="str">
            <v>Appleby Woods</v>
          </cell>
          <cell r="D426" t="str">
            <v>Halton Standard Condominium Corporation #550</v>
          </cell>
          <cell r="E426" t="str">
            <v>CO</v>
          </cell>
          <cell r="F426">
            <v>40663</v>
          </cell>
          <cell r="G426">
            <v>40548</v>
          </cell>
          <cell r="H426">
            <v>47852</v>
          </cell>
          <cell r="I426" t="str">
            <v>19 years, 11 months, 30 days</v>
          </cell>
          <cell r="J426" t="str">
            <v>Renewables</v>
          </cell>
          <cell r="K426" t="str">
            <v>Solar (Rooftop)</v>
          </cell>
          <cell r="L426" t="str">
            <v>Solar</v>
          </cell>
          <cell r="M426" t="str">
            <v>Dx</v>
          </cell>
          <cell r="N426" t="str">
            <v>Burlington</v>
          </cell>
          <cell r="O426" t="str">
            <v>Halton</v>
          </cell>
          <cell r="P426" t="str">
            <v>Southwest</v>
          </cell>
        </row>
        <row r="427">
          <cell r="C427" t="str">
            <v>Homeland Non Profit Housing Complex Inc</v>
          </cell>
          <cell r="D427" t="str">
            <v>Alectra Utilities Corporation</v>
          </cell>
          <cell r="E427" t="str">
            <v>CO</v>
          </cell>
          <cell r="F427">
            <v>41818</v>
          </cell>
          <cell r="G427">
            <v>41892</v>
          </cell>
          <cell r="H427">
            <v>49196</v>
          </cell>
          <cell r="I427" t="str">
            <v>19 years, 11 months, 30 days</v>
          </cell>
          <cell r="J427" t="str">
            <v>Renewables</v>
          </cell>
          <cell r="K427" t="str">
            <v>Solar (Rooftop)</v>
          </cell>
          <cell r="L427" t="str">
            <v>Solar</v>
          </cell>
          <cell r="M427" t="str">
            <v>Dx</v>
          </cell>
          <cell r="N427" t="str">
            <v>Windsor</v>
          </cell>
          <cell r="O427" t="str">
            <v>Essex</v>
          </cell>
          <cell r="P427" t="str">
            <v>West</v>
          </cell>
        </row>
        <row r="428">
          <cell r="C428" t="str">
            <v>Endura Energy 620 South Cayuga</v>
          </cell>
          <cell r="D428" t="str">
            <v>Brian Ricker Farms Ltd.</v>
          </cell>
          <cell r="E428" t="str">
            <v>CO</v>
          </cell>
          <cell r="F428">
            <v>41029</v>
          </cell>
          <cell r="G428">
            <v>41009</v>
          </cell>
          <cell r="H428">
            <v>48313</v>
          </cell>
          <cell r="I428" t="str">
            <v>19 years, 11 months, 30 days</v>
          </cell>
          <cell r="J428" t="str">
            <v>Renewables</v>
          </cell>
          <cell r="K428" t="str">
            <v>Solar (Rooftop)</v>
          </cell>
          <cell r="L428" t="str">
            <v>Solar</v>
          </cell>
          <cell r="M428" t="str">
            <v>Dx</v>
          </cell>
          <cell r="N428" t="str">
            <v>Dunnville</v>
          </cell>
          <cell r="O428" t="str">
            <v>Haldimand</v>
          </cell>
          <cell r="P428" t="str">
            <v>Southwest</v>
          </cell>
        </row>
        <row r="429">
          <cell r="C429" t="str">
            <v>Ashley Park</v>
          </cell>
          <cell r="D429" t="str">
            <v>Ian Ihnatowycz</v>
          </cell>
          <cell r="E429" t="str">
            <v>CO</v>
          </cell>
          <cell r="F429">
            <v>41355</v>
          </cell>
          <cell r="G429">
            <v>40347</v>
          </cell>
          <cell r="H429">
            <v>47651</v>
          </cell>
          <cell r="I429" t="str">
            <v>19 years, 11 months, 30 days</v>
          </cell>
          <cell r="J429" t="str">
            <v>Renewables</v>
          </cell>
          <cell r="K429" t="str">
            <v>Solar (Rooftop)</v>
          </cell>
          <cell r="L429" t="str">
            <v>Solar</v>
          </cell>
          <cell r="M429" t="str">
            <v>Dx</v>
          </cell>
          <cell r="N429" t="str">
            <v>Toronto</v>
          </cell>
          <cell r="O429" t="str">
            <v>Toronto</v>
          </cell>
          <cell r="P429" t="str">
            <v>Toronto</v>
          </cell>
        </row>
        <row r="430">
          <cell r="C430" t="str">
            <v>McGregor Park Arena Solar PV</v>
          </cell>
          <cell r="D430" t="str">
            <v>Toronto Hydro-Electric System Limited</v>
          </cell>
          <cell r="E430" t="str">
            <v>CO</v>
          </cell>
          <cell r="F430">
            <v>41832</v>
          </cell>
          <cell r="G430">
            <v>41332</v>
          </cell>
          <cell r="H430">
            <v>48636</v>
          </cell>
          <cell r="I430" t="str">
            <v>19 years, 11 months, 30 days</v>
          </cell>
          <cell r="J430" t="str">
            <v>Renewables</v>
          </cell>
          <cell r="K430" t="str">
            <v>Solar (Rooftop)</v>
          </cell>
          <cell r="L430" t="str">
            <v>Solar</v>
          </cell>
          <cell r="M430" t="str">
            <v>Dx</v>
          </cell>
          <cell r="N430" t="str">
            <v>Toronto</v>
          </cell>
          <cell r="O430" t="str">
            <v>Toronto</v>
          </cell>
          <cell r="P430" t="str">
            <v>Toronto</v>
          </cell>
        </row>
        <row r="431">
          <cell r="C431" t="str">
            <v>Quinn Roofing Solutions Inc.</v>
          </cell>
          <cell r="D431" t="str">
            <v>Alectra Utilities Corporation</v>
          </cell>
          <cell r="E431" t="str">
            <v>CO</v>
          </cell>
          <cell r="F431">
            <v>41820</v>
          </cell>
          <cell r="G431">
            <v>41589</v>
          </cell>
          <cell r="H431">
            <v>48893</v>
          </cell>
          <cell r="I431" t="str">
            <v>19 years, 11 months, 30 days</v>
          </cell>
          <cell r="J431" t="str">
            <v>Renewables</v>
          </cell>
          <cell r="K431" t="str">
            <v>Solar (Rooftop)</v>
          </cell>
          <cell r="L431" t="str">
            <v>Solar</v>
          </cell>
          <cell r="M431" t="str">
            <v>Dx</v>
          </cell>
          <cell r="N431" t="str">
            <v>Windsor</v>
          </cell>
          <cell r="O431" t="str">
            <v>Essex</v>
          </cell>
          <cell r="P431" t="str">
            <v>West</v>
          </cell>
        </row>
        <row r="432">
          <cell r="C432" t="str">
            <v>Penn Energy - Roseplain</v>
          </cell>
          <cell r="D432" t="str">
            <v>Roseplain Solar Farm Partnership</v>
          </cell>
          <cell r="E432" t="str">
            <v>CO</v>
          </cell>
          <cell r="F432">
            <v>41695</v>
          </cell>
          <cell r="G432">
            <v>42157</v>
          </cell>
          <cell r="H432">
            <v>49461</v>
          </cell>
          <cell r="I432" t="str">
            <v>19 years, 11 months, 30 days</v>
          </cell>
          <cell r="J432" t="str">
            <v>Renewables</v>
          </cell>
          <cell r="K432" t="str">
            <v>Solar (Ground Mounted)</v>
          </cell>
          <cell r="L432" t="str">
            <v>Solar</v>
          </cell>
          <cell r="M432" t="str">
            <v>Dx</v>
          </cell>
          <cell r="N432" t="str">
            <v>Goodwood</v>
          </cell>
          <cell r="O432" t="str">
            <v>Durham</v>
          </cell>
          <cell r="P432" t="str">
            <v>Essa</v>
          </cell>
        </row>
        <row r="433">
          <cell r="C433" t="str">
            <v>EffiSolar Stone Mills Solar Farm D (500KW)</v>
          </cell>
          <cell r="D433" t="str">
            <v>Alectra Utilities Corporation</v>
          </cell>
          <cell r="E433" t="str">
            <v>CO</v>
          </cell>
          <cell r="F433">
            <v>41029</v>
          </cell>
          <cell r="G433">
            <v>41162</v>
          </cell>
          <cell r="H433">
            <v>48466</v>
          </cell>
          <cell r="I433" t="str">
            <v>19 years, 11 months, 30 days</v>
          </cell>
          <cell r="J433" t="str">
            <v>Renewables</v>
          </cell>
          <cell r="K433" t="str">
            <v>Solar (Rooftop)</v>
          </cell>
          <cell r="L433" t="str">
            <v>Solar</v>
          </cell>
          <cell r="M433" t="str">
            <v>Dx</v>
          </cell>
          <cell r="N433" t="str">
            <v>Camden East</v>
          </cell>
          <cell r="O433" t="str">
            <v>Lennox and Addington</v>
          </cell>
          <cell r="P433" t="str">
            <v>East</v>
          </cell>
        </row>
        <row r="434">
          <cell r="C434" t="str">
            <v>PowerStream 2009-077</v>
          </cell>
          <cell r="D434" t="str">
            <v>Alectra Utilities Corporation</v>
          </cell>
          <cell r="E434" t="str">
            <v>CO</v>
          </cell>
          <cell r="F434">
            <v>40663</v>
          </cell>
          <cell r="G434">
            <v>40662</v>
          </cell>
          <cell r="H434">
            <v>47966</v>
          </cell>
          <cell r="I434" t="str">
            <v>19 years, 11 months, 30 days</v>
          </cell>
          <cell r="J434" t="str">
            <v>Renewables</v>
          </cell>
          <cell r="K434" t="str">
            <v>Solar (Rooftop)</v>
          </cell>
          <cell r="L434" t="str">
            <v>Solar</v>
          </cell>
          <cell r="M434" t="str">
            <v>Dx</v>
          </cell>
          <cell r="N434" t="str">
            <v>Barrie</v>
          </cell>
          <cell r="O434" t="str">
            <v>Simcoe</v>
          </cell>
          <cell r="P434" t="str">
            <v>Essa</v>
          </cell>
        </row>
        <row r="435">
          <cell r="C435" t="str">
            <v>Erieau Wind</v>
          </cell>
          <cell r="D435" t="str">
            <v>Erieau Wind LP</v>
          </cell>
          <cell r="E435" t="str">
            <v>CO</v>
          </cell>
          <cell r="F435">
            <v>41825</v>
          </cell>
          <cell r="G435">
            <v>41416</v>
          </cell>
          <cell r="H435">
            <v>48720</v>
          </cell>
          <cell r="I435" t="str">
            <v>19 years, 11 months, 29 days</v>
          </cell>
          <cell r="J435" t="str">
            <v>Renewables</v>
          </cell>
          <cell r="K435" t="str">
            <v>Wind (On-Shore)</v>
          </cell>
          <cell r="L435" t="str">
            <v>Wind</v>
          </cell>
          <cell r="M435" t="str">
            <v>Tx</v>
          </cell>
          <cell r="N435" t="str">
            <v>Blenheim</v>
          </cell>
          <cell r="O435" t="str">
            <v>Chatham-Kent</v>
          </cell>
          <cell r="P435" t="str">
            <v>West</v>
          </cell>
        </row>
        <row r="436">
          <cell r="C436" t="str">
            <v>Black Bay Solar Project Phase 2</v>
          </cell>
          <cell r="D436" t="str">
            <v>2397995 ONTARIO INC.</v>
          </cell>
          <cell r="E436" t="str">
            <v>CO</v>
          </cell>
          <cell r="F436">
            <v>41639</v>
          </cell>
          <cell r="G436">
            <v>42185</v>
          </cell>
          <cell r="H436">
            <v>48943</v>
          </cell>
          <cell r="I436" t="str">
            <v>18 years, 6 months, 0 days</v>
          </cell>
          <cell r="J436" t="str">
            <v>Renewables</v>
          </cell>
          <cell r="K436" t="str">
            <v>Solar (Ground Mounted)</v>
          </cell>
          <cell r="L436" t="str">
            <v>Solar</v>
          </cell>
          <cell r="M436" t="str">
            <v>Dx</v>
          </cell>
          <cell r="N436" t="str">
            <v>Red Rock</v>
          </cell>
          <cell r="O436" t="str">
            <v>Thunder Bay</v>
          </cell>
          <cell r="P436" t="str">
            <v>Northwest</v>
          </cell>
        </row>
        <row r="437">
          <cell r="C437" t="str">
            <v>Van Osch Farms B</v>
          </cell>
          <cell r="D437" t="str">
            <v>SE 2011 LP</v>
          </cell>
          <cell r="E437" t="str">
            <v>CO</v>
          </cell>
          <cell r="F437">
            <v>41029</v>
          </cell>
          <cell r="G437">
            <v>40724</v>
          </cell>
          <cell r="H437">
            <v>48028</v>
          </cell>
          <cell r="I437" t="str">
            <v>19 years, 11 months, 30 days</v>
          </cell>
          <cell r="J437" t="str">
            <v>Renewables</v>
          </cell>
          <cell r="K437" t="str">
            <v>Solar (Rooftop)</v>
          </cell>
          <cell r="L437" t="str">
            <v>Solar</v>
          </cell>
          <cell r="M437" t="str">
            <v>Dx</v>
          </cell>
          <cell r="N437" t="str">
            <v>Ailsa Craig</v>
          </cell>
          <cell r="O437" t="str">
            <v>Middlesex</v>
          </cell>
          <cell r="P437" t="str">
            <v>Southwest</v>
          </cell>
        </row>
        <row r="438">
          <cell r="C438" t="str">
            <v>7700 KEELE</v>
          </cell>
          <cell r="D438" t="str">
            <v>DC Solar Power Corp</v>
          </cell>
          <cell r="E438" t="str">
            <v>CO</v>
          </cell>
          <cell r="F438">
            <v>40663</v>
          </cell>
          <cell r="G438">
            <v>40562</v>
          </cell>
          <cell r="H438">
            <v>47866</v>
          </cell>
          <cell r="I438" t="str">
            <v>19 years, 11 months, 30 days</v>
          </cell>
          <cell r="J438" t="str">
            <v>Renewables</v>
          </cell>
          <cell r="K438" t="str">
            <v>Solar (Rooftop)</v>
          </cell>
          <cell r="L438" t="str">
            <v>Solar</v>
          </cell>
          <cell r="M438" t="str">
            <v>Dx</v>
          </cell>
          <cell r="N438" t="str">
            <v>Concord</v>
          </cell>
          <cell r="O438" t="str">
            <v>York</v>
          </cell>
          <cell r="P438" t="str">
            <v>Toronto</v>
          </cell>
        </row>
        <row r="439">
          <cell r="C439" t="str">
            <v>Spirit 35</v>
          </cell>
          <cell r="D439" t="str">
            <v>Chris Tambos</v>
          </cell>
          <cell r="E439" t="str">
            <v>CO</v>
          </cell>
          <cell r="F439">
            <v>41029</v>
          </cell>
          <cell r="G439">
            <v>41024</v>
          </cell>
          <cell r="H439">
            <v>48328</v>
          </cell>
          <cell r="I439" t="str">
            <v>19 years, 11 months, 30 days</v>
          </cell>
          <cell r="J439" t="str">
            <v>Renewables</v>
          </cell>
          <cell r="K439" t="str">
            <v>Solar (Rooftop)</v>
          </cell>
          <cell r="L439" t="str">
            <v>Solar</v>
          </cell>
          <cell r="M439" t="str">
            <v>Dx</v>
          </cell>
          <cell r="N439" t="str">
            <v>Cedar Valley</v>
          </cell>
          <cell r="O439" t="str">
            <v>York</v>
          </cell>
          <cell r="P439" t="str">
            <v>Essa</v>
          </cell>
        </row>
        <row r="440">
          <cell r="C440" t="str">
            <v>Cedar Point Wind Power Project Phase II</v>
          </cell>
          <cell r="D440" t="str">
            <v>Cedar Point II Limited Partnership</v>
          </cell>
          <cell r="E440" t="str">
            <v>CO</v>
          </cell>
          <cell r="F440">
            <v>41968</v>
          </cell>
          <cell r="G440">
            <v>42284</v>
          </cell>
          <cell r="H440">
            <v>49588</v>
          </cell>
          <cell r="I440" t="str">
            <v>19 years, 11 months, 29 days</v>
          </cell>
          <cell r="J440" t="str">
            <v>Renewables</v>
          </cell>
          <cell r="K440" t="str">
            <v>Wind (On-Shore)</v>
          </cell>
          <cell r="L440" t="str">
            <v>Wind</v>
          </cell>
          <cell r="M440" t="str">
            <v>Tx</v>
          </cell>
          <cell r="N440" t="str">
            <v>Forest</v>
          </cell>
          <cell r="O440" t="str">
            <v>Lambton</v>
          </cell>
          <cell r="P440" t="str">
            <v>Bruce</v>
          </cell>
        </row>
        <row r="441">
          <cell r="C441" t="str">
            <v>4630 Sheppard Ave. E.</v>
          </cell>
          <cell r="D441" t="str">
            <v>MOM Solar Limited Partnership</v>
          </cell>
          <cell r="E441" t="str">
            <v>CO</v>
          </cell>
          <cell r="F441">
            <v>41029</v>
          </cell>
          <cell r="G441">
            <v>41180</v>
          </cell>
          <cell r="H441">
            <v>48484</v>
          </cell>
          <cell r="I441" t="str">
            <v>19 years, 11 months, 30 days</v>
          </cell>
          <cell r="J441" t="str">
            <v>Renewables</v>
          </cell>
          <cell r="K441" t="str">
            <v>Solar (Rooftop)</v>
          </cell>
          <cell r="L441" t="str">
            <v>Solar</v>
          </cell>
          <cell r="M441" t="str">
            <v>Dx</v>
          </cell>
          <cell r="N441" t="str">
            <v>Toronto</v>
          </cell>
          <cell r="O441" t="str">
            <v>Toronto</v>
          </cell>
          <cell r="P441" t="str">
            <v>Toronto</v>
          </cell>
        </row>
        <row r="442">
          <cell r="C442" t="str">
            <v>FFS-K 001PV</v>
          </cell>
          <cell r="D442" t="str">
            <v>Flanagan Foodservice Inc.</v>
          </cell>
          <cell r="E442" t="str">
            <v>CO</v>
          </cell>
          <cell r="F442">
            <v>40663</v>
          </cell>
          <cell r="G442">
            <v>40640</v>
          </cell>
          <cell r="H442">
            <v>47944</v>
          </cell>
          <cell r="I442" t="str">
            <v>19 years, 11 months, 30 days</v>
          </cell>
          <cell r="J442" t="str">
            <v>Renewables</v>
          </cell>
          <cell r="K442" t="str">
            <v>Solar (Rooftop)</v>
          </cell>
          <cell r="L442" t="str">
            <v>Solar</v>
          </cell>
          <cell r="M442" t="str">
            <v>Dx</v>
          </cell>
          <cell r="N442" t="str">
            <v>Kitchener</v>
          </cell>
          <cell r="O442" t="str">
            <v>Waterloo</v>
          </cell>
          <cell r="P442" t="str">
            <v>Southwest</v>
          </cell>
        </row>
        <row r="443">
          <cell r="C443" t="str">
            <v>CanFirst - Richmond Hill (45 B West Wilmot Street)</v>
          </cell>
          <cell r="D443" t="str">
            <v>Firelight Solar LP</v>
          </cell>
          <cell r="E443" t="str">
            <v>CO</v>
          </cell>
          <cell r="F443">
            <v>41029</v>
          </cell>
          <cell r="G443">
            <v>40679</v>
          </cell>
          <cell r="H443">
            <v>47983</v>
          </cell>
          <cell r="I443" t="str">
            <v>19 years, 11 months, 29 days</v>
          </cell>
          <cell r="J443" t="str">
            <v>Renewables</v>
          </cell>
          <cell r="K443" t="str">
            <v>Solar (Rooftop)</v>
          </cell>
          <cell r="L443" t="str">
            <v>Solar</v>
          </cell>
          <cell r="M443" t="str">
            <v>Dx</v>
          </cell>
          <cell r="N443" t="str">
            <v>Richmond Hill</v>
          </cell>
          <cell r="O443" t="str">
            <v>York</v>
          </cell>
          <cell r="P443" t="str">
            <v>Toronto</v>
          </cell>
        </row>
        <row r="444">
          <cell r="C444" t="str">
            <v>Floradale 2</v>
          </cell>
          <cell r="D444" t="str">
            <v>1096245 Ontario Limited</v>
          </cell>
          <cell r="E444" t="str">
            <v>CO</v>
          </cell>
          <cell r="F444">
            <v>41454</v>
          </cell>
          <cell r="G444">
            <v>41418</v>
          </cell>
          <cell r="H444">
            <v>48722</v>
          </cell>
          <cell r="I444" t="str">
            <v>19 years, 11 months, 29 days</v>
          </cell>
          <cell r="J444" t="str">
            <v>Renewables</v>
          </cell>
          <cell r="K444" t="str">
            <v>Solar (Rooftop)</v>
          </cell>
          <cell r="L444" t="str">
            <v>Solar</v>
          </cell>
          <cell r="M444" t="str">
            <v>Dx</v>
          </cell>
          <cell r="N444" t="str">
            <v>Elmira</v>
          </cell>
          <cell r="O444" t="str">
            <v>Waterloo</v>
          </cell>
          <cell r="P444" t="str">
            <v>Southwest</v>
          </cell>
        </row>
        <row r="445">
          <cell r="C445" t="str">
            <v>Solar Connections- Line 1 N Oro</v>
          </cell>
          <cell r="D445" t="str">
            <v>1711136 Ontario Ltd. o/a Solar Connections</v>
          </cell>
          <cell r="E445" t="str">
            <v>CO</v>
          </cell>
          <cell r="F445">
            <v>41796</v>
          </cell>
          <cell r="G445">
            <v>41116</v>
          </cell>
          <cell r="H445">
            <v>48420</v>
          </cell>
          <cell r="I445" t="str">
            <v>19 years, 11 months, 29 days</v>
          </cell>
          <cell r="J445" t="str">
            <v>Renewables</v>
          </cell>
          <cell r="K445" t="str">
            <v>Solar (Rooftop)</v>
          </cell>
          <cell r="L445" t="str">
            <v>Solar</v>
          </cell>
          <cell r="M445" t="str">
            <v>Dx</v>
          </cell>
          <cell r="N445" t="str">
            <v>Barrie</v>
          </cell>
          <cell r="O445" t="str">
            <v>Simcoe</v>
          </cell>
          <cell r="P445" t="str">
            <v>Essa</v>
          </cell>
        </row>
        <row r="446">
          <cell r="C446" t="str">
            <v>C10-127 Aviva Park</v>
          </cell>
          <cell r="D446" t="str">
            <v>Skyline Clean Energy Holdings Inc.</v>
          </cell>
          <cell r="E446" t="str">
            <v>CO</v>
          </cell>
          <cell r="F446">
            <v>41843</v>
          </cell>
          <cell r="G446">
            <v>41971</v>
          </cell>
          <cell r="H446">
            <v>49275</v>
          </cell>
          <cell r="I446" t="str">
            <v>19 years, 11 months, 30 days</v>
          </cell>
          <cell r="J446" t="str">
            <v>Renewables</v>
          </cell>
          <cell r="K446" t="str">
            <v>Solar (Rooftop)</v>
          </cell>
          <cell r="L446" t="str">
            <v>Solar</v>
          </cell>
          <cell r="M446" t="str">
            <v>Dx</v>
          </cell>
          <cell r="N446" t="str">
            <v>Woodbridge</v>
          </cell>
          <cell r="O446" t="str">
            <v>York</v>
          </cell>
          <cell r="P446" t="str">
            <v>Toronto</v>
          </cell>
        </row>
        <row r="447">
          <cell r="C447" t="str">
            <v>SETTLERS LANDING WIND PARK</v>
          </cell>
          <cell r="D447" t="str">
            <v>SLGR Wind LP</v>
          </cell>
          <cell r="E447" t="str">
            <v>CO</v>
          </cell>
          <cell r="F447">
            <v>41512</v>
          </cell>
          <cell r="G447">
            <v>42830</v>
          </cell>
          <cell r="H447">
            <v>50134</v>
          </cell>
          <cell r="I447" t="str">
            <v>19 years, 11 months, 30 days</v>
          </cell>
          <cell r="J447" t="str">
            <v>Renewables</v>
          </cell>
          <cell r="K447" t="str">
            <v>Wind (On-Shore)</v>
          </cell>
          <cell r="L447" t="str">
            <v>Wind</v>
          </cell>
          <cell r="M447" t="str">
            <v>Dx</v>
          </cell>
          <cell r="N447" t="str">
            <v>Pontypool</v>
          </cell>
          <cell r="O447" t="str">
            <v>Kawartha Lakes</v>
          </cell>
          <cell r="P447" t="str">
            <v>Toronto</v>
          </cell>
        </row>
        <row r="448">
          <cell r="C448" t="str">
            <v>Denison Solar Trout Farm</v>
          </cell>
          <cell r="D448" t="str">
            <v>2246604 Ontario Limited</v>
          </cell>
          <cell r="E448" t="str">
            <v>CO</v>
          </cell>
          <cell r="F448">
            <v>41796</v>
          </cell>
          <cell r="G448">
            <v>41870</v>
          </cell>
          <cell r="H448">
            <v>49100</v>
          </cell>
          <cell r="I448" t="str">
            <v>19 years, 9 months, 17 days</v>
          </cell>
          <cell r="J448" t="str">
            <v>Renewables</v>
          </cell>
          <cell r="K448" t="str">
            <v>Solar (Rooftop)</v>
          </cell>
          <cell r="L448" t="str">
            <v>Solar</v>
          </cell>
          <cell r="M448" t="str">
            <v>Dx</v>
          </cell>
          <cell r="N448" t="str">
            <v>Erin</v>
          </cell>
          <cell r="O448" t="str">
            <v>Wellington</v>
          </cell>
          <cell r="P448" t="str">
            <v>Southwest</v>
          </cell>
        </row>
        <row r="449">
          <cell r="C449" t="str">
            <v>E02-261 Tillson</v>
          </cell>
          <cell r="D449" t="str">
            <v>261 Tillson Limited Partnership</v>
          </cell>
          <cell r="E449" t="str">
            <v>CO</v>
          </cell>
          <cell r="F449">
            <v>41814</v>
          </cell>
          <cell r="G449">
            <v>41865</v>
          </cell>
          <cell r="H449">
            <v>49169</v>
          </cell>
          <cell r="I449" t="str">
            <v>19 years, 11 months, 30 days</v>
          </cell>
          <cell r="J449" t="str">
            <v>Renewables</v>
          </cell>
          <cell r="K449" t="str">
            <v>Solar (Rooftop)</v>
          </cell>
          <cell r="L449" t="str">
            <v>Solar</v>
          </cell>
          <cell r="M449" t="str">
            <v>Dx</v>
          </cell>
          <cell r="N449" t="str">
            <v>Tillsonburg</v>
          </cell>
          <cell r="O449" t="str">
            <v>Oxford</v>
          </cell>
          <cell r="P449" t="str">
            <v>West</v>
          </cell>
        </row>
        <row r="450">
          <cell r="C450" t="str">
            <v>Canadian Solar Developers Ltd. L.P. #17</v>
          </cell>
          <cell r="D450" t="str">
            <v>Mann Ground Mount Solar Ltd.</v>
          </cell>
          <cell r="E450" t="str">
            <v>CO</v>
          </cell>
          <cell r="F450">
            <v>41695</v>
          </cell>
          <cell r="G450">
            <v>42258</v>
          </cell>
          <cell r="H450">
            <v>49562</v>
          </cell>
          <cell r="I450" t="str">
            <v>19 years, 11 months, 30 days</v>
          </cell>
          <cell r="J450" t="str">
            <v>Renewables</v>
          </cell>
          <cell r="K450" t="str">
            <v>Solar (Ground Mounted)</v>
          </cell>
          <cell r="L450" t="str">
            <v>Solar</v>
          </cell>
          <cell r="M450" t="str">
            <v>Dx</v>
          </cell>
          <cell r="N450" t="str">
            <v>Midhurst</v>
          </cell>
          <cell r="O450" t="str">
            <v>Simcoe</v>
          </cell>
          <cell r="P450" t="str">
            <v>Essa</v>
          </cell>
        </row>
        <row r="451">
          <cell r="C451" t="str">
            <v>Amherstburg Rec Centre Solar PV Project</v>
          </cell>
          <cell r="D451" t="str">
            <v>Essex Energy Corporation</v>
          </cell>
          <cell r="E451" t="str">
            <v>CO</v>
          </cell>
          <cell r="F451">
            <v>41841</v>
          </cell>
          <cell r="G451">
            <v>41277</v>
          </cell>
          <cell r="H451">
            <v>48581</v>
          </cell>
          <cell r="I451" t="str">
            <v>19 years, 11 months, 30 days</v>
          </cell>
          <cell r="J451" t="str">
            <v>Renewables</v>
          </cell>
          <cell r="K451" t="str">
            <v>Solar (Rooftop)</v>
          </cell>
          <cell r="L451" t="str">
            <v>Solar</v>
          </cell>
          <cell r="M451" t="str">
            <v>Dx</v>
          </cell>
          <cell r="N451" t="str">
            <v>Amherstburg</v>
          </cell>
          <cell r="O451" t="str">
            <v>Essex</v>
          </cell>
          <cell r="P451" t="str">
            <v>West</v>
          </cell>
        </row>
        <row r="452">
          <cell r="C452" t="str">
            <v>SA1</v>
          </cell>
          <cell r="D452" t="str">
            <v>2245073 Ontario Inc.</v>
          </cell>
          <cell r="E452" t="str">
            <v>CO</v>
          </cell>
          <cell r="F452">
            <v>41669</v>
          </cell>
          <cell r="G452">
            <v>41668</v>
          </cell>
          <cell r="H452">
            <v>48972</v>
          </cell>
          <cell r="I452" t="str">
            <v>19 years, 11 months, 30 days</v>
          </cell>
          <cell r="J452" t="str">
            <v>Renewables</v>
          </cell>
          <cell r="K452" t="str">
            <v>Solar (Ground Mounted)</v>
          </cell>
          <cell r="L452" t="str">
            <v>Solar</v>
          </cell>
          <cell r="M452" t="str">
            <v>Dx</v>
          </cell>
          <cell r="N452" t="str">
            <v>Port Robinson</v>
          </cell>
          <cell r="O452" t="str">
            <v>Niagara</v>
          </cell>
          <cell r="P452" t="str">
            <v>Niagara</v>
          </cell>
        </row>
        <row r="453">
          <cell r="C453" t="str">
            <v>(F23) Your Independent Grocer Dundas Street East</v>
          </cell>
          <cell r="D453" t="str">
            <v>Firelight Solar LP</v>
          </cell>
          <cell r="E453" t="str">
            <v>CO</v>
          </cell>
          <cell r="F453">
            <v>41730</v>
          </cell>
          <cell r="G453">
            <v>41544</v>
          </cell>
          <cell r="H453">
            <v>48848</v>
          </cell>
          <cell r="I453" t="str">
            <v>19 years, 11 months, 30 days</v>
          </cell>
          <cell r="J453" t="str">
            <v>Renewables</v>
          </cell>
          <cell r="K453" t="str">
            <v>Solar (Rooftop)</v>
          </cell>
          <cell r="L453" t="str">
            <v>Solar</v>
          </cell>
          <cell r="M453" t="str">
            <v>Dx</v>
          </cell>
          <cell r="N453" t="str">
            <v>Belleville</v>
          </cell>
          <cell r="O453" t="str">
            <v>Hastings</v>
          </cell>
          <cell r="P453" t="str">
            <v>East</v>
          </cell>
        </row>
        <row r="454">
          <cell r="C454" t="str">
            <v>Redeemer University College</v>
          </cell>
          <cell r="D454" t="str">
            <v>Redeemer University College</v>
          </cell>
          <cell r="E454" t="str">
            <v>CO</v>
          </cell>
          <cell r="F454">
            <v>41841</v>
          </cell>
          <cell r="G454">
            <v>41197</v>
          </cell>
          <cell r="H454">
            <v>48501</v>
          </cell>
          <cell r="I454" t="str">
            <v>19 years, 11 months, 29 days</v>
          </cell>
          <cell r="J454" t="str">
            <v>Renewables</v>
          </cell>
          <cell r="K454" t="str">
            <v>Solar (Rooftop)</v>
          </cell>
          <cell r="L454" t="str">
            <v>Solar</v>
          </cell>
          <cell r="M454" t="str">
            <v>Dx</v>
          </cell>
          <cell r="N454" t="str">
            <v>Hamilton</v>
          </cell>
          <cell r="O454" t="str">
            <v>Hamilton</v>
          </cell>
          <cell r="P454" t="str">
            <v>Southwest</v>
          </cell>
        </row>
        <row r="455">
          <cell r="C455" t="str">
            <v>600 Weber Street</v>
          </cell>
          <cell r="D455" t="str">
            <v>Marsland Center Limited</v>
          </cell>
          <cell r="E455" t="str">
            <v>CO</v>
          </cell>
          <cell r="F455">
            <v>41804</v>
          </cell>
          <cell r="G455">
            <v>40998</v>
          </cell>
          <cell r="H455">
            <v>48302</v>
          </cell>
          <cell r="I455" t="str">
            <v>19 years, 11 months, 28 days</v>
          </cell>
          <cell r="J455" t="str">
            <v>Renewables</v>
          </cell>
          <cell r="K455" t="str">
            <v>Solar (Rooftop)</v>
          </cell>
          <cell r="L455" t="str">
            <v>Solar</v>
          </cell>
          <cell r="M455" t="str">
            <v>Dx</v>
          </cell>
          <cell r="N455" t="str">
            <v>Waterloo</v>
          </cell>
          <cell r="O455" t="str">
            <v>Waterloo</v>
          </cell>
          <cell r="P455" t="str">
            <v>Southwest</v>
          </cell>
        </row>
        <row r="456">
          <cell r="C456" t="str">
            <v>GEDSB River Heights</v>
          </cell>
          <cell r="D456" t="str">
            <v>Ameresco GEDSB Solar Inc.</v>
          </cell>
          <cell r="E456" t="str">
            <v>CO</v>
          </cell>
          <cell r="F456">
            <v>41545</v>
          </cell>
          <cell r="G456">
            <v>41675</v>
          </cell>
          <cell r="H456">
            <v>48979</v>
          </cell>
          <cell r="I456" t="str">
            <v>19 years, 11 months, 30 days</v>
          </cell>
          <cell r="J456" t="str">
            <v>Renewables</v>
          </cell>
          <cell r="K456" t="str">
            <v>Solar (Rooftop)</v>
          </cell>
          <cell r="L456" t="str">
            <v>Solar</v>
          </cell>
          <cell r="M456" t="str">
            <v>Dx</v>
          </cell>
          <cell r="N456" t="str">
            <v>Caledonia</v>
          </cell>
          <cell r="O456" t="str">
            <v>Haldimand</v>
          </cell>
          <cell r="P456" t="str">
            <v>Southwest</v>
          </cell>
        </row>
        <row r="457">
          <cell r="C457" t="str">
            <v>Ecole Secondaire Catholique Sainte-Marie 100kW</v>
          </cell>
          <cell r="D457" t="str">
            <v>Conseil Scolaire Catholique De District Des Grandes Rivieres</v>
          </cell>
          <cell r="E457" t="str">
            <v>CO</v>
          </cell>
          <cell r="F457">
            <v>40663</v>
          </cell>
          <cell r="G457">
            <v>40834</v>
          </cell>
          <cell r="H457">
            <v>47967</v>
          </cell>
          <cell r="I457" t="str">
            <v>19 years, 6 months, 11 days</v>
          </cell>
          <cell r="J457" t="str">
            <v>Renewables</v>
          </cell>
          <cell r="K457" t="str">
            <v>Solar (Rooftop)</v>
          </cell>
          <cell r="L457" t="str">
            <v>Solar</v>
          </cell>
          <cell r="M457" t="str">
            <v>Dx</v>
          </cell>
          <cell r="N457" t="str">
            <v>New Liskeard</v>
          </cell>
          <cell r="O457" t="str">
            <v>Timiskaming</v>
          </cell>
          <cell r="P457" t="str">
            <v>Northeast</v>
          </cell>
        </row>
        <row r="458">
          <cell r="C458" t="str">
            <v>M07-40 Commander</v>
          </cell>
          <cell r="D458" t="str">
            <v>Sky Solar (Canada) FIT 1 Limited Partnership</v>
          </cell>
          <cell r="E458" t="str">
            <v>CO</v>
          </cell>
          <cell r="F458">
            <v>41800</v>
          </cell>
          <cell r="G458">
            <v>41871</v>
          </cell>
          <cell r="H458">
            <v>49175</v>
          </cell>
          <cell r="I458" t="str">
            <v>19 years, 11 months, 30 days</v>
          </cell>
          <cell r="J458" t="str">
            <v>Renewables</v>
          </cell>
          <cell r="K458" t="str">
            <v>Solar (Rooftop)</v>
          </cell>
          <cell r="L458" t="str">
            <v>Solar</v>
          </cell>
          <cell r="M458" t="str">
            <v>Dx</v>
          </cell>
          <cell r="N458" t="str">
            <v>Toronto</v>
          </cell>
          <cell r="O458" t="str">
            <v>Toronto</v>
          </cell>
          <cell r="P458" t="str">
            <v>Toronto</v>
          </cell>
        </row>
        <row r="459">
          <cell r="C459" t="str">
            <v>O02-3400 D'Aoust</v>
          </cell>
          <cell r="D459" t="str">
            <v>PSI Solar Finance 1 Limited Partnership</v>
          </cell>
          <cell r="E459" t="str">
            <v>CO</v>
          </cell>
          <cell r="F459">
            <v>41832</v>
          </cell>
          <cell r="G459">
            <v>41502</v>
          </cell>
          <cell r="H459">
            <v>48806</v>
          </cell>
          <cell r="I459" t="str">
            <v>19 years, 11 months, 30 days</v>
          </cell>
          <cell r="J459" t="str">
            <v>Renewables</v>
          </cell>
          <cell r="K459" t="str">
            <v>Solar (Rooftop)</v>
          </cell>
          <cell r="L459" t="str">
            <v>Solar</v>
          </cell>
          <cell r="M459" t="str">
            <v>Dx</v>
          </cell>
          <cell r="N459" t="str">
            <v>Ottawa</v>
          </cell>
          <cell r="O459" t="str">
            <v>Ottawa</v>
          </cell>
          <cell r="P459" t="str">
            <v>Ottawa</v>
          </cell>
        </row>
        <row r="460">
          <cell r="C460" t="str">
            <v>Bakker Ray Wilson Road</v>
          </cell>
          <cell r="D460" t="str">
            <v>Steven Bakker</v>
          </cell>
          <cell r="E460" t="str">
            <v>CO</v>
          </cell>
          <cell r="F460">
            <v>41029</v>
          </cell>
          <cell r="G460">
            <v>40737</v>
          </cell>
          <cell r="H460">
            <v>48041</v>
          </cell>
          <cell r="I460" t="str">
            <v>19 years, 11 months, 29 days</v>
          </cell>
          <cell r="J460" t="str">
            <v>Renewables</v>
          </cell>
          <cell r="K460" t="str">
            <v>Solar (Rooftop)</v>
          </cell>
          <cell r="L460" t="str">
            <v>Solar</v>
          </cell>
          <cell r="M460" t="str">
            <v>Dx</v>
          </cell>
          <cell r="N460" t="str">
            <v>Metcalfe</v>
          </cell>
          <cell r="O460" t="str">
            <v>Ottawa</v>
          </cell>
          <cell r="P460" t="str">
            <v>East</v>
          </cell>
        </row>
        <row r="461">
          <cell r="C461" t="str">
            <v>M01-5150 Mainway</v>
          </cell>
          <cell r="D461" t="str">
            <v>Fengate (FGDI) Limited Partnership</v>
          </cell>
          <cell r="E461" t="str">
            <v>CO</v>
          </cell>
          <cell r="F461">
            <v>41811</v>
          </cell>
          <cell r="G461">
            <v>42039</v>
          </cell>
          <cell r="H461">
            <v>49343</v>
          </cell>
          <cell r="I461" t="str">
            <v>19 years, 11 months, 30 days</v>
          </cell>
          <cell r="J461" t="str">
            <v>Renewables</v>
          </cell>
          <cell r="K461" t="str">
            <v>Solar (Rooftop)</v>
          </cell>
          <cell r="L461" t="str">
            <v>Solar</v>
          </cell>
          <cell r="M461" t="str">
            <v>Dx</v>
          </cell>
          <cell r="N461" t="str">
            <v>Burlington</v>
          </cell>
          <cell r="O461" t="str">
            <v>Halton</v>
          </cell>
          <cell r="P461" t="str">
            <v>Southwest</v>
          </cell>
        </row>
        <row r="462">
          <cell r="C462" t="str">
            <v>Muskoka Beach Rd Solar</v>
          </cell>
          <cell r="D462" t="str">
            <v>2068620 Ontario Incorporated</v>
          </cell>
          <cell r="E462" t="str">
            <v>CO</v>
          </cell>
          <cell r="F462">
            <v>41029</v>
          </cell>
          <cell r="G462">
            <v>40666</v>
          </cell>
          <cell r="H462">
            <v>47970</v>
          </cell>
          <cell r="I462" t="str">
            <v>19 years, 11 months, 29 days</v>
          </cell>
          <cell r="J462" t="str">
            <v>Renewables</v>
          </cell>
          <cell r="K462" t="str">
            <v>Solar (Rooftop)</v>
          </cell>
          <cell r="L462" t="str">
            <v>Solar</v>
          </cell>
          <cell r="M462" t="str">
            <v>Dx</v>
          </cell>
          <cell r="N462" t="str">
            <v>Gravenhurst</v>
          </cell>
          <cell r="O462" t="str">
            <v>Muskoka</v>
          </cell>
          <cell r="P462" t="str">
            <v>Essa</v>
          </cell>
        </row>
        <row r="463">
          <cell r="C463" t="str">
            <v>Wigle Ave Solar</v>
          </cell>
          <cell r="D463" t="str">
            <v>Truax Canada / 1552842 Ontario Ltd</v>
          </cell>
          <cell r="E463" t="str">
            <v>CO</v>
          </cell>
          <cell r="F463">
            <v>41841</v>
          </cell>
          <cell r="G463">
            <v>41814</v>
          </cell>
          <cell r="H463">
            <v>49118</v>
          </cell>
          <cell r="I463" t="str">
            <v>19 years, 11 months, 30 days</v>
          </cell>
          <cell r="J463" t="str">
            <v>Renewables</v>
          </cell>
          <cell r="K463" t="str">
            <v>Solar (Rooftop)</v>
          </cell>
          <cell r="L463" t="str">
            <v>Solar</v>
          </cell>
          <cell r="M463" t="str">
            <v>Dx</v>
          </cell>
          <cell r="N463" t="str">
            <v>Kingsville</v>
          </cell>
          <cell r="O463" t="str">
            <v>Essex</v>
          </cell>
          <cell r="P463" t="str">
            <v>West</v>
          </cell>
        </row>
        <row r="464">
          <cell r="C464" t="str">
            <v>Agincourt Recreation Centre Arena Solar PV</v>
          </cell>
          <cell r="D464" t="str">
            <v>Toronto Hydro-Electric System Limited</v>
          </cell>
          <cell r="E464" t="str">
            <v>CO</v>
          </cell>
          <cell r="F464">
            <v>41804</v>
          </cell>
          <cell r="G464">
            <v>41353</v>
          </cell>
          <cell r="H464">
            <v>48657</v>
          </cell>
          <cell r="I464" t="str">
            <v>19 years, 11 months, 27 days</v>
          </cell>
          <cell r="J464" t="str">
            <v>Renewables</v>
          </cell>
          <cell r="K464" t="str">
            <v>Solar (Rooftop)</v>
          </cell>
          <cell r="L464" t="str">
            <v>Solar</v>
          </cell>
          <cell r="M464" t="str">
            <v>Dx</v>
          </cell>
          <cell r="N464" t="str">
            <v>Toronto</v>
          </cell>
          <cell r="O464" t="str">
            <v>Toronto</v>
          </cell>
          <cell r="P464" t="str">
            <v>Toronto</v>
          </cell>
        </row>
        <row r="465">
          <cell r="C465" t="str">
            <v>O02-150 Abbeyhill</v>
          </cell>
          <cell r="D465" t="str">
            <v>OSPS (002281-150 Abbeyhill) Limited Partnership</v>
          </cell>
          <cell r="E465" t="str">
            <v>CO</v>
          </cell>
          <cell r="F465">
            <v>41832</v>
          </cell>
          <cell r="G465">
            <v>41975</v>
          </cell>
          <cell r="H465">
            <v>49279</v>
          </cell>
          <cell r="I465" t="str">
            <v>19 years, 11 months, 29 days</v>
          </cell>
          <cell r="J465" t="str">
            <v>Renewables</v>
          </cell>
          <cell r="K465" t="str">
            <v>Solar (Rooftop)</v>
          </cell>
          <cell r="L465" t="str">
            <v>Solar</v>
          </cell>
          <cell r="M465" t="str">
            <v>Dx</v>
          </cell>
          <cell r="N465" t="str">
            <v>Ottawa</v>
          </cell>
          <cell r="O465" t="str">
            <v>Ottawa</v>
          </cell>
          <cell r="P465" t="str">
            <v>Ottawa</v>
          </cell>
        </row>
        <row r="466">
          <cell r="C466" t="str">
            <v>A10-71 Rosedale</v>
          </cell>
          <cell r="D466" t="str">
            <v>Fengate (FGDI) Limited Partnership</v>
          </cell>
          <cell r="E466" t="str">
            <v>CO</v>
          </cell>
          <cell r="F466">
            <v>41813</v>
          </cell>
          <cell r="G466">
            <v>42040</v>
          </cell>
          <cell r="H466">
            <v>49344</v>
          </cell>
          <cell r="I466" t="str">
            <v>19 years, 11 months, 30 days</v>
          </cell>
          <cell r="J466" t="str">
            <v>Renewables</v>
          </cell>
          <cell r="K466" t="str">
            <v>Solar (Rooftop)</v>
          </cell>
          <cell r="L466" t="str">
            <v>Solar</v>
          </cell>
          <cell r="M466" t="str">
            <v>Dx</v>
          </cell>
          <cell r="N466" t="str">
            <v>Brampton</v>
          </cell>
          <cell r="O466" t="str">
            <v>Peel</v>
          </cell>
          <cell r="P466" t="str">
            <v>Toronto</v>
          </cell>
        </row>
        <row r="467">
          <cell r="C467" t="str">
            <v>O02-159 Lorry Greenberg</v>
          </cell>
          <cell r="D467" t="str">
            <v>OSPS (002334-159 Lorry Greenberg) Limited Partnership</v>
          </cell>
          <cell r="E467" t="str">
            <v>CO</v>
          </cell>
          <cell r="F467">
            <v>41834</v>
          </cell>
          <cell r="G467">
            <v>41992</v>
          </cell>
          <cell r="H467">
            <v>49296</v>
          </cell>
          <cell r="I467" t="str">
            <v>19 years, 11 months, 29 days</v>
          </cell>
          <cell r="J467" t="str">
            <v>Renewables</v>
          </cell>
          <cell r="K467" t="str">
            <v>Solar (Rooftop)</v>
          </cell>
          <cell r="L467" t="str">
            <v>Solar</v>
          </cell>
          <cell r="M467" t="str">
            <v>Dx</v>
          </cell>
          <cell r="N467" t="str">
            <v>Ottawa</v>
          </cell>
          <cell r="O467" t="str">
            <v>Ottawa</v>
          </cell>
          <cell r="P467" t="str">
            <v>Ottawa</v>
          </cell>
        </row>
        <row r="468">
          <cell r="C468" t="str">
            <v>6760 Davand</v>
          </cell>
          <cell r="D468" t="str">
            <v>Solaire Kapuskasing Solar Inc.</v>
          </cell>
          <cell r="E468" t="str">
            <v>CO</v>
          </cell>
          <cell r="F468">
            <v>41804</v>
          </cell>
          <cell r="G468">
            <v>41987</v>
          </cell>
          <cell r="H468">
            <v>49291</v>
          </cell>
          <cell r="I468" t="str">
            <v>19 years, 11 months, 29 days</v>
          </cell>
          <cell r="J468" t="str">
            <v>Renewables</v>
          </cell>
          <cell r="K468" t="str">
            <v>Solar (Rooftop)</v>
          </cell>
          <cell r="L468" t="str">
            <v>Solar</v>
          </cell>
          <cell r="M468" t="str">
            <v>Dx</v>
          </cell>
          <cell r="N468" t="str">
            <v>Mississauga</v>
          </cell>
          <cell r="O468" t="str">
            <v>Peel</v>
          </cell>
          <cell r="P468" t="str">
            <v>Toronto</v>
          </cell>
        </row>
        <row r="469">
          <cell r="C469" t="str">
            <v>#140 1210 Steeles Ave, Milton</v>
          </cell>
          <cell r="D469" t="str">
            <v>PSI Solar Finance 1 Limited Partnership</v>
          </cell>
          <cell r="E469" t="str">
            <v>CO</v>
          </cell>
          <cell r="F469">
            <v>41897</v>
          </cell>
          <cell r="G469">
            <v>41513</v>
          </cell>
          <cell r="H469">
            <v>48817</v>
          </cell>
          <cell r="I469" t="str">
            <v>19 years, 11 months, 30 days</v>
          </cell>
          <cell r="J469" t="str">
            <v>Renewables</v>
          </cell>
          <cell r="K469" t="str">
            <v>Solar (Rooftop)</v>
          </cell>
          <cell r="L469" t="str">
            <v>Solar</v>
          </cell>
          <cell r="M469" t="str">
            <v>Dx</v>
          </cell>
          <cell r="N469" t="str">
            <v>Milton</v>
          </cell>
          <cell r="O469" t="str">
            <v>Halton</v>
          </cell>
          <cell r="P469" t="str">
            <v>Southwest</v>
          </cell>
        </row>
        <row r="470">
          <cell r="C470" t="str">
            <v>Chimed Farms Solar</v>
          </cell>
          <cell r="D470" t="str">
            <v>2296168 Ontario Limited</v>
          </cell>
          <cell r="E470" t="str">
            <v>CO</v>
          </cell>
          <cell r="F470">
            <v>41029</v>
          </cell>
          <cell r="G470">
            <v>40675</v>
          </cell>
          <cell r="H470">
            <v>47979</v>
          </cell>
          <cell r="I470" t="str">
            <v>19 years, 11 months, 29 days</v>
          </cell>
          <cell r="J470" t="str">
            <v>Renewables</v>
          </cell>
          <cell r="K470" t="str">
            <v>Solar (Rooftop)</v>
          </cell>
          <cell r="L470" t="str">
            <v>Solar</v>
          </cell>
          <cell r="M470" t="str">
            <v>Dx</v>
          </cell>
          <cell r="N470" t="str">
            <v>Walkerton</v>
          </cell>
          <cell r="O470" t="str">
            <v>Bruce</v>
          </cell>
          <cell r="P470" t="str">
            <v>Southwest</v>
          </cell>
        </row>
        <row r="471">
          <cell r="C471" t="str">
            <v>100-500 Deziel 2</v>
          </cell>
          <cell r="D471" t="str">
            <v>Solar Income Fund LP (#2)</v>
          </cell>
          <cell r="E471" t="str">
            <v>CO</v>
          </cell>
          <cell r="F471">
            <v>41820</v>
          </cell>
          <cell r="G471">
            <v>41668</v>
          </cell>
          <cell r="H471">
            <v>48972</v>
          </cell>
          <cell r="I471" t="str">
            <v>19 years, 11 months, 30 days</v>
          </cell>
          <cell r="J471" t="str">
            <v>Renewables</v>
          </cell>
          <cell r="K471" t="str">
            <v>Solar (Rooftop)</v>
          </cell>
          <cell r="L471" t="str">
            <v>Solar</v>
          </cell>
          <cell r="M471" t="str">
            <v>Dx</v>
          </cell>
          <cell r="N471" t="str">
            <v>Windsor</v>
          </cell>
          <cell r="O471" t="str">
            <v>Essex</v>
          </cell>
          <cell r="P471" t="str">
            <v>West</v>
          </cell>
        </row>
        <row r="472">
          <cell r="C472" t="str">
            <v>Woodlawn</v>
          </cell>
          <cell r="D472" t="str">
            <v>2377512 Ontario Inc.</v>
          </cell>
          <cell r="E472" t="str">
            <v>CO</v>
          </cell>
          <cell r="F472">
            <v>41827</v>
          </cell>
          <cell r="G472">
            <v>41992</v>
          </cell>
          <cell r="H472">
            <v>49296</v>
          </cell>
          <cell r="I472" t="str">
            <v>19 years, 11 months, 29 days</v>
          </cell>
          <cell r="J472" t="str">
            <v>Renewables</v>
          </cell>
          <cell r="K472" t="str">
            <v>Solar (Rooftop)</v>
          </cell>
          <cell r="L472" t="str">
            <v>Solar</v>
          </cell>
          <cell r="M472" t="str">
            <v>Dx</v>
          </cell>
          <cell r="N472" t="str">
            <v>Guelph</v>
          </cell>
          <cell r="O472" t="str">
            <v>Wellington</v>
          </cell>
          <cell r="P472" t="str">
            <v>Southwest</v>
          </cell>
        </row>
        <row r="473">
          <cell r="C473" t="str">
            <v>Rowan McLean</v>
          </cell>
          <cell r="D473" t="str">
            <v>Rowan McLean</v>
          </cell>
          <cell r="E473" t="str">
            <v>CO</v>
          </cell>
          <cell r="F473">
            <v>41029</v>
          </cell>
          <cell r="G473">
            <v>40722</v>
          </cell>
          <cell r="H473">
            <v>48026</v>
          </cell>
          <cell r="I473" t="str">
            <v>19 years, 11 months, 30 days</v>
          </cell>
          <cell r="J473" t="str">
            <v>Renewables</v>
          </cell>
          <cell r="K473" t="str">
            <v>Solar (Rooftop)</v>
          </cell>
          <cell r="L473" t="str">
            <v>Solar</v>
          </cell>
          <cell r="M473" t="str">
            <v>Dx</v>
          </cell>
          <cell r="N473" t="str">
            <v>Fergus</v>
          </cell>
          <cell r="O473" t="str">
            <v>Wellington</v>
          </cell>
          <cell r="P473" t="str">
            <v>Southwest</v>
          </cell>
        </row>
        <row r="474">
          <cell r="C474" t="str">
            <v>O02-63 Bluegrass</v>
          </cell>
          <cell r="D474" t="str">
            <v>PSI Solar Finance 1 Limited Partnership</v>
          </cell>
          <cell r="E474" t="str">
            <v>CO</v>
          </cell>
          <cell r="F474">
            <v>41834</v>
          </cell>
          <cell r="G474">
            <v>41879</v>
          </cell>
          <cell r="H474">
            <v>49138</v>
          </cell>
          <cell r="I474" t="str">
            <v>19 years, 10 months, 15 days</v>
          </cell>
          <cell r="J474" t="str">
            <v>Renewables</v>
          </cell>
          <cell r="K474" t="str">
            <v>Solar (Rooftop)</v>
          </cell>
          <cell r="L474" t="str">
            <v>Solar</v>
          </cell>
          <cell r="M474" t="str">
            <v>Dx</v>
          </cell>
          <cell r="N474" t="str">
            <v>Ottawa</v>
          </cell>
          <cell r="O474" t="str">
            <v>Ottawa</v>
          </cell>
          <cell r="P474" t="str">
            <v>Ottawa</v>
          </cell>
        </row>
        <row r="475">
          <cell r="C475" t="str">
            <v>Kingston Gardiner TS Odessa</v>
          </cell>
          <cell r="D475" t="str">
            <v>SunE Odessa LP</v>
          </cell>
          <cell r="E475" t="str">
            <v>CO</v>
          </cell>
          <cell r="F475">
            <v>41391</v>
          </cell>
          <cell r="G475">
            <v>41627</v>
          </cell>
          <cell r="H475">
            <v>48931</v>
          </cell>
          <cell r="I475" t="str">
            <v>19 years, 11 months, 29 days</v>
          </cell>
          <cell r="J475" t="str">
            <v>Renewables</v>
          </cell>
          <cell r="K475" t="str">
            <v>Solar (Ground Mounted)</v>
          </cell>
          <cell r="L475" t="str">
            <v>Solar</v>
          </cell>
          <cell r="M475" t="str">
            <v>Dx</v>
          </cell>
          <cell r="N475" t="str">
            <v>Odessa</v>
          </cell>
          <cell r="O475" t="str">
            <v>Lennox and Addington</v>
          </cell>
          <cell r="P475" t="str">
            <v>East</v>
          </cell>
        </row>
        <row r="476">
          <cell r="C476" t="str">
            <v>(C44) Zehrs Dundas Street</v>
          </cell>
          <cell r="D476" t="str">
            <v>Firelight Solar LP</v>
          </cell>
          <cell r="E476" t="str">
            <v>CO</v>
          </cell>
          <cell r="F476">
            <v>41715</v>
          </cell>
          <cell r="G476">
            <v>41856</v>
          </cell>
          <cell r="H476">
            <v>49160</v>
          </cell>
          <cell r="I476" t="str">
            <v>19 years, 11 months, 30 days</v>
          </cell>
          <cell r="J476" t="str">
            <v>Renewables</v>
          </cell>
          <cell r="K476" t="str">
            <v>Solar (Rooftop)</v>
          </cell>
          <cell r="L476" t="str">
            <v>Solar</v>
          </cell>
          <cell r="M476" t="str">
            <v>Dx</v>
          </cell>
          <cell r="N476" t="str">
            <v>Woodstock</v>
          </cell>
          <cell r="O476" t="str">
            <v>Oxford</v>
          </cell>
          <cell r="P476" t="str">
            <v>Southwest</v>
          </cell>
        </row>
        <row r="477">
          <cell r="C477" t="str">
            <v>O02-1250 Blohm</v>
          </cell>
          <cell r="D477" t="str">
            <v>PSI Solar Finance 1 Limited Partnership</v>
          </cell>
          <cell r="E477" t="str">
            <v>CO</v>
          </cell>
          <cell r="F477">
            <v>41827</v>
          </cell>
          <cell r="G477">
            <v>41971</v>
          </cell>
          <cell r="H477">
            <v>49275</v>
          </cell>
          <cell r="I477" t="str">
            <v>19 years, 11 months, 30 days</v>
          </cell>
          <cell r="J477" t="str">
            <v>Renewables</v>
          </cell>
          <cell r="K477" t="str">
            <v>Solar (Rooftop)</v>
          </cell>
          <cell r="L477" t="str">
            <v>Solar</v>
          </cell>
          <cell r="M477" t="str">
            <v>Dx</v>
          </cell>
          <cell r="N477" t="str">
            <v>Ottawa</v>
          </cell>
          <cell r="O477" t="str">
            <v>Ottawa</v>
          </cell>
          <cell r="P477" t="str">
            <v>Ottawa</v>
          </cell>
        </row>
        <row r="478">
          <cell r="C478" t="str">
            <v>(C21) Zehrs Great Food Tecumseh Street East</v>
          </cell>
          <cell r="D478" t="str">
            <v>Firelight Solar LP</v>
          </cell>
          <cell r="E478" t="str">
            <v>CO</v>
          </cell>
          <cell r="F478">
            <v>41714</v>
          </cell>
          <cell r="G478">
            <v>41537</v>
          </cell>
          <cell r="H478">
            <v>48841</v>
          </cell>
          <cell r="I478" t="str">
            <v>19 years, 11 months, 30 days</v>
          </cell>
          <cell r="J478" t="str">
            <v>Renewables</v>
          </cell>
          <cell r="K478" t="str">
            <v>Solar (Rooftop)</v>
          </cell>
          <cell r="L478" t="str">
            <v>Solar</v>
          </cell>
          <cell r="M478" t="str">
            <v>Dx</v>
          </cell>
          <cell r="N478" t="str">
            <v>Windsor</v>
          </cell>
          <cell r="O478" t="str">
            <v>Essex</v>
          </cell>
          <cell r="P478" t="str">
            <v>West</v>
          </cell>
        </row>
        <row r="479">
          <cell r="C479" t="str">
            <v>Index Energy Mills Road Corporation</v>
          </cell>
          <cell r="D479" t="str">
            <v>Index Energy Ajax Corporation</v>
          </cell>
          <cell r="E479" t="str">
            <v>CO</v>
          </cell>
          <cell r="F479">
            <v>41764</v>
          </cell>
          <cell r="G479">
            <v>42167</v>
          </cell>
          <cell r="H479">
            <v>49068</v>
          </cell>
          <cell r="I479" t="str">
            <v>18 years, 10 months, 22 days</v>
          </cell>
          <cell r="J479" t="str">
            <v>Renewables</v>
          </cell>
          <cell r="K479" t="str">
            <v>Bioenergy</v>
          </cell>
          <cell r="L479" t="str">
            <v>Biomass</v>
          </cell>
          <cell r="M479" t="str">
            <v>Dx</v>
          </cell>
          <cell r="N479" t="str">
            <v>Ajax</v>
          </cell>
          <cell r="O479" t="str">
            <v>Durham</v>
          </cell>
          <cell r="P479" t="str">
            <v>Toronto</v>
          </cell>
        </row>
        <row r="480">
          <cell r="C480"/>
          <cell r="D480" t="str">
            <v>LH Solar Inc.</v>
          </cell>
          <cell r="E480" t="str">
            <v>CO</v>
          </cell>
          <cell r="F480">
            <v>41723</v>
          </cell>
          <cell r="G480">
            <v>41879</v>
          </cell>
          <cell r="H480">
            <v>49183</v>
          </cell>
          <cell r="I480" t="str">
            <v>19 years, 11 months, 30 days</v>
          </cell>
          <cell r="J480" t="str">
            <v>Renewables</v>
          </cell>
          <cell r="K480" t="str">
            <v>Solar (Rooftop)</v>
          </cell>
          <cell r="L480" t="str">
            <v>Solar</v>
          </cell>
          <cell r="M480" t="str">
            <v>Dx</v>
          </cell>
          <cell r="N480" t="str">
            <v>Toronto</v>
          </cell>
          <cell r="O480" t="str">
            <v>Toronto</v>
          </cell>
          <cell r="P480" t="str">
            <v>Toronto</v>
          </cell>
        </row>
        <row r="481">
          <cell r="C481" t="str">
            <v>#8 20215 Chatham St N, Blenheim</v>
          </cell>
          <cell r="D481" t="str">
            <v>PSI Solar Finance 1 Limited Partnership</v>
          </cell>
          <cell r="E481" t="str">
            <v>CO</v>
          </cell>
          <cell r="F481">
            <v>41897</v>
          </cell>
          <cell r="G481">
            <v>41681</v>
          </cell>
          <cell r="H481">
            <v>48985</v>
          </cell>
          <cell r="I481" t="str">
            <v>19 years, 11 months, 30 days</v>
          </cell>
          <cell r="J481" t="str">
            <v>Renewables</v>
          </cell>
          <cell r="K481" t="str">
            <v>Solar (Rooftop)</v>
          </cell>
          <cell r="L481" t="str">
            <v>Solar</v>
          </cell>
          <cell r="M481" t="str">
            <v>Dx</v>
          </cell>
          <cell r="N481" t="str">
            <v>Blenheim</v>
          </cell>
          <cell r="O481" t="str">
            <v>Chatham-Kent</v>
          </cell>
          <cell r="P481" t="str">
            <v>West</v>
          </cell>
        </row>
        <row r="482">
          <cell r="C482" t="str">
            <v>Toronto Electric</v>
          </cell>
          <cell r="D482" t="str">
            <v>Soreva Clean Energy Corporation</v>
          </cell>
          <cell r="E482" t="str">
            <v>CO</v>
          </cell>
          <cell r="F482">
            <v>41029</v>
          </cell>
          <cell r="G482">
            <v>40666</v>
          </cell>
          <cell r="H482">
            <v>47970</v>
          </cell>
          <cell r="I482" t="str">
            <v>19 years, 11 months, 29 days</v>
          </cell>
          <cell r="J482" t="str">
            <v>Renewables</v>
          </cell>
          <cell r="K482" t="str">
            <v>Solar (Rooftop)</v>
          </cell>
          <cell r="L482" t="str">
            <v>Solar</v>
          </cell>
          <cell r="M482" t="str">
            <v>Dx</v>
          </cell>
          <cell r="N482" t="str">
            <v>Toronto</v>
          </cell>
          <cell r="O482" t="str">
            <v>Toronto</v>
          </cell>
          <cell r="P482" t="str">
            <v>Toronto</v>
          </cell>
        </row>
        <row r="483">
          <cell r="C483" t="str">
            <v>Burnham St</v>
          </cell>
          <cell r="D483" t="str">
            <v>Kwendill Holdings Limited</v>
          </cell>
          <cell r="E483" t="str">
            <v>CO</v>
          </cell>
          <cell r="F483">
            <v>41797</v>
          </cell>
          <cell r="G483">
            <v>41031</v>
          </cell>
          <cell r="H483">
            <v>48335</v>
          </cell>
          <cell r="I483" t="str">
            <v>19 years, 11 months, 29 days</v>
          </cell>
          <cell r="J483" t="str">
            <v>Renewables</v>
          </cell>
          <cell r="K483" t="str">
            <v>Solar (Rooftop)</v>
          </cell>
          <cell r="L483" t="str">
            <v>Solar</v>
          </cell>
          <cell r="M483" t="str">
            <v>Dx</v>
          </cell>
          <cell r="N483" t="str">
            <v>Cobourg</v>
          </cell>
          <cell r="O483" t="str">
            <v>Northumberland</v>
          </cell>
          <cell r="P483" t="str">
            <v>East</v>
          </cell>
        </row>
        <row r="484">
          <cell r="C484" t="str">
            <v>SparkleLight</v>
          </cell>
          <cell r="D484" t="str">
            <v>SparkleLight LP</v>
          </cell>
          <cell r="E484" t="str">
            <v>CO</v>
          </cell>
          <cell r="F484">
            <v>41768</v>
          </cell>
          <cell r="G484">
            <v>41954</v>
          </cell>
          <cell r="H484">
            <v>49258</v>
          </cell>
          <cell r="I484" t="str">
            <v>19 years, 11 months, 30 days</v>
          </cell>
          <cell r="J484" t="str">
            <v>Renewables</v>
          </cell>
          <cell r="K484" t="str">
            <v>Solar (Ground Mounted)</v>
          </cell>
          <cell r="L484" t="str">
            <v>Solar</v>
          </cell>
          <cell r="M484" t="str">
            <v>Dx</v>
          </cell>
          <cell r="N484" t="str">
            <v>Woodville</v>
          </cell>
          <cell r="O484" t="str">
            <v>Kawartha Lakes</v>
          </cell>
          <cell r="P484" t="str">
            <v>Essa</v>
          </cell>
        </row>
        <row r="485">
          <cell r="C485" t="str">
            <v>A01-75 West Wilmot</v>
          </cell>
          <cell r="D485" t="str">
            <v>MOM V Limited Partnership</v>
          </cell>
          <cell r="E485" t="str">
            <v>CO</v>
          </cell>
          <cell r="F485">
            <v>41833</v>
          </cell>
          <cell r="G485">
            <v>41989</v>
          </cell>
          <cell r="H485">
            <v>49293</v>
          </cell>
          <cell r="I485" t="str">
            <v>19 years, 11 months, 29 days</v>
          </cell>
          <cell r="J485" t="str">
            <v>Renewables</v>
          </cell>
          <cell r="K485" t="str">
            <v>Solar (Rooftop)</v>
          </cell>
          <cell r="L485" t="str">
            <v>Solar</v>
          </cell>
          <cell r="M485" t="str">
            <v>Dx</v>
          </cell>
          <cell r="N485" t="str">
            <v>Richmond Hill</v>
          </cell>
          <cell r="O485" t="str">
            <v>York</v>
          </cell>
          <cell r="P485" t="str">
            <v>Toronto</v>
          </cell>
        </row>
        <row r="486">
          <cell r="C486" t="str">
            <v>757182 Ontario Ltd.</v>
          </cell>
          <cell r="D486" t="str">
            <v>757182 Ontario Ltd.</v>
          </cell>
          <cell r="E486" t="str">
            <v>CO</v>
          </cell>
          <cell r="F486">
            <v>41983</v>
          </cell>
          <cell r="G486">
            <v>41754</v>
          </cell>
          <cell r="H486">
            <v>49058</v>
          </cell>
          <cell r="I486" t="str">
            <v>19 years, 11 months, 30 days</v>
          </cell>
          <cell r="J486" t="str">
            <v>Renewables</v>
          </cell>
          <cell r="K486" t="str">
            <v>Solar (Rooftop)</v>
          </cell>
          <cell r="L486" t="str">
            <v>Solar</v>
          </cell>
          <cell r="M486" t="str">
            <v>Dx</v>
          </cell>
          <cell r="N486" t="str">
            <v>Ayton</v>
          </cell>
          <cell r="O486" t="str">
            <v>Grey</v>
          </cell>
          <cell r="P486" t="str">
            <v>Southwest</v>
          </cell>
        </row>
        <row r="487">
          <cell r="C487" t="str">
            <v>200 Clark Street</v>
          </cell>
          <cell r="D487" t="str">
            <v>OYA Energy Fund LP</v>
          </cell>
          <cell r="E487" t="str">
            <v>CO</v>
          </cell>
          <cell r="F487">
            <v>41863</v>
          </cell>
          <cell r="G487">
            <v>41628</v>
          </cell>
          <cell r="H487">
            <v>48932</v>
          </cell>
          <cell r="I487" t="str">
            <v>19 years, 11 months, 29 days</v>
          </cell>
          <cell r="J487" t="str">
            <v>Renewables</v>
          </cell>
          <cell r="K487" t="str">
            <v>Solar (Rooftop)</v>
          </cell>
          <cell r="L487" t="str">
            <v>Solar</v>
          </cell>
          <cell r="M487" t="str">
            <v>Dx</v>
          </cell>
          <cell r="N487" t="str">
            <v>Harrow</v>
          </cell>
          <cell r="O487" t="str">
            <v>Essex</v>
          </cell>
          <cell r="P487" t="str">
            <v>West</v>
          </cell>
        </row>
        <row r="488">
          <cell r="C488" t="str">
            <v>Brockville Memorial Centre Rooftop Solar Project</v>
          </cell>
          <cell r="D488" t="str">
            <v>The Corporation of the City of Brockville</v>
          </cell>
          <cell r="E488" t="str">
            <v>CO</v>
          </cell>
          <cell r="F488">
            <v>41029</v>
          </cell>
          <cell r="G488">
            <v>40885</v>
          </cell>
          <cell r="H488">
            <v>48189</v>
          </cell>
          <cell r="I488" t="str">
            <v>19 years, 11 months, 29 days</v>
          </cell>
          <cell r="J488" t="str">
            <v>Renewables</v>
          </cell>
          <cell r="K488" t="str">
            <v>Solar (Rooftop)</v>
          </cell>
          <cell r="L488" t="str">
            <v>Solar</v>
          </cell>
          <cell r="M488" t="str">
            <v>Dx</v>
          </cell>
          <cell r="N488" t="str">
            <v>Brockville</v>
          </cell>
          <cell r="O488" t="str">
            <v>Leeds and Grenville</v>
          </cell>
          <cell r="P488" t="str">
            <v>East</v>
          </cell>
        </row>
        <row r="489">
          <cell r="C489" t="str">
            <v>Fedsol</v>
          </cell>
          <cell r="D489" t="str">
            <v>Park Road Power Ltd.</v>
          </cell>
          <cell r="E489" t="str">
            <v>CO</v>
          </cell>
          <cell r="F489">
            <v>40663</v>
          </cell>
          <cell r="G489">
            <v>40652</v>
          </cell>
          <cell r="H489">
            <v>47956</v>
          </cell>
          <cell r="I489" t="str">
            <v>19 years, 11 months, 30 days</v>
          </cell>
          <cell r="J489" t="str">
            <v>Renewables</v>
          </cell>
          <cell r="K489" t="str">
            <v>Solar (Rooftop)</v>
          </cell>
          <cell r="L489" t="str">
            <v>Solar</v>
          </cell>
          <cell r="M489" t="str">
            <v>Dx</v>
          </cell>
          <cell r="N489" t="str">
            <v>Grimsby</v>
          </cell>
          <cell r="O489" t="str">
            <v>Niagara</v>
          </cell>
          <cell r="P489" t="str">
            <v>Niagara</v>
          </cell>
        </row>
        <row r="490">
          <cell r="C490" t="str">
            <v>Prestige Furniture Solar Rooftop</v>
          </cell>
          <cell r="D490" t="str">
            <v>1799753 Ontario Inc.</v>
          </cell>
          <cell r="E490" t="str">
            <v>CO</v>
          </cell>
          <cell r="F490">
            <v>41813</v>
          </cell>
          <cell r="G490">
            <v>41138</v>
          </cell>
          <cell r="H490">
            <v>48442</v>
          </cell>
          <cell r="I490" t="str">
            <v>19 years, 11 months, 30 days</v>
          </cell>
          <cell r="J490" t="str">
            <v>Renewables</v>
          </cell>
          <cell r="K490" t="str">
            <v>Solar (Rooftop)</v>
          </cell>
          <cell r="L490" t="str">
            <v>Solar</v>
          </cell>
          <cell r="M490" t="str">
            <v>Dx</v>
          </cell>
          <cell r="N490" t="str">
            <v>Ottawa</v>
          </cell>
          <cell r="O490" t="str">
            <v>Ottawa</v>
          </cell>
          <cell r="P490" t="str">
            <v>Ottawa</v>
          </cell>
        </row>
        <row r="491">
          <cell r="C491" t="str">
            <v>635 Oster Lane</v>
          </cell>
          <cell r="D491" t="str">
            <v>Sunny Day Energy Inc.</v>
          </cell>
          <cell r="E491" t="str">
            <v>CO</v>
          </cell>
          <cell r="F491">
            <v>41834</v>
          </cell>
          <cell r="G491">
            <v>41010</v>
          </cell>
          <cell r="H491">
            <v>48314</v>
          </cell>
          <cell r="I491" t="str">
            <v>19 years, 11 months, 30 days</v>
          </cell>
          <cell r="J491" t="str">
            <v>Renewables</v>
          </cell>
          <cell r="K491" t="str">
            <v>Solar (Rooftop)</v>
          </cell>
          <cell r="L491" t="str">
            <v>Solar</v>
          </cell>
          <cell r="M491" t="str">
            <v>Dx</v>
          </cell>
          <cell r="N491" t="str">
            <v>Concord</v>
          </cell>
          <cell r="O491" t="str">
            <v>York</v>
          </cell>
          <cell r="P491" t="str">
            <v>Toronto</v>
          </cell>
        </row>
        <row r="492">
          <cell r="C492" t="str">
            <v>Swisslight</v>
          </cell>
          <cell r="D492" t="str">
            <v>Swisslight Poultry Ltd.</v>
          </cell>
          <cell r="E492" t="str">
            <v>CO</v>
          </cell>
          <cell r="F492">
            <v>41841</v>
          </cell>
          <cell r="G492">
            <v>41297</v>
          </cell>
          <cell r="H492">
            <v>48601</v>
          </cell>
          <cell r="I492" t="str">
            <v>19 years, 11 months, 30 days</v>
          </cell>
          <cell r="J492" t="str">
            <v>Renewables</v>
          </cell>
          <cell r="K492" t="str">
            <v>Solar (Rooftop)</v>
          </cell>
          <cell r="L492" t="str">
            <v>Solar</v>
          </cell>
          <cell r="M492" t="str">
            <v>Dx</v>
          </cell>
          <cell r="N492" t="str">
            <v>Jarvis</v>
          </cell>
          <cell r="O492" t="str">
            <v>Haldimand</v>
          </cell>
          <cell r="P492" t="str">
            <v>Southwest</v>
          </cell>
        </row>
        <row r="493">
          <cell r="C493" t="str">
            <v>WATERDOWN DHS SOLAR PV PROJECT</v>
          </cell>
          <cell r="D493" t="str">
            <v>HAMILTON WENTWORTH DISTRICT SCHOOL BOARD</v>
          </cell>
          <cell r="E493" t="str">
            <v>CO</v>
          </cell>
          <cell r="F493">
            <v>41820</v>
          </cell>
          <cell r="G493">
            <v>41008</v>
          </cell>
          <cell r="H493">
            <v>48312</v>
          </cell>
          <cell r="I493" t="str">
            <v>19 years, 11 months, 30 days</v>
          </cell>
          <cell r="J493" t="str">
            <v>Renewables</v>
          </cell>
          <cell r="K493" t="str">
            <v>Solar (Rooftop)</v>
          </cell>
          <cell r="L493" t="str">
            <v>Solar</v>
          </cell>
          <cell r="M493" t="str">
            <v>Dx</v>
          </cell>
          <cell r="N493" t="str">
            <v>Waterdown</v>
          </cell>
          <cell r="O493" t="str">
            <v>Hamilton</v>
          </cell>
          <cell r="P493" t="str">
            <v>Southwest</v>
          </cell>
        </row>
        <row r="494">
          <cell r="C494" t="str">
            <v>Gord Watts Municipal Centre Solar Project</v>
          </cell>
          <cell r="D494" t="str">
            <v>The Corporation of the City of Brockville</v>
          </cell>
          <cell r="E494" t="str">
            <v>CO</v>
          </cell>
          <cell r="F494">
            <v>41797</v>
          </cell>
          <cell r="G494">
            <v>41290</v>
          </cell>
          <cell r="H494">
            <v>48594</v>
          </cell>
          <cell r="I494" t="str">
            <v>19 years, 11 months, 30 days</v>
          </cell>
          <cell r="J494" t="str">
            <v>Renewables</v>
          </cell>
          <cell r="K494" t="str">
            <v>Solar (Rooftop)</v>
          </cell>
          <cell r="L494" t="str">
            <v>Solar</v>
          </cell>
          <cell r="M494" t="str">
            <v>Dx</v>
          </cell>
          <cell r="N494" t="str">
            <v>Brockville</v>
          </cell>
          <cell r="O494" t="str">
            <v>Leeds and Grenville</v>
          </cell>
          <cell r="P494" t="str">
            <v>East</v>
          </cell>
        </row>
        <row r="495">
          <cell r="C495" t="str">
            <v>342 Kenora Avenue</v>
          </cell>
          <cell r="D495" t="str">
            <v>Marshall Real Estate Holdings Ltd.</v>
          </cell>
          <cell r="E495" t="str">
            <v>CO</v>
          </cell>
          <cell r="F495">
            <v>41799</v>
          </cell>
          <cell r="G495">
            <v>41799</v>
          </cell>
          <cell r="H495">
            <v>49103</v>
          </cell>
          <cell r="I495" t="str">
            <v>19 years, 11 months, 30 days</v>
          </cell>
          <cell r="J495" t="str">
            <v>Renewables</v>
          </cell>
          <cell r="K495" t="str">
            <v>Solar (Rooftop)</v>
          </cell>
          <cell r="L495" t="str">
            <v>Solar</v>
          </cell>
          <cell r="M495" t="str">
            <v>Dx</v>
          </cell>
          <cell r="N495" t="str">
            <v>Hamilton</v>
          </cell>
          <cell r="O495" t="str">
            <v>Hamilton</v>
          </cell>
          <cell r="P495" t="str">
            <v>Southwest</v>
          </cell>
        </row>
        <row r="496">
          <cell r="C496" t="str">
            <v>Greenholm Farms Limited</v>
          </cell>
          <cell r="D496" t="str">
            <v>Greenholm Power Limited</v>
          </cell>
          <cell r="E496" t="str">
            <v>CO</v>
          </cell>
          <cell r="F496">
            <v>41797</v>
          </cell>
          <cell r="G496">
            <v>41292</v>
          </cell>
          <cell r="H496">
            <v>48596</v>
          </cell>
          <cell r="I496" t="str">
            <v>19 years, 11 months, 30 days</v>
          </cell>
          <cell r="J496" t="str">
            <v>Renewables</v>
          </cell>
          <cell r="K496" t="str">
            <v>Bioenergy</v>
          </cell>
          <cell r="L496" t="str">
            <v>Biogas (On-Farm)</v>
          </cell>
          <cell r="M496" t="str">
            <v>Dx</v>
          </cell>
          <cell r="N496" t="str">
            <v>Embro</v>
          </cell>
          <cell r="O496" t="str">
            <v>Oxford</v>
          </cell>
          <cell r="P496" t="str">
            <v>Southwest</v>
          </cell>
        </row>
        <row r="497">
          <cell r="C497" t="str">
            <v>FEPRO Solar</v>
          </cell>
          <cell r="D497" t="str">
            <v>Fritz Klaesi and Paul Klaesi</v>
          </cell>
          <cell r="E497" t="str">
            <v>CO</v>
          </cell>
          <cell r="F497">
            <v>41029</v>
          </cell>
          <cell r="G497">
            <v>40661</v>
          </cell>
          <cell r="H497">
            <v>47965</v>
          </cell>
          <cell r="I497" t="str">
            <v>19 years, 11 months, 30 days</v>
          </cell>
          <cell r="J497" t="str">
            <v>Renewables</v>
          </cell>
          <cell r="K497" t="str">
            <v>Solar (Rooftop)</v>
          </cell>
          <cell r="L497" t="str">
            <v>Solar</v>
          </cell>
          <cell r="M497" t="str">
            <v>Dx</v>
          </cell>
          <cell r="N497" t="str">
            <v>Cobden</v>
          </cell>
          <cell r="O497" t="str">
            <v>Renfrew</v>
          </cell>
          <cell r="P497" t="str">
            <v>East</v>
          </cell>
        </row>
        <row r="498">
          <cell r="C498" t="str">
            <v>CEPEO Elementary Odyssee</v>
          </cell>
          <cell r="D498" t="str">
            <v>Ameresco CEPEO Solar Inc.</v>
          </cell>
          <cell r="E498" t="str">
            <v>CO</v>
          </cell>
          <cell r="F498">
            <v>41029</v>
          </cell>
          <cell r="G498">
            <v>41213</v>
          </cell>
          <cell r="H498">
            <v>48333</v>
          </cell>
          <cell r="I498" t="str">
            <v>19 years, 5 months, 29 days</v>
          </cell>
          <cell r="J498" t="str">
            <v>Renewables</v>
          </cell>
          <cell r="K498" t="str">
            <v>Solar (Rooftop)</v>
          </cell>
          <cell r="L498" t="str">
            <v>Solar</v>
          </cell>
          <cell r="M498" t="str">
            <v>Dx</v>
          </cell>
          <cell r="N498" t="str">
            <v>Ottawa</v>
          </cell>
          <cell r="O498" t="str">
            <v>Ottawa</v>
          </cell>
          <cell r="P498" t="str">
            <v>Ottawa</v>
          </cell>
        </row>
        <row r="499">
          <cell r="C499" t="str">
            <v>220 Nebo Rd</v>
          </cell>
          <cell r="D499" t="str">
            <v>Sunnyside Up Investments Inc.</v>
          </cell>
          <cell r="E499" t="str">
            <v>CO</v>
          </cell>
          <cell r="F499">
            <v>41029</v>
          </cell>
          <cell r="G499">
            <v>41198</v>
          </cell>
          <cell r="H499">
            <v>48502</v>
          </cell>
          <cell r="I499" t="str">
            <v>19 years, 11 months, 29 days</v>
          </cell>
          <cell r="J499" t="str">
            <v>Renewables</v>
          </cell>
          <cell r="K499" t="str">
            <v>Solar (Rooftop)</v>
          </cell>
          <cell r="L499" t="str">
            <v>Solar</v>
          </cell>
          <cell r="M499" t="str">
            <v>Dx</v>
          </cell>
          <cell r="N499" t="str">
            <v>Hamilton</v>
          </cell>
          <cell r="O499" t="str">
            <v>Hamilton</v>
          </cell>
          <cell r="P499" t="str">
            <v>Southwest</v>
          </cell>
        </row>
        <row r="500">
          <cell r="C500" t="str">
            <v>1030 Walker Road</v>
          </cell>
          <cell r="D500" t="str">
            <v>Champion Products Corp. &amp; Walkerville Commercial Centre Inc.</v>
          </cell>
          <cell r="E500" t="str">
            <v>CO</v>
          </cell>
          <cell r="F500">
            <v>41841</v>
          </cell>
          <cell r="G500">
            <v>41995</v>
          </cell>
          <cell r="H500">
            <v>49145</v>
          </cell>
          <cell r="I500" t="str">
            <v>19 years, 6 months, 28 days</v>
          </cell>
          <cell r="J500" t="str">
            <v>Renewables</v>
          </cell>
          <cell r="K500" t="str">
            <v>Solar (Rooftop)</v>
          </cell>
          <cell r="L500" t="str">
            <v>Solar</v>
          </cell>
          <cell r="M500" t="str">
            <v>Dx</v>
          </cell>
          <cell r="N500" t="str">
            <v>Windsor</v>
          </cell>
          <cell r="O500" t="str">
            <v>Essex</v>
          </cell>
          <cell r="P500" t="str">
            <v>West</v>
          </cell>
        </row>
        <row r="501">
          <cell r="C501" t="str">
            <v>Morley Solar Park</v>
          </cell>
          <cell r="D501" t="str">
            <v>Rainy River First Nations Solar 1 Limited Partnership</v>
          </cell>
          <cell r="E501" t="str">
            <v>CO</v>
          </cell>
          <cell r="F501">
            <v>41943</v>
          </cell>
          <cell r="G501">
            <v>42055</v>
          </cell>
          <cell r="H501">
            <v>49359</v>
          </cell>
          <cell r="I501" t="str">
            <v>19 years, 11 months, 30 days</v>
          </cell>
          <cell r="J501" t="str">
            <v>Renewables</v>
          </cell>
          <cell r="K501" t="str">
            <v>Solar (Ground Mounted)</v>
          </cell>
          <cell r="L501" t="str">
            <v>Solar</v>
          </cell>
          <cell r="M501" t="str">
            <v>Dx</v>
          </cell>
          <cell r="N501" t="str">
            <v>Stratton</v>
          </cell>
          <cell r="O501" t="str">
            <v>Rainy River</v>
          </cell>
          <cell r="P501" t="str">
            <v>Northwest</v>
          </cell>
        </row>
        <row r="502">
          <cell r="C502" t="str">
            <v>Petersen FIT</v>
          </cell>
          <cell r="D502" t="str">
            <v>2342148 Ontario Inc. o/a Petersen Farms</v>
          </cell>
          <cell r="E502" t="str">
            <v>CO</v>
          </cell>
          <cell r="F502">
            <v>41811</v>
          </cell>
          <cell r="G502">
            <v>41164</v>
          </cell>
          <cell r="H502">
            <v>48468</v>
          </cell>
          <cell r="I502" t="str">
            <v>19 years, 11 months, 30 days</v>
          </cell>
          <cell r="J502" t="str">
            <v>Renewables</v>
          </cell>
          <cell r="K502" t="str">
            <v>Solar (Rooftop)</v>
          </cell>
          <cell r="L502" t="str">
            <v>Solar</v>
          </cell>
          <cell r="M502" t="str">
            <v>Dx</v>
          </cell>
          <cell r="N502" t="str">
            <v>Osgoode</v>
          </cell>
          <cell r="O502" t="str">
            <v>Ottawa</v>
          </cell>
          <cell r="P502" t="str">
            <v>Ottawa</v>
          </cell>
        </row>
        <row r="503">
          <cell r="C503" t="str">
            <v>1890 Sheppard Ave W</v>
          </cell>
          <cell r="D503" t="str">
            <v>Toronto Community Housing Corporation</v>
          </cell>
          <cell r="E503" t="str">
            <v>CO</v>
          </cell>
          <cell r="F503">
            <v>41029</v>
          </cell>
          <cell r="G503">
            <v>40941</v>
          </cell>
          <cell r="H503">
            <v>48245</v>
          </cell>
          <cell r="I503" t="str">
            <v>19 years, 11 months, 30 days</v>
          </cell>
          <cell r="J503" t="str">
            <v>Renewables</v>
          </cell>
          <cell r="K503" t="str">
            <v>Solar (Rooftop)</v>
          </cell>
          <cell r="L503" t="str">
            <v>Solar</v>
          </cell>
          <cell r="M503" t="str">
            <v>Dx</v>
          </cell>
          <cell r="N503" t="str">
            <v>Toronto</v>
          </cell>
          <cell r="O503" t="str">
            <v>Toronto</v>
          </cell>
          <cell r="P503" t="str">
            <v>Toronto</v>
          </cell>
        </row>
        <row r="504">
          <cell r="C504" t="str">
            <v>Haliburton Forest Solar 1</v>
          </cell>
          <cell r="D504" t="str">
            <v>Seedorf Power Corp.</v>
          </cell>
          <cell r="E504" t="str">
            <v>CO</v>
          </cell>
          <cell r="F504">
            <v>41825</v>
          </cell>
          <cell r="G504">
            <v>41995</v>
          </cell>
          <cell r="H504">
            <v>49129</v>
          </cell>
          <cell r="I504" t="str">
            <v>19 years, 6 months, 12 days</v>
          </cell>
          <cell r="J504" t="str">
            <v>Renewables</v>
          </cell>
          <cell r="K504" t="str">
            <v>Solar (Rooftop)</v>
          </cell>
          <cell r="L504" t="str">
            <v>Solar</v>
          </cell>
          <cell r="M504" t="str">
            <v>Dx</v>
          </cell>
          <cell r="N504" t="str">
            <v>Haliburton</v>
          </cell>
          <cell r="O504" t="str">
            <v>Haliburton</v>
          </cell>
          <cell r="P504" t="str">
            <v>Essa</v>
          </cell>
        </row>
        <row r="505">
          <cell r="C505" t="str">
            <v>252 Power</v>
          </cell>
          <cell r="D505" t="str">
            <v>SunEdison DG Operating Holdings-2, LLC</v>
          </cell>
          <cell r="E505" t="str">
            <v>CO</v>
          </cell>
          <cell r="F505">
            <v>41029</v>
          </cell>
          <cell r="G505">
            <v>41061</v>
          </cell>
          <cell r="H505">
            <v>48333</v>
          </cell>
          <cell r="I505" t="str">
            <v>19 years, 10 months, 28 days</v>
          </cell>
          <cell r="J505" t="str">
            <v>Renewables</v>
          </cell>
          <cell r="K505" t="str">
            <v>Solar (Rooftop)</v>
          </cell>
          <cell r="L505" t="str">
            <v>Solar</v>
          </cell>
          <cell r="M505" t="str">
            <v>Dx</v>
          </cell>
          <cell r="N505" t="str">
            <v>Delhi</v>
          </cell>
          <cell r="O505" t="str">
            <v>Norfolk</v>
          </cell>
          <cell r="P505" t="str">
            <v>Southwest</v>
          </cell>
        </row>
        <row r="506">
          <cell r="C506" t="str">
            <v>757182 Ontario Ltd.</v>
          </cell>
          <cell r="D506" t="str">
            <v>757182 Ontario Ltd.</v>
          </cell>
          <cell r="E506" t="str">
            <v>CO</v>
          </cell>
          <cell r="F506">
            <v>41974</v>
          </cell>
          <cell r="G506">
            <v>41754</v>
          </cell>
          <cell r="H506">
            <v>49058</v>
          </cell>
          <cell r="I506" t="str">
            <v>19 years, 11 months, 30 days</v>
          </cell>
          <cell r="J506" t="str">
            <v>Renewables</v>
          </cell>
          <cell r="K506" t="str">
            <v>Solar (Rooftop)</v>
          </cell>
          <cell r="L506" t="str">
            <v>Solar</v>
          </cell>
          <cell r="M506" t="str">
            <v>Dx</v>
          </cell>
          <cell r="N506" t="str">
            <v>Ayton</v>
          </cell>
          <cell r="O506" t="str">
            <v>Grey</v>
          </cell>
          <cell r="P506" t="str">
            <v>Southwest</v>
          </cell>
        </row>
        <row r="507">
          <cell r="C507" t="str">
            <v>Claire's Delivery and Storage</v>
          </cell>
          <cell r="D507" t="str">
            <v>Brightroof Solar Limited Partnership</v>
          </cell>
          <cell r="E507" t="str">
            <v>CO</v>
          </cell>
          <cell r="F507">
            <v>41800</v>
          </cell>
          <cell r="G507">
            <v>41933</v>
          </cell>
          <cell r="H507">
            <v>49237</v>
          </cell>
          <cell r="I507" t="str">
            <v>19 years, 11 months, 29 days</v>
          </cell>
          <cell r="J507" t="str">
            <v>Renewables</v>
          </cell>
          <cell r="K507" t="str">
            <v>Solar (Rooftop)</v>
          </cell>
          <cell r="L507" t="str">
            <v>Solar</v>
          </cell>
          <cell r="M507" t="str">
            <v>Dx</v>
          </cell>
          <cell r="N507" t="str">
            <v>Port Colborne</v>
          </cell>
          <cell r="O507" t="str">
            <v>Niagara</v>
          </cell>
          <cell r="P507" t="str">
            <v>Niagara</v>
          </cell>
        </row>
        <row r="508">
          <cell r="C508" t="str">
            <v>Mother Earth Renewable Energy Project - Phase I</v>
          </cell>
          <cell r="D508" t="str">
            <v>MERE General Partner Inc.</v>
          </cell>
          <cell r="E508" t="str">
            <v>CO</v>
          </cell>
          <cell r="F508">
            <v>41386</v>
          </cell>
          <cell r="G508">
            <v>41156</v>
          </cell>
          <cell r="H508">
            <v>48460</v>
          </cell>
          <cell r="I508" t="str">
            <v>19 years, 11 months, 30 days</v>
          </cell>
          <cell r="J508" t="str">
            <v>Renewables</v>
          </cell>
          <cell r="K508" t="str">
            <v>Wind (On-Shore)</v>
          </cell>
          <cell r="L508" t="str">
            <v>Wind</v>
          </cell>
          <cell r="M508" t="str">
            <v>Dx</v>
          </cell>
          <cell r="N508" t="str">
            <v>M' Chigeeng</v>
          </cell>
          <cell r="O508" t="str">
            <v>Manitoulin</v>
          </cell>
          <cell r="P508" t="str">
            <v>Northeast</v>
          </cell>
        </row>
        <row r="509">
          <cell r="C509" t="str">
            <v>Grand Bend Wind Farm</v>
          </cell>
          <cell r="D509" t="str">
            <v>Grand Bend Wind Limited Partnership</v>
          </cell>
          <cell r="E509" t="str">
            <v>CO</v>
          </cell>
          <cell r="F509">
            <v>42181</v>
          </cell>
          <cell r="G509">
            <v>42479</v>
          </cell>
          <cell r="H509">
            <v>49783</v>
          </cell>
          <cell r="I509" t="str">
            <v>19 years, 11 months, 30 days</v>
          </cell>
          <cell r="J509" t="str">
            <v>Renewables</v>
          </cell>
          <cell r="K509" t="str">
            <v>Wind (On-Shore)</v>
          </cell>
          <cell r="L509" t="str">
            <v>Wind</v>
          </cell>
          <cell r="M509" t="str">
            <v>Tx</v>
          </cell>
          <cell r="N509" t="str">
            <v>Zurich</v>
          </cell>
          <cell r="O509" t="str">
            <v>Huron</v>
          </cell>
          <cell r="P509" t="str">
            <v>Southwest</v>
          </cell>
        </row>
        <row r="510">
          <cell r="C510" t="str">
            <v>PowerStream 2010-049</v>
          </cell>
          <cell r="D510" t="str">
            <v>Alectra Utilities Corporation</v>
          </cell>
          <cell r="E510" t="str">
            <v>CO</v>
          </cell>
          <cell r="F510">
            <v>41029</v>
          </cell>
          <cell r="G510">
            <v>40800</v>
          </cell>
          <cell r="H510">
            <v>48104</v>
          </cell>
          <cell r="I510" t="str">
            <v>19 years, 11 months, 30 days</v>
          </cell>
          <cell r="J510" t="str">
            <v>Renewables</v>
          </cell>
          <cell r="K510" t="str">
            <v>Solar (Rooftop)</v>
          </cell>
          <cell r="L510" t="str">
            <v>Solar</v>
          </cell>
          <cell r="M510" t="str">
            <v>Dx</v>
          </cell>
          <cell r="N510" t="str">
            <v>Barrie</v>
          </cell>
          <cell r="O510" t="str">
            <v>Simcoe</v>
          </cell>
          <cell r="P510" t="str">
            <v>Essa</v>
          </cell>
        </row>
        <row r="511">
          <cell r="C511" t="str">
            <v>CEPEO Elementary Kanata</v>
          </cell>
          <cell r="D511" t="str">
            <v>Ameresco CEPEO Solar Inc.</v>
          </cell>
          <cell r="E511" t="str">
            <v>CO</v>
          </cell>
          <cell r="F511">
            <v>41216</v>
          </cell>
          <cell r="G511">
            <v>41213</v>
          </cell>
          <cell r="H511">
            <v>48517</v>
          </cell>
          <cell r="I511" t="str">
            <v>19 years, 11 months, 29 days</v>
          </cell>
          <cell r="J511" t="str">
            <v>Renewables</v>
          </cell>
          <cell r="K511" t="str">
            <v>Solar (Rooftop)</v>
          </cell>
          <cell r="L511" t="str">
            <v>Solar</v>
          </cell>
          <cell r="M511" t="str">
            <v>Dx</v>
          </cell>
          <cell r="N511" t="str">
            <v>Ottawa</v>
          </cell>
          <cell r="O511" t="str">
            <v>Ottawa</v>
          </cell>
          <cell r="P511" t="str">
            <v>Ottawa</v>
          </cell>
        </row>
        <row r="512">
          <cell r="C512" t="str">
            <v>GoldLight</v>
          </cell>
          <cell r="D512" t="str">
            <v>GoldLight LP</v>
          </cell>
          <cell r="E512" t="str">
            <v>CO</v>
          </cell>
          <cell r="F512">
            <v>41695</v>
          </cell>
          <cell r="G512">
            <v>42034</v>
          </cell>
          <cell r="H512">
            <v>49338</v>
          </cell>
          <cell r="I512" t="str">
            <v>19 years, 11 months, 30 days</v>
          </cell>
          <cell r="J512" t="str">
            <v>Renewables</v>
          </cell>
          <cell r="K512" t="str">
            <v>Solar (Ground Mounted)</v>
          </cell>
          <cell r="L512" t="str">
            <v>Solar</v>
          </cell>
          <cell r="M512" t="str">
            <v>Dx</v>
          </cell>
          <cell r="N512" t="str">
            <v>Pefferlaw</v>
          </cell>
          <cell r="O512" t="str">
            <v>York</v>
          </cell>
          <cell r="P512" t="str">
            <v>Essa</v>
          </cell>
        </row>
        <row r="513">
          <cell r="C513" t="str">
            <v>Saptashva Solar, S.A - FIT Gulu 1457</v>
          </cell>
          <cell r="D513" t="str">
            <v>1000851861 ONTARIO INC.</v>
          </cell>
          <cell r="E513" t="str">
            <v>CO</v>
          </cell>
          <cell r="F513">
            <v>41797</v>
          </cell>
          <cell r="G513">
            <v>42024</v>
          </cell>
          <cell r="H513">
            <v>49328</v>
          </cell>
          <cell r="I513" t="str">
            <v>19 years, 11 months, 30 days</v>
          </cell>
          <cell r="J513" t="str">
            <v>Renewables</v>
          </cell>
          <cell r="K513" t="str">
            <v>Solar (Rooftop)</v>
          </cell>
          <cell r="L513" t="str">
            <v>Solar</v>
          </cell>
          <cell r="M513" t="str">
            <v>Dx</v>
          </cell>
          <cell r="N513" t="str">
            <v>Toronto</v>
          </cell>
          <cell r="O513" t="str">
            <v>Toronto</v>
          </cell>
          <cell r="P513" t="str">
            <v>Toronto</v>
          </cell>
        </row>
        <row r="514">
          <cell r="C514" t="str">
            <v>Moote Rd.</v>
          </cell>
          <cell r="D514" t="str">
            <v>1825059 Ontario Inc.</v>
          </cell>
          <cell r="E514" t="str">
            <v>CO</v>
          </cell>
          <cell r="F514">
            <v>41029</v>
          </cell>
          <cell r="G514">
            <v>40800</v>
          </cell>
          <cell r="H514">
            <v>48104</v>
          </cell>
          <cell r="I514" t="str">
            <v>19 years, 11 months, 30 days</v>
          </cell>
          <cell r="J514" t="str">
            <v>Renewables</v>
          </cell>
          <cell r="K514" t="str">
            <v>Solar (Rooftop)</v>
          </cell>
          <cell r="L514" t="str">
            <v>Solar</v>
          </cell>
          <cell r="M514" t="str">
            <v>Dx</v>
          </cell>
          <cell r="N514" t="str">
            <v>St. Anns</v>
          </cell>
          <cell r="O514" t="str">
            <v>Niagara</v>
          </cell>
          <cell r="P514" t="str">
            <v>Niagara</v>
          </cell>
        </row>
        <row r="515">
          <cell r="C515" t="str">
            <v>Saptashva Solar, S.A - FIT - Gulu 1445</v>
          </cell>
          <cell r="D515" t="str">
            <v>1000851861 ONTARIO INC.</v>
          </cell>
          <cell r="E515" t="str">
            <v>CO</v>
          </cell>
          <cell r="F515">
            <v>41797</v>
          </cell>
          <cell r="G515">
            <v>42024</v>
          </cell>
          <cell r="H515">
            <v>49328</v>
          </cell>
          <cell r="I515" t="str">
            <v>19 years, 11 months, 30 days</v>
          </cell>
          <cell r="J515" t="str">
            <v>Renewables</v>
          </cell>
          <cell r="K515" t="str">
            <v>Solar (Rooftop)</v>
          </cell>
          <cell r="L515" t="str">
            <v>Solar</v>
          </cell>
          <cell r="M515" t="str">
            <v>Dx</v>
          </cell>
          <cell r="N515" t="str">
            <v>Toronto</v>
          </cell>
          <cell r="O515" t="str">
            <v>Toronto</v>
          </cell>
          <cell r="P515" t="str">
            <v>Toronto</v>
          </cell>
        </row>
        <row r="516">
          <cell r="C516" t="str">
            <v>106 Rayette Road</v>
          </cell>
          <cell r="D516" t="str">
            <v>Sunny Day Energy Inc.</v>
          </cell>
          <cell r="E516" t="str">
            <v>CO</v>
          </cell>
          <cell r="F516">
            <v>41834</v>
          </cell>
          <cell r="G516">
            <v>41758</v>
          </cell>
          <cell r="H516">
            <v>49062</v>
          </cell>
          <cell r="I516" t="str">
            <v>19 years, 11 months, 30 days</v>
          </cell>
          <cell r="J516" t="str">
            <v>Renewables</v>
          </cell>
          <cell r="K516" t="str">
            <v>Solar (Rooftop)</v>
          </cell>
          <cell r="L516" t="str">
            <v>Solar</v>
          </cell>
          <cell r="M516" t="str">
            <v>Dx</v>
          </cell>
          <cell r="N516" t="str">
            <v>Concord</v>
          </cell>
          <cell r="O516" t="str">
            <v>York</v>
          </cell>
          <cell r="P516" t="str">
            <v>Toronto</v>
          </cell>
        </row>
        <row r="517">
          <cell r="C517" t="str">
            <v>Johann Reichart</v>
          </cell>
          <cell r="D517" t="str">
            <v>Johann Reichart</v>
          </cell>
          <cell r="E517" t="str">
            <v>CO</v>
          </cell>
          <cell r="F517">
            <v>41797</v>
          </cell>
          <cell r="G517">
            <v>41964</v>
          </cell>
          <cell r="H517">
            <v>49101</v>
          </cell>
          <cell r="I517" t="str">
            <v>19 years, 6 months, 16 days</v>
          </cell>
          <cell r="J517" t="str">
            <v>Renewables</v>
          </cell>
          <cell r="K517" t="str">
            <v>Solar (Rooftop)</v>
          </cell>
          <cell r="L517" t="str">
            <v>Solar</v>
          </cell>
          <cell r="M517" t="str">
            <v>Dx</v>
          </cell>
          <cell r="N517" t="str">
            <v>Arnprior</v>
          </cell>
          <cell r="O517" t="str">
            <v>Renfrew</v>
          </cell>
          <cell r="P517" t="str">
            <v>East</v>
          </cell>
        </row>
        <row r="518">
          <cell r="C518" t="str">
            <v>Region of Waterloo - 150kW PV</v>
          </cell>
          <cell r="D518" t="str">
            <v>The Regional Municipality of Waterloo</v>
          </cell>
          <cell r="E518" t="str">
            <v>CO</v>
          </cell>
          <cell r="F518">
            <v>40663</v>
          </cell>
          <cell r="G518">
            <v>40663</v>
          </cell>
          <cell r="H518">
            <v>47967</v>
          </cell>
          <cell r="I518" t="str">
            <v>19 years, 11 months, 30 days</v>
          </cell>
          <cell r="J518" t="str">
            <v>Renewables</v>
          </cell>
          <cell r="K518" t="str">
            <v>Solar (Rooftop)</v>
          </cell>
          <cell r="L518" t="str">
            <v>Solar</v>
          </cell>
          <cell r="M518" t="str">
            <v>Dx</v>
          </cell>
          <cell r="N518" t="str">
            <v>Cambridge</v>
          </cell>
          <cell r="O518" t="str">
            <v>Waterloo</v>
          </cell>
          <cell r="P518" t="str">
            <v>Southwest</v>
          </cell>
        </row>
        <row r="519">
          <cell r="C519" t="str">
            <v>O02-3673 McBean</v>
          </cell>
          <cell r="D519" t="str">
            <v>OSPS (002273-3673 McBean) Limited Partnership</v>
          </cell>
          <cell r="E519" t="str">
            <v>CO</v>
          </cell>
          <cell r="F519">
            <v>41832</v>
          </cell>
          <cell r="G519">
            <v>41974</v>
          </cell>
          <cell r="H519">
            <v>49278</v>
          </cell>
          <cell r="I519" t="str">
            <v>19 years, 11 months, 29 days</v>
          </cell>
          <cell r="J519" t="str">
            <v>Renewables</v>
          </cell>
          <cell r="K519" t="str">
            <v>Solar (Rooftop)</v>
          </cell>
          <cell r="L519" t="str">
            <v>Solar</v>
          </cell>
          <cell r="M519" t="str">
            <v>Dx</v>
          </cell>
          <cell r="N519" t="str">
            <v>Richmond</v>
          </cell>
          <cell r="O519" t="str">
            <v>Ottawa</v>
          </cell>
          <cell r="P519" t="str">
            <v>Ottawa</v>
          </cell>
        </row>
        <row r="520">
          <cell r="C520" t="str">
            <v>Kingsville Plastics 2</v>
          </cell>
          <cell r="D520" t="str">
            <v>Southwestern Alternative Energy Producers Inc.</v>
          </cell>
          <cell r="E520" t="str">
            <v>CO</v>
          </cell>
          <cell r="F520">
            <v>41841</v>
          </cell>
          <cell r="G520">
            <v>41951</v>
          </cell>
          <cell r="H520">
            <v>49145</v>
          </cell>
          <cell r="I520" t="str">
            <v>19 years, 8 months, 12 days</v>
          </cell>
          <cell r="J520" t="str">
            <v>Renewables</v>
          </cell>
          <cell r="K520" t="str">
            <v>Solar (Rooftop)</v>
          </cell>
          <cell r="L520" t="str">
            <v>Solar</v>
          </cell>
          <cell r="M520" t="str">
            <v>Dx</v>
          </cell>
          <cell r="N520" t="str">
            <v>Kingsville</v>
          </cell>
          <cell r="O520" t="str">
            <v>Essex</v>
          </cell>
          <cell r="P520" t="str">
            <v>West</v>
          </cell>
        </row>
        <row r="521">
          <cell r="C521" t="str">
            <v>Unique Tool International Ltd.</v>
          </cell>
          <cell r="D521" t="str">
            <v>Alectra Utilities Corporation</v>
          </cell>
          <cell r="E521" t="str">
            <v>CO</v>
          </cell>
          <cell r="F521">
            <v>41841</v>
          </cell>
          <cell r="G521">
            <v>41974</v>
          </cell>
          <cell r="H521">
            <v>49278</v>
          </cell>
          <cell r="I521" t="str">
            <v>19 years, 11 months, 29 days</v>
          </cell>
          <cell r="J521" t="str">
            <v>Renewables</v>
          </cell>
          <cell r="K521" t="str">
            <v>Solar (Rooftop)</v>
          </cell>
          <cell r="L521" t="str">
            <v>Solar</v>
          </cell>
          <cell r="M521" t="str">
            <v>Dx</v>
          </cell>
          <cell r="N521" t="str">
            <v>Oldcastle</v>
          </cell>
          <cell r="O521" t="str">
            <v>Essex</v>
          </cell>
          <cell r="P521" t="str">
            <v>West</v>
          </cell>
        </row>
        <row r="522">
          <cell r="C522" t="str">
            <v>120 Industry Solar</v>
          </cell>
          <cell r="D522" t="str">
            <v>120 Solar Inc.</v>
          </cell>
          <cell r="E522" t="str">
            <v>CO</v>
          </cell>
          <cell r="F522">
            <v>41806</v>
          </cell>
          <cell r="G522">
            <v>41583</v>
          </cell>
          <cell r="H522">
            <v>48887</v>
          </cell>
          <cell r="I522" t="str">
            <v>19 years, 11 months, 30 days</v>
          </cell>
          <cell r="J522" t="str">
            <v>Renewables</v>
          </cell>
          <cell r="K522" t="str">
            <v>Solar (Rooftop)</v>
          </cell>
          <cell r="L522" t="str">
            <v>Solar</v>
          </cell>
          <cell r="M522" t="str">
            <v>Dx</v>
          </cell>
          <cell r="N522" t="str">
            <v>Toronto</v>
          </cell>
          <cell r="O522" t="str">
            <v>Toronto</v>
          </cell>
          <cell r="P522" t="str">
            <v>Toronto</v>
          </cell>
        </row>
        <row r="523">
          <cell r="C523" t="str">
            <v>BCC 73.3 kW Roof Mounted PV</v>
          </cell>
          <cell r="D523" t="str">
            <v>Buckhorn Community Centre and Athletic Association</v>
          </cell>
          <cell r="E523" t="str">
            <v>CO</v>
          </cell>
          <cell r="F523">
            <v>41029</v>
          </cell>
          <cell r="G523">
            <v>40976</v>
          </cell>
          <cell r="H523">
            <v>48280</v>
          </cell>
          <cell r="I523" t="str">
            <v>19 years, 11 months, 28 days</v>
          </cell>
          <cell r="J523" t="str">
            <v>Renewables</v>
          </cell>
          <cell r="K523" t="str">
            <v>Solar (Rooftop)</v>
          </cell>
          <cell r="L523" t="str">
            <v>Solar</v>
          </cell>
          <cell r="M523" t="str">
            <v>Dx</v>
          </cell>
          <cell r="N523" t="str">
            <v>Buckhorn</v>
          </cell>
          <cell r="O523" t="str">
            <v>Peterborough</v>
          </cell>
          <cell r="P523" t="str">
            <v>East</v>
          </cell>
        </row>
        <row r="524">
          <cell r="C524" t="str">
            <v>ESBE Solar</v>
          </cell>
          <cell r="D524" t="str">
            <v>2304673 Ontario Inc.</v>
          </cell>
          <cell r="E524" t="str">
            <v>CO</v>
          </cell>
          <cell r="F524">
            <v>41825</v>
          </cell>
          <cell r="G524">
            <v>41222</v>
          </cell>
          <cell r="H524">
            <v>48526</v>
          </cell>
          <cell r="I524" t="str">
            <v>19 years, 11 months, 30 days</v>
          </cell>
          <cell r="J524" t="str">
            <v>Renewables</v>
          </cell>
          <cell r="K524" t="str">
            <v>Solar (Rooftop)</v>
          </cell>
          <cell r="L524" t="str">
            <v>Solar</v>
          </cell>
          <cell r="M524" t="str">
            <v>Dx</v>
          </cell>
          <cell r="N524" t="str">
            <v>Markham</v>
          </cell>
          <cell r="O524" t="str">
            <v>York</v>
          </cell>
          <cell r="P524" t="str">
            <v>Toronto</v>
          </cell>
        </row>
        <row r="525">
          <cell r="C525" t="str">
            <v>7275 East Danbro Crescent</v>
          </cell>
          <cell r="D525" t="str">
            <v>1076930 Ontario Limited</v>
          </cell>
          <cell r="E525" t="str">
            <v>CO</v>
          </cell>
          <cell r="F525">
            <v>41811</v>
          </cell>
          <cell r="G525">
            <v>41757</v>
          </cell>
          <cell r="H525">
            <v>49061</v>
          </cell>
          <cell r="I525" t="str">
            <v>19 years, 11 months, 30 days</v>
          </cell>
          <cell r="J525" t="str">
            <v>Renewables</v>
          </cell>
          <cell r="K525" t="str">
            <v>Solar (Rooftop)</v>
          </cell>
          <cell r="L525" t="str">
            <v>Solar</v>
          </cell>
          <cell r="M525" t="str">
            <v>Dx</v>
          </cell>
          <cell r="N525" t="str">
            <v>Mississauga</v>
          </cell>
          <cell r="O525" t="str">
            <v>Peel</v>
          </cell>
          <cell r="P525" t="str">
            <v>Southwest</v>
          </cell>
        </row>
        <row r="526">
          <cell r="C526" t="str">
            <v>GEDSB Lynndale Heights</v>
          </cell>
          <cell r="D526" t="str">
            <v>Ameresco GEDSB Solar Inc.</v>
          </cell>
          <cell r="E526" t="str">
            <v>CO</v>
          </cell>
          <cell r="F526">
            <v>41029</v>
          </cell>
          <cell r="G526">
            <v>41029</v>
          </cell>
          <cell r="H526">
            <v>48333</v>
          </cell>
          <cell r="I526" t="str">
            <v>19 years, 11 months, 30 days</v>
          </cell>
          <cell r="J526" t="str">
            <v>Renewables</v>
          </cell>
          <cell r="K526" t="str">
            <v>Solar (Rooftop)</v>
          </cell>
          <cell r="L526" t="str">
            <v>Solar</v>
          </cell>
          <cell r="M526" t="str">
            <v>Dx</v>
          </cell>
          <cell r="N526" t="str">
            <v>Simcoe</v>
          </cell>
          <cell r="O526" t="str">
            <v>Norfolk</v>
          </cell>
          <cell r="P526" t="str">
            <v>Southwest</v>
          </cell>
        </row>
        <row r="527">
          <cell r="C527" t="str">
            <v>O02-103 Malvern</v>
          </cell>
          <cell r="D527" t="str">
            <v>PSI Solar Finance 1 Limited Partnership</v>
          </cell>
          <cell r="E527" t="str">
            <v>CO</v>
          </cell>
          <cell r="F527">
            <v>41827</v>
          </cell>
          <cell r="G527">
            <v>41351</v>
          </cell>
          <cell r="H527">
            <v>48655</v>
          </cell>
          <cell r="I527" t="str">
            <v>19 years, 11 months, 27 days</v>
          </cell>
          <cell r="J527" t="str">
            <v>Renewables</v>
          </cell>
          <cell r="K527" t="str">
            <v>Solar (Rooftop)</v>
          </cell>
          <cell r="L527" t="str">
            <v>Solar</v>
          </cell>
          <cell r="M527" t="str">
            <v>Dx</v>
          </cell>
          <cell r="N527" t="str">
            <v>Ottawa</v>
          </cell>
          <cell r="O527" t="str">
            <v>Ottawa</v>
          </cell>
          <cell r="P527" t="str">
            <v>Ottawa</v>
          </cell>
        </row>
        <row r="528">
          <cell r="C528" t="str">
            <v>St. Columban 2 Wind Energy Project</v>
          </cell>
          <cell r="D528" t="str">
            <v>St. Columban Wind LP</v>
          </cell>
          <cell r="E528" t="str">
            <v>CO</v>
          </cell>
          <cell r="F528">
            <v>42052</v>
          </cell>
          <cell r="G528">
            <v>42177</v>
          </cell>
          <cell r="H528">
            <v>49481</v>
          </cell>
          <cell r="I528" t="str">
            <v>19 years, 11 months, 30 days</v>
          </cell>
          <cell r="J528" t="str">
            <v>Renewables</v>
          </cell>
          <cell r="K528" t="str">
            <v>Wind (On-Shore)</v>
          </cell>
          <cell r="L528" t="str">
            <v>Wind</v>
          </cell>
          <cell r="M528" t="str">
            <v>Dx</v>
          </cell>
          <cell r="N528" t="str">
            <v>Seaforth</v>
          </cell>
          <cell r="O528" t="str">
            <v>Huron</v>
          </cell>
          <cell r="P528" t="str">
            <v>Southwest</v>
          </cell>
        </row>
        <row r="529">
          <cell r="C529" t="str">
            <v>1170 Birchmount</v>
          </cell>
          <cell r="D529" t="str">
            <v>Fovere Glenbarra Energy Fund II Limited Partnership</v>
          </cell>
          <cell r="E529" t="str">
            <v>CO</v>
          </cell>
          <cell r="F529">
            <v>41832</v>
          </cell>
          <cell r="G529">
            <v>41278</v>
          </cell>
          <cell r="H529">
            <v>48582</v>
          </cell>
          <cell r="I529" t="str">
            <v>19 years, 11 months, 30 days</v>
          </cell>
          <cell r="J529" t="str">
            <v>Renewables</v>
          </cell>
          <cell r="K529" t="str">
            <v>Solar (Rooftop)</v>
          </cell>
          <cell r="L529" t="str">
            <v>Solar</v>
          </cell>
          <cell r="M529" t="str">
            <v>Dx</v>
          </cell>
          <cell r="N529" t="str">
            <v>Toronto</v>
          </cell>
          <cell r="O529" t="str">
            <v>Toronto</v>
          </cell>
          <cell r="P529" t="str">
            <v>Toronto</v>
          </cell>
        </row>
        <row r="530">
          <cell r="C530" t="str">
            <v>510 Main</v>
          </cell>
          <cell r="D530" t="str">
            <v>SunEdison DG Operating Holdings-2, LLC</v>
          </cell>
          <cell r="E530" t="str">
            <v>CO</v>
          </cell>
          <cell r="F530">
            <v>41029</v>
          </cell>
          <cell r="G530">
            <v>41061</v>
          </cell>
          <cell r="H530">
            <v>48333</v>
          </cell>
          <cell r="I530" t="str">
            <v>19 years, 10 months, 28 days</v>
          </cell>
          <cell r="J530" t="str">
            <v>Renewables</v>
          </cell>
          <cell r="K530" t="str">
            <v>Solar (Rooftop)</v>
          </cell>
          <cell r="L530" t="str">
            <v>Solar</v>
          </cell>
          <cell r="M530" t="str">
            <v>Dx</v>
          </cell>
          <cell r="N530" t="str">
            <v>Delhi</v>
          </cell>
          <cell r="O530" t="str">
            <v>Norfolk</v>
          </cell>
          <cell r="P530" t="str">
            <v>Southwest</v>
          </cell>
        </row>
        <row r="531">
          <cell r="C531" t="str">
            <v>10045R - Wills Transfer Ottawa</v>
          </cell>
          <cell r="D531" t="str">
            <v>PRI RT Solar LP</v>
          </cell>
          <cell r="E531" t="str">
            <v>CO</v>
          </cell>
          <cell r="F531">
            <v>41804</v>
          </cell>
          <cell r="G531">
            <v>41607</v>
          </cell>
          <cell r="H531">
            <v>48911</v>
          </cell>
          <cell r="I531" t="str">
            <v>19 years, 11 months, 30 days</v>
          </cell>
          <cell r="J531" t="str">
            <v>Renewables</v>
          </cell>
          <cell r="K531" t="str">
            <v>Solar (Rooftop)</v>
          </cell>
          <cell r="L531" t="str">
            <v>Solar</v>
          </cell>
          <cell r="M531" t="str">
            <v>Dx</v>
          </cell>
          <cell r="N531" t="str">
            <v>Ottawa</v>
          </cell>
          <cell r="O531" t="str">
            <v>Ottawa</v>
          </cell>
          <cell r="P531" t="str">
            <v>Ottawa</v>
          </cell>
        </row>
        <row r="532">
          <cell r="C532" t="str">
            <v>Southwestern 3710 Peter</v>
          </cell>
          <cell r="D532" t="str">
            <v>Southwestern Administration LTD.</v>
          </cell>
          <cell r="E532" t="str">
            <v>CO</v>
          </cell>
          <cell r="F532">
            <v>41841</v>
          </cell>
          <cell r="G532">
            <v>41801</v>
          </cell>
          <cell r="H532">
            <v>49105</v>
          </cell>
          <cell r="I532" t="str">
            <v>19 years, 11 months, 30 days</v>
          </cell>
          <cell r="J532" t="str">
            <v>Renewables</v>
          </cell>
          <cell r="K532" t="str">
            <v>Solar (Rooftop)</v>
          </cell>
          <cell r="L532" t="str">
            <v>Solar</v>
          </cell>
          <cell r="M532" t="str">
            <v>Dx</v>
          </cell>
          <cell r="N532" t="str">
            <v>Windsor</v>
          </cell>
          <cell r="O532" t="str">
            <v>Essex</v>
          </cell>
          <cell r="P532" t="str">
            <v>West</v>
          </cell>
        </row>
        <row r="533">
          <cell r="C533" t="str">
            <v>891 Boyd Avenue</v>
          </cell>
          <cell r="D533" t="str">
            <v>Queensway Property Holdings Limited</v>
          </cell>
          <cell r="E533" t="str">
            <v>CO</v>
          </cell>
          <cell r="F533">
            <v>41029</v>
          </cell>
          <cell r="G533">
            <v>40981</v>
          </cell>
          <cell r="H533">
            <v>48285</v>
          </cell>
          <cell r="I533" t="str">
            <v>19 years, 11 months, 28 days</v>
          </cell>
          <cell r="J533" t="str">
            <v>Renewables</v>
          </cell>
          <cell r="K533" t="str">
            <v>Solar (Rooftop)</v>
          </cell>
          <cell r="L533" t="str">
            <v>Solar</v>
          </cell>
          <cell r="M533" t="str">
            <v>Dx</v>
          </cell>
          <cell r="N533" t="str">
            <v>Ottawa</v>
          </cell>
          <cell r="O533" t="str">
            <v>Ottawa</v>
          </cell>
          <cell r="P533" t="str">
            <v>Ottawa</v>
          </cell>
        </row>
        <row r="534">
          <cell r="C534" t="str">
            <v>Plateau I &amp; II Wind</v>
          </cell>
          <cell r="D534" t="str">
            <v>Plateau Wind LP</v>
          </cell>
          <cell r="E534" t="str">
            <v>CO</v>
          </cell>
          <cell r="F534">
            <v>41383</v>
          </cell>
          <cell r="G534">
            <v>40984</v>
          </cell>
          <cell r="H534">
            <v>48288</v>
          </cell>
          <cell r="I534" t="str">
            <v>19 years, 11 months, 28 days</v>
          </cell>
          <cell r="J534" t="str">
            <v>Renewables</v>
          </cell>
          <cell r="K534" t="str">
            <v>Wind (On-Shore)</v>
          </cell>
          <cell r="L534" t="str">
            <v>Wind</v>
          </cell>
          <cell r="M534" t="str">
            <v>Dx</v>
          </cell>
          <cell r="N534" t="str">
            <v>Dundalk</v>
          </cell>
          <cell r="O534" t="str">
            <v>Grey</v>
          </cell>
          <cell r="P534" t="str">
            <v>Southwest</v>
          </cell>
        </row>
        <row r="535">
          <cell r="C535" t="str">
            <v>Legends Centre Solar</v>
          </cell>
          <cell r="D535" t="str">
            <v>2252112 Ontario Inc.</v>
          </cell>
          <cell r="E535" t="str">
            <v>CO</v>
          </cell>
          <cell r="F535">
            <v>41827</v>
          </cell>
          <cell r="G535">
            <v>41561</v>
          </cell>
          <cell r="H535">
            <v>48865</v>
          </cell>
          <cell r="I535" t="str">
            <v>19 years, 11 months, 29 days</v>
          </cell>
          <cell r="J535" t="str">
            <v>Renewables</v>
          </cell>
          <cell r="K535" t="str">
            <v>Solar (Rooftop)</v>
          </cell>
          <cell r="L535" t="str">
            <v>Solar</v>
          </cell>
          <cell r="M535" t="str">
            <v>Dx</v>
          </cell>
          <cell r="N535" t="str">
            <v>Oshawa</v>
          </cell>
          <cell r="O535" t="str">
            <v>Durham</v>
          </cell>
          <cell r="P535" t="str">
            <v>Toronto</v>
          </cell>
        </row>
        <row r="536">
          <cell r="C536" t="str">
            <v>St. Patrick High School Solar Electric Installatio</v>
          </cell>
          <cell r="D536" t="str">
            <v>Ottawa Catholic School Board</v>
          </cell>
          <cell r="E536" t="str">
            <v>CO</v>
          </cell>
          <cell r="F536">
            <v>41832</v>
          </cell>
          <cell r="G536">
            <v>40998</v>
          </cell>
          <cell r="H536">
            <v>48302</v>
          </cell>
          <cell r="I536" t="str">
            <v>19 years, 11 months, 28 days</v>
          </cell>
          <cell r="J536" t="str">
            <v>Renewables</v>
          </cell>
          <cell r="K536" t="str">
            <v>Solar (Rooftop)</v>
          </cell>
          <cell r="L536" t="str">
            <v>Solar</v>
          </cell>
          <cell r="M536" t="str">
            <v>Dx</v>
          </cell>
          <cell r="N536" t="str">
            <v>Ottawa</v>
          </cell>
          <cell r="O536" t="str">
            <v>Ottawa</v>
          </cell>
          <cell r="P536" t="str">
            <v>Ottawa</v>
          </cell>
        </row>
        <row r="537">
          <cell r="C537" t="str">
            <v>Kirchmeier Farms Biogas</v>
          </cell>
          <cell r="D537" t="str">
            <v>Kirchmeier Renergy Inc.</v>
          </cell>
          <cell r="E537" t="str">
            <v>CO</v>
          </cell>
          <cell r="F537">
            <v>41435</v>
          </cell>
          <cell r="G537">
            <v>41108</v>
          </cell>
          <cell r="H537">
            <v>48412</v>
          </cell>
          <cell r="I537" t="str">
            <v>19 years, 11 months, 29 days</v>
          </cell>
          <cell r="J537" t="str">
            <v>Renewables</v>
          </cell>
          <cell r="K537" t="str">
            <v>Bioenergy</v>
          </cell>
          <cell r="L537" t="str">
            <v>Biogas</v>
          </cell>
          <cell r="M537" t="str">
            <v>Dx</v>
          </cell>
          <cell r="N537" t="str">
            <v>St. Isidore</v>
          </cell>
          <cell r="O537" t="str">
            <v>Prescott and Russell</v>
          </cell>
          <cell r="P537" t="str">
            <v>Ottawa</v>
          </cell>
        </row>
        <row r="538">
          <cell r="C538" t="str">
            <v>1025 Westport</v>
          </cell>
          <cell r="D538" t="str">
            <v>Solaire Kapuskasing Solar Inc.</v>
          </cell>
          <cell r="E538" t="str">
            <v>CO</v>
          </cell>
          <cell r="F538">
            <v>41827</v>
          </cell>
          <cell r="G538">
            <v>41866</v>
          </cell>
          <cell r="H538">
            <v>49131</v>
          </cell>
          <cell r="I538" t="str">
            <v>19 years, 10 months, 21 days</v>
          </cell>
          <cell r="J538" t="str">
            <v>Renewables</v>
          </cell>
          <cell r="K538" t="str">
            <v>Solar (Rooftop)</v>
          </cell>
          <cell r="L538" t="str">
            <v>Solar</v>
          </cell>
          <cell r="M538" t="str">
            <v>Dx</v>
          </cell>
          <cell r="N538" t="str">
            <v>Mississauga</v>
          </cell>
          <cell r="O538" t="str">
            <v>Peel</v>
          </cell>
          <cell r="P538" t="str">
            <v>Toronto</v>
          </cell>
        </row>
        <row r="539">
          <cell r="C539" t="str">
            <v>#141 100 Thames Rd E, Exeter</v>
          </cell>
          <cell r="D539" t="str">
            <v>PSI Solar Finance 1 Limited Partnership</v>
          </cell>
          <cell r="E539" t="str">
            <v>CO</v>
          </cell>
          <cell r="F539">
            <v>41796</v>
          </cell>
          <cell r="G539">
            <v>41488</v>
          </cell>
          <cell r="H539">
            <v>48792</v>
          </cell>
          <cell r="I539" t="str">
            <v>19 years, 11 months, 30 days</v>
          </cell>
          <cell r="J539" t="str">
            <v>Renewables</v>
          </cell>
          <cell r="K539" t="str">
            <v>Solar (Rooftop)</v>
          </cell>
          <cell r="L539" t="str">
            <v>Solar</v>
          </cell>
          <cell r="M539" t="str">
            <v>Dx</v>
          </cell>
          <cell r="N539" t="str">
            <v>Exeter</v>
          </cell>
          <cell r="O539" t="str">
            <v>Huron</v>
          </cell>
          <cell r="P539" t="str">
            <v>Southwest</v>
          </cell>
        </row>
        <row r="540">
          <cell r="C540" t="str">
            <v>MSR</v>
          </cell>
          <cell r="D540" t="str">
            <v>Warehouse Properties Limited</v>
          </cell>
          <cell r="E540" t="str">
            <v>CO</v>
          </cell>
          <cell r="F540">
            <v>41029</v>
          </cell>
          <cell r="G540">
            <v>40641</v>
          </cell>
          <cell r="H540">
            <v>47945</v>
          </cell>
          <cell r="I540" t="str">
            <v>19 years, 11 months, 30 days</v>
          </cell>
          <cell r="J540" t="str">
            <v>Renewables</v>
          </cell>
          <cell r="K540" t="str">
            <v>Solar (Rooftop)</v>
          </cell>
          <cell r="L540" t="str">
            <v>Solar</v>
          </cell>
          <cell r="M540" t="str">
            <v>Dx</v>
          </cell>
          <cell r="N540" t="str">
            <v>Toronto</v>
          </cell>
          <cell r="O540" t="str">
            <v>Toronto</v>
          </cell>
          <cell r="P540" t="str">
            <v>Toronto</v>
          </cell>
        </row>
        <row r="541">
          <cell r="C541" t="str">
            <v>Canadian Solar Developers Ltd. L.P. #15</v>
          </cell>
          <cell r="D541" t="str">
            <v>Mann Ground Mount Solar Ltd.</v>
          </cell>
          <cell r="E541" t="str">
            <v>CO</v>
          </cell>
          <cell r="F541">
            <v>41695</v>
          </cell>
          <cell r="G541">
            <v>42258</v>
          </cell>
          <cell r="H541">
            <v>49562</v>
          </cell>
          <cell r="I541" t="str">
            <v>19 years, 11 months, 30 days</v>
          </cell>
          <cell r="J541" t="str">
            <v>Renewables</v>
          </cell>
          <cell r="K541" t="str">
            <v>Solar (Ground Mounted)</v>
          </cell>
          <cell r="L541" t="str">
            <v>Solar</v>
          </cell>
          <cell r="M541" t="str">
            <v>Dx</v>
          </cell>
          <cell r="N541" t="str">
            <v>Midhurst</v>
          </cell>
          <cell r="O541" t="str">
            <v>Simcoe</v>
          </cell>
          <cell r="P541" t="str">
            <v>Essa</v>
          </cell>
        </row>
        <row r="542">
          <cell r="C542" t="str">
            <v>RE Smiths Falls 2</v>
          </cell>
          <cell r="D542" t="str">
            <v>Aurora Smiths Falls 2 Limited Partnership</v>
          </cell>
          <cell r="E542" t="str">
            <v>CO</v>
          </cell>
          <cell r="F542">
            <v>41323</v>
          </cell>
          <cell r="G542">
            <v>41361</v>
          </cell>
          <cell r="H542">
            <v>48665</v>
          </cell>
          <cell r="I542" t="str">
            <v>19 years, 11 months, 27 days</v>
          </cell>
          <cell r="J542" t="str">
            <v>Renewables</v>
          </cell>
          <cell r="K542" t="str">
            <v>Solar (Ground Mounted)</v>
          </cell>
          <cell r="L542" t="str">
            <v>Solar</v>
          </cell>
          <cell r="M542" t="str">
            <v>Dx</v>
          </cell>
          <cell r="N542" t="str">
            <v>Perth</v>
          </cell>
          <cell r="O542" t="str">
            <v>Lanark</v>
          </cell>
          <cell r="P542" t="str">
            <v>East</v>
          </cell>
        </row>
        <row r="543">
          <cell r="C543" t="str">
            <v>Indian Handicrafts</v>
          </cell>
          <cell r="D543" t="str">
            <v>ASI SPE 111 Inc.</v>
          </cell>
          <cell r="E543" t="str">
            <v>CO</v>
          </cell>
          <cell r="F543">
            <v>41820</v>
          </cell>
          <cell r="G543">
            <v>41990</v>
          </cell>
          <cell r="H543">
            <v>49124</v>
          </cell>
          <cell r="I543" t="str">
            <v>19 years, 6 months, 12 days</v>
          </cell>
          <cell r="J543" t="str">
            <v>Renewables</v>
          </cell>
          <cell r="K543" t="str">
            <v>Solar (Rooftop)</v>
          </cell>
          <cell r="L543" t="str">
            <v>Solar</v>
          </cell>
          <cell r="M543" t="str">
            <v>Dx</v>
          </cell>
          <cell r="N543" t="str">
            <v>Mississauga</v>
          </cell>
          <cell r="O543" t="str">
            <v>Peel</v>
          </cell>
          <cell r="P543" t="str">
            <v>Toronto</v>
          </cell>
        </row>
        <row r="544">
          <cell r="C544" t="str">
            <v>TBHEDI-5</v>
          </cell>
          <cell r="D544" t="str">
            <v>Synergy North Corporation</v>
          </cell>
          <cell r="E544" t="str">
            <v>CO</v>
          </cell>
          <cell r="F544">
            <v>41841</v>
          </cell>
          <cell r="G544">
            <v>41563</v>
          </cell>
          <cell r="H544">
            <v>48867</v>
          </cell>
          <cell r="I544" t="str">
            <v>19 years, 11 months, 29 days</v>
          </cell>
          <cell r="J544" t="str">
            <v>Renewables</v>
          </cell>
          <cell r="K544" t="str">
            <v>Solar (Rooftop)</v>
          </cell>
          <cell r="L544" t="str">
            <v>Solar</v>
          </cell>
          <cell r="M544" t="str">
            <v>Dx</v>
          </cell>
          <cell r="N544" t="str">
            <v>Thunder Bay</v>
          </cell>
          <cell r="O544" t="str">
            <v>Thunder Bay</v>
          </cell>
          <cell r="P544" t="str">
            <v>Northwest</v>
          </cell>
        </row>
        <row r="545">
          <cell r="C545" t="str">
            <v>C13-550 Terminal</v>
          </cell>
          <cell r="D545" t="str">
            <v>Fengate (FGDI) Limited Partnership</v>
          </cell>
          <cell r="E545" t="str">
            <v>CO</v>
          </cell>
          <cell r="F545">
            <v>41799</v>
          </cell>
          <cell r="G545">
            <v>42026</v>
          </cell>
          <cell r="H545">
            <v>49330</v>
          </cell>
          <cell r="I545" t="str">
            <v>19 years, 11 months, 30 days</v>
          </cell>
          <cell r="J545" t="str">
            <v>Renewables</v>
          </cell>
          <cell r="K545" t="str">
            <v>Solar (Rooftop)</v>
          </cell>
          <cell r="L545" t="str">
            <v>Solar</v>
          </cell>
          <cell r="M545" t="str">
            <v>Dx</v>
          </cell>
          <cell r="N545" t="str">
            <v>Ottawa</v>
          </cell>
          <cell r="O545" t="str">
            <v>Ottawa</v>
          </cell>
          <cell r="P545" t="str">
            <v>Ottawa</v>
          </cell>
        </row>
        <row r="546">
          <cell r="C546" t="str">
            <v>Vimont Court Limited</v>
          </cell>
          <cell r="D546" t="str">
            <v>Dream Industrial (GP) Inc.</v>
          </cell>
          <cell r="E546" t="str">
            <v>CO</v>
          </cell>
          <cell r="F546">
            <v>41822</v>
          </cell>
          <cell r="G546">
            <v>41981</v>
          </cell>
          <cell r="H546">
            <v>49285</v>
          </cell>
          <cell r="I546" t="str">
            <v>19 years, 11 months, 29 days</v>
          </cell>
          <cell r="J546" t="str">
            <v>Renewables</v>
          </cell>
          <cell r="K546" t="str">
            <v>Solar (Rooftop)</v>
          </cell>
          <cell r="L546" t="str">
            <v>Solar</v>
          </cell>
          <cell r="M546" t="str">
            <v>Dx</v>
          </cell>
          <cell r="N546" t="str">
            <v>Ottawa</v>
          </cell>
          <cell r="O546" t="str">
            <v>Ottawa</v>
          </cell>
          <cell r="P546" t="str">
            <v>Ottawa</v>
          </cell>
        </row>
        <row r="547">
          <cell r="C547" t="str">
            <v>May Farm Solar</v>
          </cell>
          <cell r="D547" t="str">
            <v>Swiss View Farms Inc.</v>
          </cell>
          <cell r="E547" t="str">
            <v>CO</v>
          </cell>
          <cell r="F547">
            <v>41457</v>
          </cell>
          <cell r="G547">
            <v>40970</v>
          </cell>
          <cell r="H547">
            <v>48274</v>
          </cell>
          <cell r="I547" t="str">
            <v>19 years, 11 months, 28 days</v>
          </cell>
          <cell r="J547" t="str">
            <v>Renewables</v>
          </cell>
          <cell r="K547" t="str">
            <v>Solar (Rooftop)</v>
          </cell>
          <cell r="L547" t="str">
            <v>Solar</v>
          </cell>
          <cell r="M547" t="str">
            <v>Dx</v>
          </cell>
          <cell r="N547" t="str">
            <v>Atwood</v>
          </cell>
          <cell r="O547" t="str">
            <v>Perth</v>
          </cell>
          <cell r="P547" t="str">
            <v>Southwest</v>
          </cell>
        </row>
        <row r="548">
          <cell r="C548" t="str">
            <v>H06-3035 WONDERLAND</v>
          </cell>
          <cell r="D548" t="str">
            <v>MOM Solar Limited Partnership</v>
          </cell>
          <cell r="E548" t="str">
            <v>CO</v>
          </cell>
          <cell r="F548">
            <v>41029</v>
          </cell>
          <cell r="G548">
            <v>41212</v>
          </cell>
          <cell r="H548">
            <v>48516</v>
          </cell>
          <cell r="I548" t="str">
            <v>19 years, 11 months, 29 days</v>
          </cell>
          <cell r="J548" t="str">
            <v>Renewables</v>
          </cell>
          <cell r="K548" t="str">
            <v>Solar (Rooftop)</v>
          </cell>
          <cell r="L548" t="str">
            <v>Solar</v>
          </cell>
          <cell r="M548" t="str">
            <v>Dx</v>
          </cell>
          <cell r="N548" t="str">
            <v>London</v>
          </cell>
          <cell r="O548" t="str">
            <v>Middlesex</v>
          </cell>
          <cell r="P548" t="str">
            <v>West</v>
          </cell>
        </row>
        <row r="549">
          <cell r="C549" t="str">
            <v>Northland Power Solar Glendale</v>
          </cell>
          <cell r="D549" t="str">
            <v>Northland Power Solar Glendale L.P.</v>
          </cell>
          <cell r="E549" t="str">
            <v>CO</v>
          </cell>
          <cell r="F549">
            <v>41708</v>
          </cell>
          <cell r="G549">
            <v>41663</v>
          </cell>
          <cell r="H549">
            <v>48967</v>
          </cell>
          <cell r="I549" t="str">
            <v>19 years, 11 months, 30 days</v>
          </cell>
          <cell r="J549" t="str">
            <v>Renewables</v>
          </cell>
          <cell r="K549" t="str">
            <v>Solar (Ground Mounted)</v>
          </cell>
          <cell r="L549" t="str">
            <v>Solar</v>
          </cell>
          <cell r="M549" t="str">
            <v>Dx</v>
          </cell>
          <cell r="N549" t="str">
            <v>Cornwall</v>
          </cell>
          <cell r="O549" t="str">
            <v>Stormont, Dundas and Glengarry</v>
          </cell>
          <cell r="P549" t="str">
            <v>East</v>
          </cell>
        </row>
        <row r="550">
          <cell r="C550" t="str">
            <v>S Buma Kittle Road</v>
          </cell>
          <cell r="D550" t="str">
            <v>Simon Buma</v>
          </cell>
          <cell r="E550" t="str">
            <v>CO</v>
          </cell>
          <cell r="F550">
            <v>41029</v>
          </cell>
          <cell r="G550">
            <v>40809</v>
          </cell>
          <cell r="H550">
            <v>48113</v>
          </cell>
          <cell r="I550" t="str">
            <v>19 years, 11 months, 30 days</v>
          </cell>
          <cell r="J550" t="str">
            <v>Renewables</v>
          </cell>
          <cell r="K550" t="str">
            <v>Solar (Rooftop)</v>
          </cell>
          <cell r="L550" t="str">
            <v>Solar</v>
          </cell>
          <cell r="M550" t="str">
            <v>Dx</v>
          </cell>
          <cell r="N550" t="str">
            <v>Chesterville</v>
          </cell>
          <cell r="O550" t="str">
            <v>Stormont, Dundas and Glengarry</v>
          </cell>
          <cell r="P550" t="str">
            <v>East</v>
          </cell>
        </row>
        <row r="551">
          <cell r="C551" t="str">
            <v>Oakville Town Hall Project</v>
          </cell>
          <cell r="D551" t="str">
            <v>Oakville Hydro Energy Services Inc.</v>
          </cell>
          <cell r="E551" t="str">
            <v>CO</v>
          </cell>
          <cell r="F551">
            <v>41827</v>
          </cell>
          <cell r="G551">
            <v>41099</v>
          </cell>
          <cell r="H551">
            <v>48403</v>
          </cell>
          <cell r="I551" t="str">
            <v>19 years, 11 months, 29 days</v>
          </cell>
          <cell r="J551" t="str">
            <v>Renewables</v>
          </cell>
          <cell r="K551" t="str">
            <v>Solar (Rooftop)</v>
          </cell>
          <cell r="L551" t="str">
            <v>Solar</v>
          </cell>
          <cell r="M551" t="str">
            <v>Dx</v>
          </cell>
          <cell r="N551" t="str">
            <v>Oakville</v>
          </cell>
          <cell r="O551" t="str">
            <v>Halton</v>
          </cell>
          <cell r="P551" t="str">
            <v>Toronto</v>
          </cell>
        </row>
        <row r="552">
          <cell r="C552" t="str">
            <v>Castellan Farm</v>
          </cell>
          <cell r="D552" t="str">
            <v>CASPRI Ventures Inc.</v>
          </cell>
          <cell r="E552" t="str">
            <v>CO</v>
          </cell>
          <cell r="F552">
            <v>41796</v>
          </cell>
          <cell r="G552">
            <v>41189</v>
          </cell>
          <cell r="H552">
            <v>48493</v>
          </cell>
          <cell r="I552" t="str">
            <v>19 years, 11 months, 29 days</v>
          </cell>
          <cell r="J552" t="str">
            <v>Renewables</v>
          </cell>
          <cell r="K552" t="str">
            <v>Solar (Rooftop)</v>
          </cell>
          <cell r="L552" t="str">
            <v>Solar</v>
          </cell>
          <cell r="M552" t="str">
            <v>Dx</v>
          </cell>
          <cell r="N552" t="str">
            <v>Elora</v>
          </cell>
          <cell r="O552" t="str">
            <v>Wellington</v>
          </cell>
          <cell r="P552" t="str">
            <v>Southwest</v>
          </cell>
        </row>
        <row r="553">
          <cell r="C553" t="str">
            <v>Towcon Holdings Inc</v>
          </cell>
          <cell r="D553" t="str">
            <v>Towcon Holdings Inc.</v>
          </cell>
          <cell r="E553" t="str">
            <v>CO</v>
          </cell>
          <cell r="F553">
            <v>41827</v>
          </cell>
          <cell r="G553">
            <v>41241</v>
          </cell>
          <cell r="H553">
            <v>48545</v>
          </cell>
          <cell r="I553" t="str">
            <v>19 years, 11 months, 30 days</v>
          </cell>
          <cell r="J553" t="str">
            <v>Renewables</v>
          </cell>
          <cell r="K553" t="str">
            <v>Solar (Rooftop)</v>
          </cell>
          <cell r="L553" t="str">
            <v>Solar</v>
          </cell>
          <cell r="M553" t="str">
            <v>Dx</v>
          </cell>
          <cell r="N553" t="str">
            <v>Guelph</v>
          </cell>
          <cell r="O553" t="str">
            <v>Wellington</v>
          </cell>
          <cell r="P553" t="str">
            <v>Southwest</v>
          </cell>
        </row>
        <row r="554">
          <cell r="C554" t="str">
            <v>Complexe JR Brisson</v>
          </cell>
          <cell r="D554" t="str">
            <v>SEC-SOLPOWERED PROJECT 2 LP</v>
          </cell>
          <cell r="E554" t="str">
            <v>CO</v>
          </cell>
          <cell r="F554">
            <v>41470</v>
          </cell>
          <cell r="G554">
            <v>41435</v>
          </cell>
          <cell r="H554">
            <v>48739</v>
          </cell>
          <cell r="I554" t="str">
            <v>19 years, 11 months, 30 days</v>
          </cell>
          <cell r="J554" t="str">
            <v>Renewables</v>
          </cell>
          <cell r="K554" t="str">
            <v>Solar (Rooftop)</v>
          </cell>
          <cell r="L554" t="str">
            <v>Solar</v>
          </cell>
          <cell r="M554" t="str">
            <v>Dx</v>
          </cell>
          <cell r="N554" t="str">
            <v>Casselman</v>
          </cell>
          <cell r="O554" t="str">
            <v>Prescott and Russell</v>
          </cell>
          <cell r="P554" t="str">
            <v>Ottawa</v>
          </cell>
        </row>
        <row r="555">
          <cell r="C555" t="str">
            <v>Athlone Farms Inc.</v>
          </cell>
          <cell r="D555" t="str">
            <v>Athlone Bio Power Inc.</v>
          </cell>
          <cell r="E555" t="str">
            <v>CO</v>
          </cell>
          <cell r="F555">
            <v>41797</v>
          </cell>
          <cell r="G555">
            <v>41380</v>
          </cell>
          <cell r="H555">
            <v>48684</v>
          </cell>
          <cell r="I555" t="str">
            <v>19 years, 11 months, 30 days</v>
          </cell>
          <cell r="J555" t="str">
            <v>Renewables</v>
          </cell>
          <cell r="K555" t="str">
            <v>Bioenergy</v>
          </cell>
          <cell r="L555" t="str">
            <v>Biogas</v>
          </cell>
          <cell r="M555" t="str">
            <v>Dx</v>
          </cell>
          <cell r="N555" t="str">
            <v>Tavistock</v>
          </cell>
          <cell r="O555" t="str">
            <v>Oxford</v>
          </cell>
          <cell r="P555" t="str">
            <v>Southwest</v>
          </cell>
        </row>
        <row r="556">
          <cell r="C556" t="str">
            <v>Annan &amp; Bird - 1060 Tristar</v>
          </cell>
          <cell r="D556" t="str">
            <v>Annan &amp; Bird Lithographers</v>
          </cell>
          <cell r="E556" t="str">
            <v>CO</v>
          </cell>
          <cell r="F556">
            <v>41910</v>
          </cell>
          <cell r="G556">
            <v>42086</v>
          </cell>
          <cell r="H556">
            <v>49214</v>
          </cell>
          <cell r="I556" t="str">
            <v>19 years, 6 months, 4 days</v>
          </cell>
          <cell r="J556" t="str">
            <v>Renewables</v>
          </cell>
          <cell r="K556" t="str">
            <v>Solar (Rooftop)</v>
          </cell>
          <cell r="L556" t="str">
            <v>Solar</v>
          </cell>
          <cell r="M556" t="str">
            <v>Dx</v>
          </cell>
          <cell r="N556" t="str">
            <v>Mississauga</v>
          </cell>
          <cell r="O556" t="str">
            <v>Peel</v>
          </cell>
          <cell r="P556" t="str">
            <v>Toronto</v>
          </cell>
        </row>
        <row r="557">
          <cell r="C557" t="str">
            <v>(F4) Fortinos Guelph Line</v>
          </cell>
          <cell r="D557" t="str">
            <v>Firelight Solar LP</v>
          </cell>
          <cell r="E557" t="str">
            <v>CO</v>
          </cell>
          <cell r="F557">
            <v>41710</v>
          </cell>
          <cell r="G557">
            <v>41423</v>
          </cell>
          <cell r="H557">
            <v>48727</v>
          </cell>
          <cell r="I557" t="str">
            <v>19 years, 11 months, 29 days</v>
          </cell>
          <cell r="J557" t="str">
            <v>Renewables</v>
          </cell>
          <cell r="K557" t="str">
            <v>Solar (Rooftop)</v>
          </cell>
          <cell r="L557" t="str">
            <v>Solar</v>
          </cell>
          <cell r="M557" t="str">
            <v>Dx</v>
          </cell>
          <cell r="N557" t="str">
            <v>Burlington</v>
          </cell>
          <cell r="O557" t="str">
            <v>Halton</v>
          </cell>
          <cell r="P557" t="str">
            <v>Southwest</v>
          </cell>
        </row>
        <row r="558">
          <cell r="C558">
            <v>2176047</v>
          </cell>
          <cell r="D558" t="str">
            <v>Axium Infinity Solar LP</v>
          </cell>
          <cell r="E558" t="str">
            <v>CO</v>
          </cell>
          <cell r="F558">
            <v>41415</v>
          </cell>
          <cell r="G558">
            <v>41220</v>
          </cell>
          <cell r="H558">
            <v>48524</v>
          </cell>
          <cell r="I558" t="str">
            <v>19 years, 11 months, 30 days</v>
          </cell>
          <cell r="J558" t="str">
            <v>Renewables</v>
          </cell>
          <cell r="K558" t="str">
            <v>Solar (Ground Mounted)</v>
          </cell>
          <cell r="L558" t="str">
            <v>Solar</v>
          </cell>
          <cell r="M558" t="str">
            <v>Dx</v>
          </cell>
          <cell r="N558" t="str">
            <v>Brockville</v>
          </cell>
          <cell r="O558" t="str">
            <v>Leeds and Grenville</v>
          </cell>
          <cell r="P558" t="str">
            <v>East</v>
          </cell>
        </row>
        <row r="559">
          <cell r="C559" t="str">
            <v>1400 Victoria Street</v>
          </cell>
          <cell r="D559" t="str">
            <v>TerraForm MP Solar, LLC</v>
          </cell>
          <cell r="E559" t="str">
            <v>CO</v>
          </cell>
          <cell r="F559">
            <v>41820</v>
          </cell>
          <cell r="G559">
            <v>41964</v>
          </cell>
          <cell r="H559">
            <v>49268</v>
          </cell>
          <cell r="I559" t="str">
            <v>19 years, 11 months, 30 days</v>
          </cell>
          <cell r="J559" t="str">
            <v>Renewables</v>
          </cell>
          <cell r="K559" t="str">
            <v>Solar (Rooftop)</v>
          </cell>
          <cell r="L559" t="str">
            <v>Solar</v>
          </cell>
          <cell r="M559" t="str">
            <v>Dx</v>
          </cell>
          <cell r="N559" t="str">
            <v>Whitby</v>
          </cell>
          <cell r="O559" t="str">
            <v>Durham</v>
          </cell>
          <cell r="P559" t="str">
            <v>Toronto</v>
          </cell>
        </row>
        <row r="560">
          <cell r="C560" t="str">
            <v>Ruby Farms Solar One</v>
          </cell>
          <cell r="D560" t="str">
            <v>Vine Fresh Produce Limited</v>
          </cell>
          <cell r="E560" t="str">
            <v>CO</v>
          </cell>
          <cell r="F560">
            <v>41825</v>
          </cell>
          <cell r="G560">
            <v>41499</v>
          </cell>
          <cell r="H560">
            <v>48803</v>
          </cell>
          <cell r="I560" t="str">
            <v>19 years, 11 months, 30 days</v>
          </cell>
          <cell r="J560" t="str">
            <v>Renewables</v>
          </cell>
          <cell r="K560" t="str">
            <v>Solar (Rooftop)</v>
          </cell>
          <cell r="L560" t="str">
            <v>Solar</v>
          </cell>
          <cell r="M560" t="str">
            <v>Dx</v>
          </cell>
          <cell r="N560" t="str">
            <v>Strathroy</v>
          </cell>
          <cell r="O560" t="str">
            <v>Middlesex</v>
          </cell>
          <cell r="P560" t="str">
            <v>West</v>
          </cell>
        </row>
        <row r="561">
          <cell r="C561" t="str">
            <v>Northland Power Solar Abitibi</v>
          </cell>
          <cell r="D561" t="str">
            <v>Northland Power Solar Abitibi L.P.</v>
          </cell>
          <cell r="E561" t="str">
            <v>CO</v>
          </cell>
          <cell r="F561">
            <v>41887</v>
          </cell>
          <cell r="G561">
            <v>42244</v>
          </cell>
          <cell r="H561">
            <v>49548</v>
          </cell>
          <cell r="I561" t="str">
            <v>19 years, 11 months, 30 days</v>
          </cell>
          <cell r="J561" t="str">
            <v>Renewables</v>
          </cell>
          <cell r="K561" t="str">
            <v>Solar (Ground Mounted)</v>
          </cell>
          <cell r="L561" t="str">
            <v>Solar</v>
          </cell>
          <cell r="M561" t="str">
            <v>Tx</v>
          </cell>
          <cell r="N561" t="str">
            <v>Cochrane</v>
          </cell>
          <cell r="O561" t="str">
            <v>Cochrane</v>
          </cell>
          <cell r="P561" t="str">
            <v>Northeast</v>
          </cell>
        </row>
        <row r="562">
          <cell r="C562" t="str">
            <v>C13-1501 Innes Building 2 (1497 Innes)</v>
          </cell>
          <cell r="D562" t="str">
            <v>PSI Solar Finance 1 Limited Partnership</v>
          </cell>
          <cell r="E562" t="str">
            <v>CO</v>
          </cell>
          <cell r="F562">
            <v>41799</v>
          </cell>
          <cell r="G562">
            <v>41969</v>
          </cell>
          <cell r="H562">
            <v>49273</v>
          </cell>
          <cell r="I562" t="str">
            <v>19 years, 11 months, 30 days</v>
          </cell>
          <cell r="J562" t="str">
            <v>Renewables</v>
          </cell>
          <cell r="K562" t="str">
            <v>Solar (Rooftop)</v>
          </cell>
          <cell r="L562" t="str">
            <v>Solar</v>
          </cell>
          <cell r="M562" t="str">
            <v>Dx</v>
          </cell>
          <cell r="N562" t="str">
            <v>Ottawa</v>
          </cell>
          <cell r="O562" t="str">
            <v>Ottawa</v>
          </cell>
          <cell r="P562" t="str">
            <v>Ottawa</v>
          </cell>
        </row>
        <row r="563">
          <cell r="C563" t="str">
            <v>533 Romeo</v>
          </cell>
          <cell r="D563" t="str">
            <v>Fovere Glenbarra Energy Fund I Limited Partnership</v>
          </cell>
          <cell r="E563" t="str">
            <v>CO</v>
          </cell>
          <cell r="F563">
            <v>41029</v>
          </cell>
          <cell r="G563">
            <v>41003</v>
          </cell>
          <cell r="H563">
            <v>48307</v>
          </cell>
          <cell r="I563" t="str">
            <v>19 years, 11 months, 30 days</v>
          </cell>
          <cell r="J563" t="str">
            <v>Renewables</v>
          </cell>
          <cell r="K563" t="str">
            <v>Solar (Rooftop)</v>
          </cell>
          <cell r="L563" t="str">
            <v>Solar</v>
          </cell>
          <cell r="M563" t="str">
            <v>Dx</v>
          </cell>
          <cell r="N563" t="str">
            <v>Stratford</v>
          </cell>
          <cell r="O563" t="str">
            <v>Perth</v>
          </cell>
          <cell r="P563" t="str">
            <v>Southwest</v>
          </cell>
        </row>
        <row r="564">
          <cell r="C564" t="str">
            <v>H06-2375 STEELES</v>
          </cell>
          <cell r="D564" t="str">
            <v>MOM Solar Limited Partnership</v>
          </cell>
          <cell r="E564" t="str">
            <v>CO</v>
          </cell>
          <cell r="F564">
            <v>41029</v>
          </cell>
          <cell r="G564">
            <v>41121</v>
          </cell>
          <cell r="H564">
            <v>48333</v>
          </cell>
          <cell r="I564" t="str">
            <v>19 years, 8 months, 29 days</v>
          </cell>
          <cell r="J564" t="str">
            <v>Renewables</v>
          </cell>
          <cell r="K564" t="str">
            <v>Solar (Rooftop)</v>
          </cell>
          <cell r="L564" t="str">
            <v>Solar</v>
          </cell>
          <cell r="M564" t="str">
            <v>Dx</v>
          </cell>
          <cell r="N564" t="str">
            <v>Toronto</v>
          </cell>
          <cell r="O564" t="str">
            <v>Toronto</v>
          </cell>
          <cell r="P564" t="str">
            <v>Toronto</v>
          </cell>
        </row>
        <row r="565">
          <cell r="C565" t="str">
            <v>1403600 Ontario Inc.</v>
          </cell>
          <cell r="D565" t="str">
            <v>Alectra Utilities Corporation</v>
          </cell>
          <cell r="E565" t="str">
            <v>CO</v>
          </cell>
          <cell r="F565">
            <v>41825</v>
          </cell>
          <cell r="G565">
            <v>41926</v>
          </cell>
          <cell r="H565">
            <v>49230</v>
          </cell>
          <cell r="I565" t="str">
            <v>19 years, 11 months, 29 days</v>
          </cell>
          <cell r="J565" t="str">
            <v>Renewables</v>
          </cell>
          <cell r="K565" t="str">
            <v>Solar (Rooftop)</v>
          </cell>
          <cell r="L565" t="str">
            <v>Solar</v>
          </cell>
          <cell r="M565" t="str">
            <v>Dx</v>
          </cell>
          <cell r="N565" t="str">
            <v>Tilbury</v>
          </cell>
          <cell r="O565" t="str">
            <v>Chatham-Kent</v>
          </cell>
          <cell r="P565" t="str">
            <v>West</v>
          </cell>
        </row>
        <row r="566">
          <cell r="C566" t="str">
            <v>Grandview Equestrian Farm</v>
          </cell>
          <cell r="D566" t="str">
            <v>Grandview Equestrian Farms Inc.</v>
          </cell>
          <cell r="E566" t="str">
            <v>CO</v>
          </cell>
          <cell r="F566">
            <v>41029</v>
          </cell>
          <cell r="G566">
            <v>40794</v>
          </cell>
          <cell r="H566">
            <v>48098</v>
          </cell>
          <cell r="I566" t="str">
            <v>19 years, 11 months, 30 days</v>
          </cell>
          <cell r="J566" t="str">
            <v>Renewables</v>
          </cell>
          <cell r="K566" t="str">
            <v>Solar (Rooftop)</v>
          </cell>
          <cell r="L566" t="str">
            <v>Solar</v>
          </cell>
          <cell r="M566" t="str">
            <v>Dx</v>
          </cell>
          <cell r="N566" t="str">
            <v>Cedar Valley</v>
          </cell>
          <cell r="O566" t="str">
            <v>York</v>
          </cell>
          <cell r="P566" t="str">
            <v>Essa</v>
          </cell>
        </row>
        <row r="567">
          <cell r="C567" t="str">
            <v>LCS Solar Energy Project</v>
          </cell>
          <cell r="D567" t="str">
            <v>Lakefield College School</v>
          </cell>
          <cell r="E567" t="str">
            <v>CO</v>
          </cell>
          <cell r="F567">
            <v>41811</v>
          </cell>
          <cell r="G567">
            <v>41704</v>
          </cell>
          <cell r="H567">
            <v>49008</v>
          </cell>
          <cell r="I567" t="str">
            <v>19 years, 11 months, 27 days</v>
          </cell>
          <cell r="J567" t="str">
            <v>Renewables</v>
          </cell>
          <cell r="K567" t="str">
            <v>Solar (Rooftop)</v>
          </cell>
          <cell r="L567" t="str">
            <v>Solar</v>
          </cell>
          <cell r="M567" t="str">
            <v>Dx</v>
          </cell>
          <cell r="N567" t="str">
            <v>Lakefield</v>
          </cell>
          <cell r="O567" t="str">
            <v>Peterborough</v>
          </cell>
          <cell r="P567" t="str">
            <v>East</v>
          </cell>
        </row>
        <row r="568">
          <cell r="C568" t="str">
            <v>670 Southgate Drive RT</v>
          </cell>
          <cell r="D568" t="str">
            <v>Brightroof Solar Limited Partnership</v>
          </cell>
          <cell r="E568" t="str">
            <v>CO</v>
          </cell>
          <cell r="F568">
            <v>41818</v>
          </cell>
          <cell r="G568">
            <v>41326</v>
          </cell>
          <cell r="H568">
            <v>48630</v>
          </cell>
          <cell r="I568" t="str">
            <v>19 years, 11 months, 30 days</v>
          </cell>
          <cell r="J568" t="str">
            <v>Renewables</v>
          </cell>
          <cell r="K568" t="str">
            <v>Solar (Rooftop)</v>
          </cell>
          <cell r="L568" t="str">
            <v>Solar</v>
          </cell>
          <cell r="M568" t="str">
            <v>Dx</v>
          </cell>
          <cell r="N568" t="str">
            <v>Guelph</v>
          </cell>
          <cell r="O568" t="str">
            <v>Wellington</v>
          </cell>
          <cell r="P568" t="str">
            <v>Southwest</v>
          </cell>
        </row>
        <row r="569">
          <cell r="C569" t="str">
            <v>2300 Shirley Drive</v>
          </cell>
          <cell r="D569" t="str">
            <v>2240051 Ontario Inc.</v>
          </cell>
          <cell r="E569" t="str">
            <v>CO</v>
          </cell>
          <cell r="F569">
            <v>41820</v>
          </cell>
          <cell r="G569">
            <v>42001</v>
          </cell>
          <cell r="H569">
            <v>49305</v>
          </cell>
          <cell r="I569" t="str">
            <v>19 years, 11 months, 29 days</v>
          </cell>
          <cell r="J569" t="str">
            <v>Renewables</v>
          </cell>
          <cell r="K569" t="str">
            <v>Solar (Rooftop)</v>
          </cell>
          <cell r="L569" t="str">
            <v>Solar</v>
          </cell>
          <cell r="M569" t="str">
            <v>Dx</v>
          </cell>
          <cell r="N569" t="str">
            <v>Kitchener</v>
          </cell>
          <cell r="O569" t="str">
            <v>Waterloo</v>
          </cell>
          <cell r="P569" t="str">
            <v>Southwest</v>
          </cell>
        </row>
        <row r="570">
          <cell r="C570" t="str">
            <v>Veurink's Solar Farm</v>
          </cell>
          <cell r="D570" t="str">
            <v>Hank Veurink, Alice Veurink</v>
          </cell>
          <cell r="E570" t="str">
            <v>CO</v>
          </cell>
          <cell r="F570">
            <v>41497</v>
          </cell>
          <cell r="G570">
            <v>41114</v>
          </cell>
          <cell r="H570">
            <v>48418</v>
          </cell>
          <cell r="I570" t="str">
            <v>19 years, 11 months, 29 days</v>
          </cell>
          <cell r="J570" t="str">
            <v>Renewables</v>
          </cell>
          <cell r="K570" t="str">
            <v>Solar (Rooftop)</v>
          </cell>
          <cell r="L570" t="str">
            <v>Solar</v>
          </cell>
          <cell r="M570" t="str">
            <v>Dx</v>
          </cell>
          <cell r="N570" t="str">
            <v>Hagersville</v>
          </cell>
          <cell r="O570" t="str">
            <v>Haldimand</v>
          </cell>
          <cell r="P570" t="str">
            <v>Southwest</v>
          </cell>
        </row>
        <row r="571">
          <cell r="C571" t="str">
            <v>C13-1000 Belfast</v>
          </cell>
          <cell r="D571" t="str">
            <v>Fengate (FGDI) Limited Partnership</v>
          </cell>
          <cell r="E571" t="str">
            <v>CO</v>
          </cell>
          <cell r="F571">
            <v>41799</v>
          </cell>
          <cell r="G571">
            <v>42026</v>
          </cell>
          <cell r="H571">
            <v>49330</v>
          </cell>
          <cell r="I571" t="str">
            <v>19 years, 11 months, 30 days</v>
          </cell>
          <cell r="J571" t="str">
            <v>Renewables</v>
          </cell>
          <cell r="K571" t="str">
            <v>Solar (Rooftop)</v>
          </cell>
          <cell r="L571" t="str">
            <v>Solar</v>
          </cell>
          <cell r="M571" t="str">
            <v>Dx</v>
          </cell>
          <cell r="N571" t="str">
            <v>Ottawa</v>
          </cell>
          <cell r="O571" t="str">
            <v>Ottawa</v>
          </cell>
          <cell r="P571" t="str">
            <v>Ottawa</v>
          </cell>
        </row>
        <row r="572">
          <cell r="C572" t="str">
            <v>Bertoni Bros. Inc.</v>
          </cell>
          <cell r="D572" t="str">
            <v>Alectra Utilities Corporation</v>
          </cell>
          <cell r="E572" t="str">
            <v>CO</v>
          </cell>
          <cell r="F572">
            <v>41841</v>
          </cell>
          <cell r="G572">
            <v>42011</v>
          </cell>
          <cell r="H572">
            <v>49315</v>
          </cell>
          <cell r="I572" t="str">
            <v>19 years, 11 months, 30 days</v>
          </cell>
          <cell r="J572" t="str">
            <v>Renewables</v>
          </cell>
          <cell r="K572" t="str">
            <v>Solar (Rooftop)</v>
          </cell>
          <cell r="L572" t="str">
            <v>Solar</v>
          </cell>
          <cell r="M572" t="str">
            <v>Dx</v>
          </cell>
          <cell r="N572" t="str">
            <v>Windsor</v>
          </cell>
          <cell r="O572" t="str">
            <v>Essex</v>
          </cell>
          <cell r="P572" t="str">
            <v>West</v>
          </cell>
        </row>
        <row r="573">
          <cell r="C573" t="str">
            <v>Port Dover and Nanticoke Wind Project</v>
          </cell>
          <cell r="D573" t="str">
            <v>Capital Power (PDN) L.P.</v>
          </cell>
          <cell r="E573" t="str">
            <v>CO</v>
          </cell>
          <cell r="F573">
            <v>41720</v>
          </cell>
          <cell r="G573">
            <v>41586</v>
          </cell>
          <cell r="H573">
            <v>48890</v>
          </cell>
          <cell r="I573" t="str">
            <v>19 years, 11 months, 30 days</v>
          </cell>
          <cell r="J573" t="str">
            <v>Renewables</v>
          </cell>
          <cell r="K573" t="str">
            <v>Wind (On-Shore)</v>
          </cell>
          <cell r="L573" t="str">
            <v>Wind</v>
          </cell>
          <cell r="M573" t="str">
            <v>Tx</v>
          </cell>
          <cell r="N573" t="str">
            <v>Nanticoke</v>
          </cell>
          <cell r="O573" t="str">
            <v>Haldimand</v>
          </cell>
          <cell r="P573" t="str">
            <v>Southwest</v>
          </cell>
        </row>
        <row r="574">
          <cell r="C574" t="str">
            <v>KRG Power Inc.</v>
          </cell>
          <cell r="D574" t="str">
            <v>PSI Solar Finance 1 Limited Partnership</v>
          </cell>
          <cell r="E574" t="str">
            <v>CO</v>
          </cell>
          <cell r="F574">
            <v>41834</v>
          </cell>
          <cell r="G574">
            <v>41306</v>
          </cell>
          <cell r="H574">
            <v>48610</v>
          </cell>
          <cell r="I574" t="str">
            <v>19 years, 11 months, 30 days</v>
          </cell>
          <cell r="J574" t="str">
            <v>Renewables</v>
          </cell>
          <cell r="K574" t="str">
            <v>Solar (Rooftop)</v>
          </cell>
          <cell r="L574" t="str">
            <v>Solar</v>
          </cell>
          <cell r="M574" t="str">
            <v>Dx</v>
          </cell>
          <cell r="N574" t="str">
            <v>Brantford</v>
          </cell>
          <cell r="O574" t="str">
            <v>Brant</v>
          </cell>
          <cell r="P574" t="str">
            <v>Southwest</v>
          </cell>
        </row>
        <row r="575">
          <cell r="C575" t="str">
            <v>#653 3200 Rutherford Rd, Vaughan</v>
          </cell>
          <cell r="D575" t="str">
            <v>PSI Solar Finance 1 Limited Partnership</v>
          </cell>
          <cell r="E575" t="str">
            <v>CO</v>
          </cell>
          <cell r="F575">
            <v>42183</v>
          </cell>
          <cell r="G575">
            <v>41757</v>
          </cell>
          <cell r="H575">
            <v>49061</v>
          </cell>
          <cell r="I575" t="str">
            <v>19 years, 11 months, 30 days</v>
          </cell>
          <cell r="J575" t="str">
            <v>Renewables</v>
          </cell>
          <cell r="K575" t="str">
            <v>Solar (Rooftop)</v>
          </cell>
          <cell r="L575" t="str">
            <v>Solar</v>
          </cell>
          <cell r="M575" t="str">
            <v>Dx</v>
          </cell>
          <cell r="N575" t="str">
            <v>Concord</v>
          </cell>
          <cell r="O575" t="str">
            <v>York</v>
          </cell>
          <cell r="P575" t="str">
            <v>Toronto</v>
          </cell>
        </row>
        <row r="576">
          <cell r="C576" t="str">
            <v>7885 Twin Oaks Drive 3</v>
          </cell>
          <cell r="D576" t="str">
            <v>Solar Income Fund LP (#2)</v>
          </cell>
          <cell r="E576" t="str">
            <v>CO</v>
          </cell>
          <cell r="F576">
            <v>41820</v>
          </cell>
          <cell r="G576">
            <v>41649</v>
          </cell>
          <cell r="H576">
            <v>48953</v>
          </cell>
          <cell r="I576" t="str">
            <v>19 years, 11 months, 30 days</v>
          </cell>
          <cell r="J576" t="str">
            <v>Renewables</v>
          </cell>
          <cell r="K576" t="str">
            <v>Solar (Rooftop)</v>
          </cell>
          <cell r="L576" t="str">
            <v>Solar</v>
          </cell>
          <cell r="M576" t="str">
            <v>Dx</v>
          </cell>
          <cell r="N576" t="str">
            <v>Windsor</v>
          </cell>
          <cell r="O576" t="str">
            <v>Essex</v>
          </cell>
          <cell r="P576" t="str">
            <v>West</v>
          </cell>
        </row>
        <row r="577">
          <cell r="C577" t="str">
            <v>P05-35 Dynamic</v>
          </cell>
          <cell r="D577" t="str">
            <v>Sky Solar (Canada) FIT 1 Limited Partnership</v>
          </cell>
          <cell r="E577" t="str">
            <v>CO</v>
          </cell>
          <cell r="F577">
            <v>41849</v>
          </cell>
          <cell r="G577">
            <v>42026</v>
          </cell>
          <cell r="H577">
            <v>49330</v>
          </cell>
          <cell r="I577" t="str">
            <v>19 years, 11 months, 30 days</v>
          </cell>
          <cell r="J577" t="str">
            <v>Renewables</v>
          </cell>
          <cell r="K577" t="str">
            <v>Solar (Rooftop)</v>
          </cell>
          <cell r="L577" t="str">
            <v>Solar</v>
          </cell>
          <cell r="M577" t="str">
            <v>Dx</v>
          </cell>
          <cell r="N577" t="str">
            <v>Toronto</v>
          </cell>
          <cell r="O577" t="str">
            <v>Toronto</v>
          </cell>
          <cell r="P577" t="str">
            <v>Toronto</v>
          </cell>
        </row>
        <row r="578">
          <cell r="C578" t="str">
            <v>O02-54 Kennevale</v>
          </cell>
          <cell r="D578" t="str">
            <v>PSI Solar Finance 1 Limited Partnership</v>
          </cell>
          <cell r="E578" t="str">
            <v>CO</v>
          </cell>
          <cell r="F578">
            <v>41832</v>
          </cell>
          <cell r="G578">
            <v>41365</v>
          </cell>
          <cell r="H578">
            <v>48669</v>
          </cell>
          <cell r="I578" t="str">
            <v>19 years, 11 months, 30 days</v>
          </cell>
          <cell r="J578" t="str">
            <v>Renewables</v>
          </cell>
          <cell r="K578" t="str">
            <v>Solar (Rooftop)</v>
          </cell>
          <cell r="L578" t="str">
            <v>Solar</v>
          </cell>
          <cell r="M578" t="str">
            <v>Dx</v>
          </cell>
          <cell r="N578" t="str">
            <v>Ottawa</v>
          </cell>
          <cell r="O578" t="str">
            <v>Ottawa</v>
          </cell>
          <cell r="P578" t="str">
            <v>Ottawa</v>
          </cell>
        </row>
        <row r="579">
          <cell r="C579" t="str">
            <v>#623 9040 County Rd, #17 Rockland</v>
          </cell>
          <cell r="D579" t="str">
            <v>PSI Solar Finance 1 Limited Partnership</v>
          </cell>
          <cell r="E579" t="str">
            <v>CO</v>
          </cell>
          <cell r="F579">
            <v>41796</v>
          </cell>
          <cell r="G579">
            <v>41520</v>
          </cell>
          <cell r="H579">
            <v>48824</v>
          </cell>
          <cell r="I579" t="str">
            <v>19 years, 11 months, 30 days</v>
          </cell>
          <cell r="J579" t="str">
            <v>Renewables</v>
          </cell>
          <cell r="K579" t="str">
            <v>Solar (Rooftop)</v>
          </cell>
          <cell r="L579" t="str">
            <v>Solar</v>
          </cell>
          <cell r="M579" t="str">
            <v>Dx</v>
          </cell>
          <cell r="N579" t="str">
            <v>Rockland</v>
          </cell>
          <cell r="O579" t="str">
            <v>Prescott and Russell</v>
          </cell>
          <cell r="P579" t="str">
            <v>Ottawa</v>
          </cell>
        </row>
        <row r="580">
          <cell r="C580" t="str">
            <v>BCR Solar Farm</v>
          </cell>
          <cell r="D580" t="str">
            <v>Famous Bakers Inc.</v>
          </cell>
          <cell r="E580" t="str">
            <v>CO</v>
          </cell>
          <cell r="F580">
            <v>41029</v>
          </cell>
          <cell r="G580">
            <v>41009</v>
          </cell>
          <cell r="H580">
            <v>48313</v>
          </cell>
          <cell r="I580" t="str">
            <v>19 years, 11 months, 30 days</v>
          </cell>
          <cell r="J580" t="str">
            <v>Renewables</v>
          </cell>
          <cell r="K580" t="str">
            <v>Solar (Rooftop)</v>
          </cell>
          <cell r="L580" t="str">
            <v>Solar</v>
          </cell>
          <cell r="M580" t="str">
            <v>Dx</v>
          </cell>
          <cell r="N580" t="str">
            <v>Tweed</v>
          </cell>
          <cell r="O580" t="str">
            <v>Hastings</v>
          </cell>
          <cell r="P580" t="str">
            <v>East</v>
          </cell>
        </row>
        <row r="581">
          <cell r="C581" t="str">
            <v>(C17) Real Canadian Superstore Kingston Road West</v>
          </cell>
          <cell r="D581" t="str">
            <v>Northland Power Rooftop Solar I Partnership</v>
          </cell>
          <cell r="E581" t="str">
            <v>CO</v>
          </cell>
          <cell r="F581">
            <v>41029</v>
          </cell>
          <cell r="G581">
            <v>40750</v>
          </cell>
          <cell r="H581">
            <v>48054</v>
          </cell>
          <cell r="I581" t="str">
            <v>19 years, 11 months, 29 days</v>
          </cell>
          <cell r="J581" t="str">
            <v>Renewables</v>
          </cell>
          <cell r="K581" t="str">
            <v>Solar (Rooftop)</v>
          </cell>
          <cell r="L581" t="str">
            <v>Solar</v>
          </cell>
          <cell r="M581" t="str">
            <v>Dx</v>
          </cell>
          <cell r="N581" t="str">
            <v>Ajax</v>
          </cell>
          <cell r="O581" t="str">
            <v>Durham</v>
          </cell>
          <cell r="P581" t="str">
            <v>Toronto</v>
          </cell>
        </row>
        <row r="582">
          <cell r="C582" t="str">
            <v>Russell Solar</v>
          </cell>
          <cell r="D582" t="str">
            <v>Roberge Energy South Inc.</v>
          </cell>
          <cell r="E582" t="str">
            <v>CO</v>
          </cell>
          <cell r="F582">
            <v>41813</v>
          </cell>
          <cell r="G582">
            <v>42251</v>
          </cell>
          <cell r="H582">
            <v>49117</v>
          </cell>
          <cell r="I582" t="str">
            <v>18 years, 9 months, 18 days</v>
          </cell>
          <cell r="J582" t="str">
            <v>Renewables</v>
          </cell>
          <cell r="K582" t="str">
            <v>Solar (Ground Mounted)</v>
          </cell>
          <cell r="L582" t="str">
            <v>Solar</v>
          </cell>
          <cell r="M582" t="str">
            <v>Dx</v>
          </cell>
          <cell r="N582" t="str">
            <v>Fauquier</v>
          </cell>
          <cell r="O582" t="str">
            <v>Cochrane</v>
          </cell>
          <cell r="P582" t="str">
            <v>Northeast</v>
          </cell>
        </row>
        <row r="583">
          <cell r="C583" t="str">
            <v>Crystal Park 101</v>
          </cell>
          <cell r="D583" t="str">
            <v>Hummel Properties Inc.</v>
          </cell>
          <cell r="E583" t="str">
            <v>CO</v>
          </cell>
          <cell r="F583">
            <v>41792</v>
          </cell>
          <cell r="G583">
            <v>40932</v>
          </cell>
          <cell r="H583">
            <v>48236</v>
          </cell>
          <cell r="I583" t="str">
            <v>19 years, 11 months, 30 days</v>
          </cell>
          <cell r="J583" t="str">
            <v>Renewables</v>
          </cell>
          <cell r="K583" t="str">
            <v>Solar (Rooftop)</v>
          </cell>
          <cell r="L583" t="str">
            <v>Solar</v>
          </cell>
          <cell r="M583" t="str">
            <v>Dx</v>
          </cell>
          <cell r="N583" t="str">
            <v>St. Davids</v>
          </cell>
          <cell r="O583" t="str">
            <v>Niagara</v>
          </cell>
          <cell r="P583" t="str">
            <v>Niagara</v>
          </cell>
        </row>
        <row r="584">
          <cell r="C584" t="str">
            <v>McGaw Solar Project</v>
          </cell>
          <cell r="D584" t="str">
            <v>Schwaben Energy Inc.</v>
          </cell>
          <cell r="E584" t="str">
            <v>CO</v>
          </cell>
          <cell r="F584">
            <v>41029</v>
          </cell>
          <cell r="G584">
            <v>40953</v>
          </cell>
          <cell r="H584">
            <v>48257</v>
          </cell>
          <cell r="I584" t="str">
            <v>19 years, 11 months, 30 days</v>
          </cell>
          <cell r="J584" t="str">
            <v>Renewables</v>
          </cell>
          <cell r="K584" t="str">
            <v>Solar (Rooftop)</v>
          </cell>
          <cell r="L584" t="str">
            <v>Solar</v>
          </cell>
          <cell r="M584" t="str">
            <v>Dx</v>
          </cell>
          <cell r="N584" t="str">
            <v>Goderich</v>
          </cell>
          <cell r="O584" t="str">
            <v>Huron</v>
          </cell>
          <cell r="P584" t="str">
            <v>Southwest</v>
          </cell>
        </row>
        <row r="585">
          <cell r="C585" t="str">
            <v>90 kW Solar PV Roof Mount - 4030 Baseline Road</v>
          </cell>
          <cell r="D585" t="str">
            <v>2175559 Ontario Ltd.</v>
          </cell>
          <cell r="E585" t="str">
            <v>CO</v>
          </cell>
          <cell r="F585">
            <v>41834</v>
          </cell>
          <cell r="G585">
            <v>42046</v>
          </cell>
          <cell r="H585">
            <v>49138</v>
          </cell>
          <cell r="I585" t="str">
            <v>19 years, 5 months, 2 days</v>
          </cell>
          <cell r="J585" t="str">
            <v>Renewables</v>
          </cell>
          <cell r="K585" t="str">
            <v>Solar (Rooftop)</v>
          </cell>
          <cell r="L585" t="str">
            <v>Solar</v>
          </cell>
          <cell r="M585" t="str">
            <v>Dx</v>
          </cell>
          <cell r="N585" t="str">
            <v>Windsor</v>
          </cell>
          <cell r="O585" t="str">
            <v>Essex</v>
          </cell>
          <cell r="P585" t="str">
            <v>West</v>
          </cell>
        </row>
        <row r="586">
          <cell r="C586" t="str">
            <v>(C30) Loblaw Great Food The East Mall</v>
          </cell>
          <cell r="D586" t="str">
            <v>Firelight Solar LP</v>
          </cell>
          <cell r="E586" t="str">
            <v>CO</v>
          </cell>
          <cell r="F586">
            <v>41735</v>
          </cell>
          <cell r="G586">
            <v>41513</v>
          </cell>
          <cell r="H586">
            <v>48817</v>
          </cell>
          <cell r="I586" t="str">
            <v>19 years, 11 months, 30 days</v>
          </cell>
          <cell r="J586" t="str">
            <v>Renewables</v>
          </cell>
          <cell r="K586" t="str">
            <v>Solar (Rooftop)</v>
          </cell>
          <cell r="L586" t="str">
            <v>Solar</v>
          </cell>
          <cell r="M586" t="str">
            <v>Dx</v>
          </cell>
          <cell r="N586" t="str">
            <v>Toronto</v>
          </cell>
          <cell r="O586" t="str">
            <v>Toronto</v>
          </cell>
          <cell r="P586" t="str">
            <v>Toronto</v>
          </cell>
        </row>
        <row r="587">
          <cell r="C587" t="str">
            <v>Arnprior Bay</v>
          </cell>
          <cell r="D587" t="str">
            <v>Arnprior Bay Property Limited</v>
          </cell>
          <cell r="E587" t="str">
            <v>CO</v>
          </cell>
          <cell r="F587">
            <v>40663</v>
          </cell>
          <cell r="G587">
            <v>40653</v>
          </cell>
          <cell r="H587">
            <v>47957</v>
          </cell>
          <cell r="I587" t="str">
            <v>19 years, 11 months, 30 days</v>
          </cell>
          <cell r="J587" t="str">
            <v>Renewables</v>
          </cell>
          <cell r="K587" t="str">
            <v>Solar (Rooftop)</v>
          </cell>
          <cell r="L587" t="str">
            <v>Solar</v>
          </cell>
          <cell r="M587" t="str">
            <v>Dx</v>
          </cell>
          <cell r="N587" t="str">
            <v>Arnprior</v>
          </cell>
          <cell r="O587" t="str">
            <v>Renfrew</v>
          </cell>
          <cell r="P587" t="str">
            <v>East</v>
          </cell>
        </row>
        <row r="588">
          <cell r="C588" t="str">
            <v>Westgate HS 100kW</v>
          </cell>
          <cell r="D588" t="str">
            <v>Lakehead District School Board</v>
          </cell>
          <cell r="E588" t="str">
            <v>CO</v>
          </cell>
          <cell r="F588">
            <v>41827</v>
          </cell>
          <cell r="G588">
            <v>41946</v>
          </cell>
          <cell r="H588">
            <v>49131</v>
          </cell>
          <cell r="I588" t="str">
            <v>19 years, 8 months, 3 days</v>
          </cell>
          <cell r="J588" t="str">
            <v>Renewables</v>
          </cell>
          <cell r="K588" t="str">
            <v>Solar (Rooftop)</v>
          </cell>
          <cell r="L588" t="str">
            <v>Solar</v>
          </cell>
          <cell r="M588" t="str">
            <v>Dx</v>
          </cell>
          <cell r="N588" t="str">
            <v>Thunder Bay</v>
          </cell>
          <cell r="O588" t="str">
            <v>Thunder Bay</v>
          </cell>
          <cell r="P588" t="str">
            <v>Northwest</v>
          </cell>
        </row>
        <row r="589">
          <cell r="C589" t="str">
            <v>KRG Power Inc. Hardy</v>
          </cell>
          <cell r="D589" t="str">
            <v>PSI Solar Finance 1 Limited Partnership</v>
          </cell>
          <cell r="E589" t="str">
            <v>CO</v>
          </cell>
          <cell r="F589">
            <v>41834</v>
          </cell>
          <cell r="G589">
            <v>41306</v>
          </cell>
          <cell r="H589">
            <v>48610</v>
          </cell>
          <cell r="I589" t="str">
            <v>19 years, 11 months, 30 days</v>
          </cell>
          <cell r="J589" t="str">
            <v>Renewables</v>
          </cell>
          <cell r="K589" t="str">
            <v>Solar (Rooftop)</v>
          </cell>
          <cell r="L589" t="str">
            <v>Solar</v>
          </cell>
          <cell r="M589" t="str">
            <v>Dx</v>
          </cell>
          <cell r="N589" t="str">
            <v>Brantford</v>
          </cell>
          <cell r="O589" t="str">
            <v>Brant</v>
          </cell>
          <cell r="P589" t="str">
            <v>Southwest</v>
          </cell>
        </row>
        <row r="590">
          <cell r="C590" t="str">
            <v>Anglers &amp; Hunters GPE09024604</v>
          </cell>
          <cell r="D590" t="str">
            <v>Ontario Federation of Anglers &amp; Hunters</v>
          </cell>
          <cell r="E590" t="str">
            <v>CO</v>
          </cell>
          <cell r="F590">
            <v>41825</v>
          </cell>
          <cell r="G590">
            <v>40976</v>
          </cell>
          <cell r="H590">
            <v>48280</v>
          </cell>
          <cell r="I590" t="str">
            <v>19 years, 11 months, 28 days</v>
          </cell>
          <cell r="J590" t="str">
            <v>Renewables</v>
          </cell>
          <cell r="K590" t="str">
            <v>Solar (Rooftop)</v>
          </cell>
          <cell r="L590" t="str">
            <v>Solar</v>
          </cell>
          <cell r="M590" t="str">
            <v>Dx</v>
          </cell>
          <cell r="N590" t="str">
            <v>Peterborough</v>
          </cell>
          <cell r="O590" t="str">
            <v>Peterborough</v>
          </cell>
          <cell r="P590" t="str">
            <v>East</v>
          </cell>
        </row>
        <row r="591">
          <cell r="C591" t="str">
            <v>SIR JOHN A MACDONALD COLLEGIATE INSTITUTE</v>
          </cell>
          <cell r="D591" t="str">
            <v>Toronto District School Board</v>
          </cell>
          <cell r="E591" t="str">
            <v>CO</v>
          </cell>
          <cell r="F591">
            <v>41818</v>
          </cell>
          <cell r="G591">
            <v>40962</v>
          </cell>
          <cell r="H591">
            <v>48266</v>
          </cell>
          <cell r="I591" t="str">
            <v>19 years, 11 months, 30 days</v>
          </cell>
          <cell r="J591" t="str">
            <v>Renewables</v>
          </cell>
          <cell r="K591" t="str">
            <v>Solar (Rooftop)</v>
          </cell>
          <cell r="L591" t="str">
            <v>Solar</v>
          </cell>
          <cell r="M591" t="str">
            <v>Dx</v>
          </cell>
          <cell r="N591" t="str">
            <v>Toronto</v>
          </cell>
          <cell r="O591" t="str">
            <v>Toronto</v>
          </cell>
          <cell r="P591" t="str">
            <v>Toronto</v>
          </cell>
        </row>
        <row r="592">
          <cell r="C592" t="str">
            <v>The Legacy Recreation Centre</v>
          </cell>
          <cell r="D592" t="str">
            <v>Municipality of Lambton Shores</v>
          </cell>
          <cell r="E592" t="str">
            <v>CO</v>
          </cell>
          <cell r="F592">
            <v>41841</v>
          </cell>
          <cell r="G592">
            <v>41942</v>
          </cell>
          <cell r="H592">
            <v>49246</v>
          </cell>
          <cell r="I592" t="str">
            <v>19 years, 11 months, 29 days</v>
          </cell>
          <cell r="J592" t="str">
            <v>Renewables</v>
          </cell>
          <cell r="K592" t="str">
            <v>Solar (Rooftop)</v>
          </cell>
          <cell r="L592" t="str">
            <v>Solar</v>
          </cell>
          <cell r="M592" t="str">
            <v>Dx</v>
          </cell>
          <cell r="N592" t="str">
            <v>Thedford</v>
          </cell>
          <cell r="O592" t="str">
            <v>Lambton</v>
          </cell>
          <cell r="P592" t="str">
            <v>West</v>
          </cell>
        </row>
        <row r="593">
          <cell r="C593" t="str">
            <v>Pope John Paul II 50kW</v>
          </cell>
          <cell r="D593" t="str">
            <v>Thunder Bay Catholic District School Board</v>
          </cell>
          <cell r="E593" t="str">
            <v>CO</v>
          </cell>
          <cell r="F593">
            <v>41029</v>
          </cell>
          <cell r="G593">
            <v>40833</v>
          </cell>
          <cell r="H593">
            <v>48137</v>
          </cell>
          <cell r="I593" t="str">
            <v>19 years, 11 months, 29 days</v>
          </cell>
          <cell r="J593" t="str">
            <v>Renewables</v>
          </cell>
          <cell r="K593" t="str">
            <v>Solar (Rooftop)</v>
          </cell>
          <cell r="L593" t="str">
            <v>Solar</v>
          </cell>
          <cell r="M593" t="str">
            <v>Dx</v>
          </cell>
          <cell r="N593" t="str">
            <v>Thunder Bay</v>
          </cell>
          <cell r="O593" t="str">
            <v>Thunder Bay</v>
          </cell>
          <cell r="P593" t="str">
            <v>Northwest</v>
          </cell>
        </row>
        <row r="594">
          <cell r="C594" t="str">
            <v>957474 Ontario Ltd./1099100 Ontario Ltd.</v>
          </cell>
          <cell r="D594" t="str">
            <v>Alectra Utilities Corporation</v>
          </cell>
          <cell r="E594" t="str">
            <v>CO</v>
          </cell>
          <cell r="F594">
            <v>41841</v>
          </cell>
          <cell r="G594">
            <v>41599</v>
          </cell>
          <cell r="H594">
            <v>48903</v>
          </cell>
          <cell r="I594" t="str">
            <v>19 years, 11 months, 30 days</v>
          </cell>
          <cell r="J594" t="str">
            <v>Renewables</v>
          </cell>
          <cell r="K594" t="str">
            <v>Solar (Rooftop)</v>
          </cell>
          <cell r="L594" t="str">
            <v>Solar</v>
          </cell>
          <cell r="M594" t="str">
            <v>Dx</v>
          </cell>
          <cell r="N594" t="str">
            <v>Maidstone</v>
          </cell>
          <cell r="O594" t="str">
            <v>Essex</v>
          </cell>
          <cell r="P594" t="str">
            <v>West</v>
          </cell>
        </row>
        <row r="595">
          <cell r="C595" t="str">
            <v>Solar Dance</v>
          </cell>
          <cell r="D595" t="str">
            <v>Canadian Children's Dance Theatre Inc.</v>
          </cell>
          <cell r="E595" t="str">
            <v>CO</v>
          </cell>
          <cell r="F595">
            <v>41029</v>
          </cell>
          <cell r="G595">
            <v>40788</v>
          </cell>
          <cell r="H595">
            <v>48092</v>
          </cell>
          <cell r="I595" t="str">
            <v>19 years, 11 months, 30 days</v>
          </cell>
          <cell r="J595" t="str">
            <v>Renewables</v>
          </cell>
          <cell r="K595" t="str">
            <v>Solar (Rooftop)</v>
          </cell>
          <cell r="L595" t="str">
            <v>Solar</v>
          </cell>
          <cell r="M595" t="str">
            <v>Dx</v>
          </cell>
          <cell r="N595" t="str">
            <v>Toronto</v>
          </cell>
          <cell r="O595" t="str">
            <v>Toronto</v>
          </cell>
          <cell r="P595" t="str">
            <v>Toronto</v>
          </cell>
        </row>
        <row r="596">
          <cell r="C596" t="str">
            <v>Big Beaver Falls Hydroelectric Project</v>
          </cell>
          <cell r="D596" t="str">
            <v>Amik-BBF HydroKap L.P.</v>
          </cell>
          <cell r="E596" t="str">
            <v>CO</v>
          </cell>
          <cell r="F596">
            <v>41583</v>
          </cell>
          <cell r="G596">
            <v>41324</v>
          </cell>
          <cell r="H596">
            <v>55933</v>
          </cell>
          <cell r="I596" t="str">
            <v>39 years, 11 months, 30 days</v>
          </cell>
          <cell r="J596" t="str">
            <v>Renewables</v>
          </cell>
          <cell r="K596" t="str">
            <v>Run-of-River</v>
          </cell>
          <cell r="L596" t="str">
            <v>Waterpower</v>
          </cell>
          <cell r="M596" t="str">
            <v>Dx</v>
          </cell>
          <cell r="N596" t="str">
            <v>Kapuskasing</v>
          </cell>
          <cell r="O596" t="str">
            <v>Cochrane</v>
          </cell>
          <cell r="P596" t="str">
            <v>Northeast</v>
          </cell>
        </row>
        <row r="597">
          <cell r="C597" t="str">
            <v>E02-500 Hwy #3</v>
          </cell>
          <cell r="D597" t="str">
            <v>500 Highway #3 Limited Partnership</v>
          </cell>
          <cell r="E597" t="str">
            <v>CO</v>
          </cell>
          <cell r="F597">
            <v>41818</v>
          </cell>
          <cell r="G597">
            <v>41866</v>
          </cell>
          <cell r="H597">
            <v>49170</v>
          </cell>
          <cell r="I597" t="str">
            <v>19 years, 11 months, 30 days</v>
          </cell>
          <cell r="J597" t="str">
            <v>Renewables</v>
          </cell>
          <cell r="K597" t="str">
            <v>Solar (Rooftop)</v>
          </cell>
          <cell r="L597" t="str">
            <v>Solar</v>
          </cell>
          <cell r="M597" t="str">
            <v>Dx</v>
          </cell>
          <cell r="N597" t="str">
            <v>Tillsonburg</v>
          </cell>
          <cell r="O597" t="str">
            <v>Oxford</v>
          </cell>
          <cell r="P597" t="str">
            <v>West</v>
          </cell>
        </row>
        <row r="598">
          <cell r="C598" t="str">
            <v>16 Melanie</v>
          </cell>
          <cell r="D598" t="str">
            <v>Ontario Solar PVR 3 Limited Partnership</v>
          </cell>
          <cell r="E598" t="str">
            <v>CO</v>
          </cell>
          <cell r="F598">
            <v>41806</v>
          </cell>
          <cell r="G598">
            <v>41394</v>
          </cell>
          <cell r="H598">
            <v>48698</v>
          </cell>
          <cell r="I598" t="str">
            <v>19 years, 11 months, 30 days</v>
          </cell>
          <cell r="J598" t="str">
            <v>Renewables</v>
          </cell>
          <cell r="K598" t="str">
            <v>Solar (Rooftop)</v>
          </cell>
          <cell r="L598" t="str">
            <v>Solar</v>
          </cell>
          <cell r="M598" t="str">
            <v>Dx</v>
          </cell>
          <cell r="N598" t="str">
            <v>Brampton</v>
          </cell>
          <cell r="O598" t="str">
            <v>Peel</v>
          </cell>
          <cell r="P598" t="str">
            <v>Toronto</v>
          </cell>
        </row>
        <row r="599">
          <cell r="C599" t="str">
            <v>Grand Valley Wind Farms (Phase 3)</v>
          </cell>
          <cell r="D599" t="str">
            <v>Grand Valley 2 Limited Partnership</v>
          </cell>
          <cell r="E599" t="str">
            <v>CO</v>
          </cell>
          <cell r="F599">
            <v>41825</v>
          </cell>
          <cell r="G599">
            <v>42341</v>
          </cell>
          <cell r="H599">
            <v>49645</v>
          </cell>
          <cell r="I599" t="str">
            <v>19 years, 11 months, 29 days</v>
          </cell>
          <cell r="J599" t="str">
            <v>Renewables</v>
          </cell>
          <cell r="K599" t="str">
            <v>Wind (On-Shore)</v>
          </cell>
          <cell r="L599" t="str">
            <v>Wind</v>
          </cell>
          <cell r="M599" t="str">
            <v>Tx</v>
          </cell>
          <cell r="N599" t="str">
            <v>Grand Valley</v>
          </cell>
          <cell r="O599" t="str">
            <v>Dufferin</v>
          </cell>
          <cell r="P599" t="str">
            <v>Southwest</v>
          </cell>
        </row>
        <row r="600">
          <cell r="C600" t="str">
            <v>Avonmore 5</v>
          </cell>
          <cell r="D600" t="str">
            <v>Clearly Solar Energy Inc.</v>
          </cell>
          <cell r="E600" t="str">
            <v>CO</v>
          </cell>
          <cell r="F600">
            <v>41435</v>
          </cell>
          <cell r="G600">
            <v>41442</v>
          </cell>
          <cell r="H600">
            <v>48739</v>
          </cell>
          <cell r="I600" t="str">
            <v>19 years, 11 months, 23 days</v>
          </cell>
          <cell r="J600" t="str">
            <v>Renewables</v>
          </cell>
          <cell r="K600" t="str">
            <v>Solar (Rooftop)</v>
          </cell>
          <cell r="L600" t="str">
            <v>Solar</v>
          </cell>
          <cell r="M600" t="str">
            <v>Dx</v>
          </cell>
          <cell r="N600" t="str">
            <v>Avonmore</v>
          </cell>
          <cell r="O600" t="str">
            <v>Stormont, Dundas and Glengarry</v>
          </cell>
          <cell r="P600" t="str">
            <v>East</v>
          </cell>
        </row>
        <row r="601">
          <cell r="C601" t="str">
            <v>(C65) Loblaws Highway 2</v>
          </cell>
          <cell r="D601" t="str">
            <v>Firelight Solar LP</v>
          </cell>
          <cell r="E601" t="str">
            <v>CO</v>
          </cell>
          <cell r="F601">
            <v>41715</v>
          </cell>
          <cell r="G601">
            <v>41437</v>
          </cell>
          <cell r="H601">
            <v>48741</v>
          </cell>
          <cell r="I601" t="str">
            <v>19 years, 11 months, 30 days</v>
          </cell>
          <cell r="J601" t="str">
            <v>Renewables</v>
          </cell>
          <cell r="K601" t="str">
            <v>Solar (Rooftop)</v>
          </cell>
          <cell r="L601" t="str">
            <v>Solar</v>
          </cell>
          <cell r="M601" t="str">
            <v>Dx</v>
          </cell>
          <cell r="N601" t="str">
            <v>Bowmanville</v>
          </cell>
          <cell r="O601" t="str">
            <v>Durham</v>
          </cell>
          <cell r="P601" t="str">
            <v>Toronto</v>
          </cell>
        </row>
        <row r="602">
          <cell r="C602" t="str">
            <v>St.Paul's Solar Project</v>
          </cell>
          <cell r="D602" t="str">
            <v>St.Paul's L'Amoreaux Centre</v>
          </cell>
          <cell r="E602" t="str">
            <v>CO</v>
          </cell>
          <cell r="F602">
            <v>41820</v>
          </cell>
          <cell r="G602">
            <v>41187</v>
          </cell>
          <cell r="H602">
            <v>48491</v>
          </cell>
          <cell r="I602" t="str">
            <v>19 years, 11 months, 29 days</v>
          </cell>
          <cell r="J602" t="str">
            <v>Renewables</v>
          </cell>
          <cell r="K602" t="str">
            <v>Solar (Rooftop)</v>
          </cell>
          <cell r="L602" t="str">
            <v>Solar</v>
          </cell>
          <cell r="M602" t="str">
            <v>Dx</v>
          </cell>
          <cell r="N602" t="str">
            <v>Toronto</v>
          </cell>
          <cell r="O602" t="str">
            <v>Toronto</v>
          </cell>
          <cell r="P602" t="str">
            <v>Toronto</v>
          </cell>
        </row>
        <row r="603">
          <cell r="C603" t="str">
            <v>Canadian Solar Developers Ltd. L.P.#8</v>
          </cell>
          <cell r="D603" t="str">
            <v>Mann Ground Mount Solar Ltd.</v>
          </cell>
          <cell r="E603" t="str">
            <v>CO</v>
          </cell>
          <cell r="F603">
            <v>41489</v>
          </cell>
          <cell r="G603">
            <v>41779</v>
          </cell>
          <cell r="H603">
            <v>48793</v>
          </cell>
          <cell r="I603" t="str">
            <v>19 years, 2 months, 13 days</v>
          </cell>
          <cell r="J603" t="str">
            <v>Renewables</v>
          </cell>
          <cell r="K603" t="str">
            <v>Solar (Ground Mounted)</v>
          </cell>
          <cell r="L603" t="str">
            <v>Solar</v>
          </cell>
          <cell r="M603" t="str">
            <v>Dx</v>
          </cell>
          <cell r="N603" t="str">
            <v>Barrie</v>
          </cell>
          <cell r="O603" t="str">
            <v>Simcoe</v>
          </cell>
          <cell r="P603" t="str">
            <v>Essa</v>
          </cell>
        </row>
        <row r="604">
          <cell r="C604" t="str">
            <v>Mimico Arena Solar PV</v>
          </cell>
          <cell r="D604" t="str">
            <v>Toronto Hydro-Electric System Limited</v>
          </cell>
          <cell r="E604" t="str">
            <v>CO</v>
          </cell>
          <cell r="F604">
            <v>41832</v>
          </cell>
          <cell r="G604">
            <v>41332</v>
          </cell>
          <cell r="H604">
            <v>48636</v>
          </cell>
          <cell r="I604" t="str">
            <v>19 years, 11 months, 30 days</v>
          </cell>
          <cell r="J604" t="str">
            <v>Renewables</v>
          </cell>
          <cell r="K604" t="str">
            <v>Solar (Rooftop)</v>
          </cell>
          <cell r="L604" t="str">
            <v>Solar</v>
          </cell>
          <cell r="M604" t="str">
            <v>Dx</v>
          </cell>
          <cell r="N604" t="str">
            <v>Toronto</v>
          </cell>
          <cell r="O604" t="str">
            <v>Toronto</v>
          </cell>
          <cell r="P604" t="str">
            <v>Toronto</v>
          </cell>
        </row>
        <row r="605">
          <cell r="C605" t="str">
            <v>McLean's Mountain WInd Farm 1</v>
          </cell>
          <cell r="D605" t="str">
            <v>McLean's Mountain Wind Limited Partnership</v>
          </cell>
          <cell r="E605" t="str">
            <v>CO</v>
          </cell>
          <cell r="F605">
            <v>41652</v>
          </cell>
          <cell r="G605">
            <v>41760</v>
          </cell>
          <cell r="H605">
            <v>49064</v>
          </cell>
          <cell r="I605" t="str">
            <v>19 years, 11 months, 29 days</v>
          </cell>
          <cell r="J605" t="str">
            <v>Renewables</v>
          </cell>
          <cell r="K605" t="str">
            <v>Wind (On-Shore)</v>
          </cell>
          <cell r="L605" t="str">
            <v>Wind</v>
          </cell>
          <cell r="M605" t="str">
            <v>Tx</v>
          </cell>
          <cell r="N605" t="str">
            <v>Little Current</v>
          </cell>
          <cell r="O605" t="str">
            <v>Manitoulin</v>
          </cell>
          <cell r="P605" t="str">
            <v>Northeast</v>
          </cell>
        </row>
        <row r="606">
          <cell r="C606" t="str">
            <v>4350 Industrial Drive</v>
          </cell>
          <cell r="D606" t="str">
            <v>PSI Solar Finance 1 Limited Partnership</v>
          </cell>
          <cell r="E606" t="str">
            <v>CO</v>
          </cell>
          <cell r="F606">
            <v>41454</v>
          </cell>
          <cell r="G606">
            <v>41425</v>
          </cell>
          <cell r="H606">
            <v>48729</v>
          </cell>
          <cell r="I606" t="str">
            <v>19 years, 11 months, 29 days</v>
          </cell>
          <cell r="J606" t="str">
            <v>Renewables</v>
          </cell>
          <cell r="K606" t="str">
            <v>Solar (Rooftop)</v>
          </cell>
          <cell r="L606" t="str">
            <v>Solar</v>
          </cell>
          <cell r="M606" t="str">
            <v>Dx</v>
          </cell>
          <cell r="N606" t="str">
            <v>Windsor</v>
          </cell>
          <cell r="O606" t="str">
            <v>Essex</v>
          </cell>
          <cell r="P606" t="str">
            <v>West</v>
          </cell>
        </row>
        <row r="607">
          <cell r="C607" t="str">
            <v>Menkes-Steelcase</v>
          </cell>
          <cell r="D607" t="str">
            <v>Castleberry Investments Limited</v>
          </cell>
          <cell r="E607" t="str">
            <v>CO</v>
          </cell>
          <cell r="F607">
            <v>41790</v>
          </cell>
          <cell r="G607">
            <v>41486</v>
          </cell>
          <cell r="H607">
            <v>48790</v>
          </cell>
          <cell r="I607" t="str">
            <v>19 years, 11 months, 29 days</v>
          </cell>
          <cell r="J607" t="str">
            <v>Renewables</v>
          </cell>
          <cell r="K607" t="str">
            <v>Solar (Rooftop)</v>
          </cell>
          <cell r="L607" t="str">
            <v>Solar</v>
          </cell>
          <cell r="M607" t="str">
            <v>Dx</v>
          </cell>
          <cell r="N607" t="str">
            <v>Markham</v>
          </cell>
          <cell r="O607" t="str">
            <v>York</v>
          </cell>
          <cell r="P607" t="str">
            <v>Toronto</v>
          </cell>
        </row>
        <row r="608">
          <cell r="C608" t="str">
            <v>Zaremba Farms, Solar</v>
          </cell>
          <cell r="D608" t="str">
            <v>Chris and Tanya Zaremba</v>
          </cell>
          <cell r="E608" t="str">
            <v>CO</v>
          </cell>
          <cell r="F608">
            <v>41818</v>
          </cell>
          <cell r="G608">
            <v>41877</v>
          </cell>
          <cell r="H608">
            <v>49181</v>
          </cell>
          <cell r="I608" t="str">
            <v>19 years, 11 months, 30 days</v>
          </cell>
          <cell r="J608" t="str">
            <v>Renewables</v>
          </cell>
          <cell r="K608" t="str">
            <v>Solar (Rooftop)</v>
          </cell>
          <cell r="L608" t="str">
            <v>Solar</v>
          </cell>
          <cell r="M608" t="str">
            <v>Dx</v>
          </cell>
          <cell r="N608" t="str">
            <v>Batttesea</v>
          </cell>
          <cell r="O608" t="str">
            <v>Frontenac</v>
          </cell>
          <cell r="P608" t="str">
            <v>East</v>
          </cell>
        </row>
        <row r="609">
          <cell r="C609" t="str">
            <v>34 Hansen Road South</v>
          </cell>
          <cell r="D609" t="str">
            <v>Sunny Day Energy Inc.</v>
          </cell>
          <cell r="E609" t="str">
            <v>CO</v>
          </cell>
          <cell r="F609">
            <v>41834</v>
          </cell>
          <cell r="G609">
            <v>41466</v>
          </cell>
          <cell r="H609">
            <v>48770</v>
          </cell>
          <cell r="I609" t="str">
            <v>19 years, 11 months, 29 days</v>
          </cell>
          <cell r="J609" t="str">
            <v>Renewables</v>
          </cell>
          <cell r="K609" t="str">
            <v>Solar (Rooftop)</v>
          </cell>
          <cell r="L609" t="str">
            <v>Solar</v>
          </cell>
          <cell r="M609" t="str">
            <v>Dx</v>
          </cell>
          <cell r="N609" t="str">
            <v>Brampton</v>
          </cell>
          <cell r="O609" t="str">
            <v>Peel</v>
          </cell>
          <cell r="P609" t="str">
            <v>Toronto</v>
          </cell>
        </row>
        <row r="610">
          <cell r="C610" t="str">
            <v>T04-875 Don Mills</v>
          </cell>
          <cell r="D610" t="str">
            <v>Alectra Utilities Corporation</v>
          </cell>
          <cell r="E610" t="str">
            <v>CO</v>
          </cell>
          <cell r="F610">
            <v>41717</v>
          </cell>
          <cell r="G610">
            <v>41817</v>
          </cell>
          <cell r="H610">
            <v>49121</v>
          </cell>
          <cell r="I610" t="str">
            <v>19 years, 11 months, 30 days</v>
          </cell>
          <cell r="J610" t="str">
            <v>Renewables</v>
          </cell>
          <cell r="K610" t="str">
            <v>Solar (Rooftop)</v>
          </cell>
          <cell r="L610" t="str">
            <v>Solar</v>
          </cell>
          <cell r="M610" t="str">
            <v>Dx</v>
          </cell>
          <cell r="N610" t="str">
            <v>Toronto</v>
          </cell>
          <cell r="O610" t="str">
            <v>Toronto</v>
          </cell>
          <cell r="P610" t="str">
            <v>Toronto</v>
          </cell>
        </row>
        <row r="611">
          <cell r="C611" t="str">
            <v>100 Galcat Drive</v>
          </cell>
          <cell r="D611" t="str">
            <v>Galcat Investments Inc.</v>
          </cell>
          <cell r="E611" t="str">
            <v>CO</v>
          </cell>
          <cell r="F611">
            <v>41841</v>
          </cell>
          <cell r="G611">
            <v>41004</v>
          </cell>
          <cell r="H611">
            <v>48308</v>
          </cell>
          <cell r="I611" t="str">
            <v>19 years, 11 months, 30 days</v>
          </cell>
          <cell r="J611" t="str">
            <v>Renewables</v>
          </cell>
          <cell r="K611" t="str">
            <v>Solar (Rooftop)</v>
          </cell>
          <cell r="L611" t="str">
            <v>Solar</v>
          </cell>
          <cell r="M611" t="str">
            <v>Dx</v>
          </cell>
          <cell r="N611" t="str">
            <v>Woodbridge</v>
          </cell>
          <cell r="O611" t="str">
            <v>York</v>
          </cell>
          <cell r="P611" t="str">
            <v>Toronto</v>
          </cell>
        </row>
        <row r="612">
          <cell r="C612" t="str">
            <v>Terryland Solar</v>
          </cell>
          <cell r="D612" t="str">
            <v>Amgreg Bio Inc.</v>
          </cell>
          <cell r="E612" t="str">
            <v>CO</v>
          </cell>
          <cell r="F612">
            <v>41029</v>
          </cell>
          <cell r="G612">
            <v>40812</v>
          </cell>
          <cell r="H612">
            <v>48116</v>
          </cell>
          <cell r="I612" t="str">
            <v>19 years, 11 months, 30 days</v>
          </cell>
          <cell r="J612" t="str">
            <v>Renewables</v>
          </cell>
          <cell r="K612" t="str">
            <v>Solar (Rooftop)</v>
          </cell>
          <cell r="L612" t="str">
            <v>Solar</v>
          </cell>
          <cell r="M612" t="str">
            <v>Dx</v>
          </cell>
          <cell r="N612" t="str">
            <v>St. Eugene</v>
          </cell>
          <cell r="O612" t="str">
            <v>Prescott and Russell</v>
          </cell>
          <cell r="P612" t="str">
            <v>Ottawa</v>
          </cell>
        </row>
        <row r="613">
          <cell r="C613" t="str">
            <v>G04-125 McGovern</v>
          </cell>
          <cell r="D613" t="str">
            <v>PSI Solar Finance 1 Limited Partnership</v>
          </cell>
          <cell r="E613" t="str">
            <v>CO</v>
          </cell>
          <cell r="F613">
            <v>41854</v>
          </cell>
          <cell r="G613">
            <v>41631</v>
          </cell>
          <cell r="H613">
            <v>48935</v>
          </cell>
          <cell r="I613" t="str">
            <v>19 years, 11 months, 29 days</v>
          </cell>
          <cell r="J613" t="str">
            <v>Renewables</v>
          </cell>
          <cell r="K613" t="str">
            <v>Solar (Rooftop)</v>
          </cell>
          <cell r="L613" t="str">
            <v>Solar</v>
          </cell>
          <cell r="M613" t="str">
            <v>Dx</v>
          </cell>
          <cell r="N613" t="str">
            <v>Cambridge</v>
          </cell>
          <cell r="O613" t="str">
            <v>Waterloo</v>
          </cell>
          <cell r="P613" t="str">
            <v>Southwest</v>
          </cell>
        </row>
        <row r="614">
          <cell r="C614" t="str">
            <v>UDI Port Ryerse Wind Farm</v>
          </cell>
          <cell r="D614" t="str">
            <v>Port Ryerse Wind Farm Limited Partnership</v>
          </cell>
          <cell r="E614" t="str">
            <v>CO</v>
          </cell>
          <cell r="F614">
            <v>41805</v>
          </cell>
          <cell r="G614">
            <v>42713</v>
          </cell>
          <cell r="H614">
            <v>50017</v>
          </cell>
          <cell r="I614" t="str">
            <v>19 years, 11 months, 29 days</v>
          </cell>
          <cell r="J614" t="str">
            <v>Renewables</v>
          </cell>
          <cell r="K614" t="str">
            <v>Wind (On-Shore)</v>
          </cell>
          <cell r="L614" t="str">
            <v>Wind</v>
          </cell>
          <cell r="M614" t="str">
            <v>Dx</v>
          </cell>
          <cell r="N614" t="str">
            <v>Simcoe</v>
          </cell>
          <cell r="O614" t="str">
            <v>Norfolk</v>
          </cell>
          <cell r="P614" t="str">
            <v>Southwest</v>
          </cell>
        </row>
        <row r="615">
          <cell r="C615" t="str">
            <v>LunarLight</v>
          </cell>
          <cell r="D615" t="str">
            <v>LunarLight LP</v>
          </cell>
          <cell r="E615" t="str">
            <v>CO</v>
          </cell>
          <cell r="F615">
            <v>41695</v>
          </cell>
          <cell r="G615">
            <v>42131</v>
          </cell>
          <cell r="H615">
            <v>49435</v>
          </cell>
          <cell r="I615" t="str">
            <v>19 years, 11 months, 29 days</v>
          </cell>
          <cell r="J615" t="str">
            <v>Renewables</v>
          </cell>
          <cell r="K615" t="str">
            <v>Solar (Ground Mounted)</v>
          </cell>
          <cell r="L615" t="str">
            <v>Solar</v>
          </cell>
          <cell r="M615" t="str">
            <v>Dx</v>
          </cell>
          <cell r="N615" t="str">
            <v>Stirling</v>
          </cell>
          <cell r="O615" t="str">
            <v>Hastings</v>
          </cell>
          <cell r="P615" t="str">
            <v>East</v>
          </cell>
        </row>
        <row r="616">
          <cell r="C616" t="str">
            <v>G04-3430 South Service</v>
          </cell>
          <cell r="D616" t="str">
            <v>PSI Solar Finance 1 Limited Partnership</v>
          </cell>
          <cell r="E616" t="str">
            <v>CO</v>
          </cell>
          <cell r="F616">
            <v>41910</v>
          </cell>
          <cell r="G616">
            <v>41628</v>
          </cell>
          <cell r="H616">
            <v>48932</v>
          </cell>
          <cell r="I616" t="str">
            <v>19 years, 11 months, 29 days</v>
          </cell>
          <cell r="J616" t="str">
            <v>Renewables</v>
          </cell>
          <cell r="K616" t="str">
            <v>Solar (Rooftop)</v>
          </cell>
          <cell r="L616" t="str">
            <v>Solar</v>
          </cell>
          <cell r="M616" t="str">
            <v>Dx</v>
          </cell>
          <cell r="N616" t="str">
            <v>Burlington</v>
          </cell>
          <cell r="O616" t="str">
            <v>Halton</v>
          </cell>
          <cell r="P616" t="str">
            <v>Southwest</v>
          </cell>
        </row>
        <row r="617">
          <cell r="C617" t="str">
            <v>Rooftop PV Panel Project ENSS</v>
          </cell>
          <cell r="D617" t="str">
            <v>Kawartha Pine Ridge District School Board</v>
          </cell>
          <cell r="E617" t="str">
            <v>CO</v>
          </cell>
          <cell r="F617">
            <v>41813</v>
          </cell>
          <cell r="G617">
            <v>41375</v>
          </cell>
          <cell r="H617">
            <v>48679</v>
          </cell>
          <cell r="I617" t="str">
            <v>19 years, 11 months, 30 days</v>
          </cell>
          <cell r="J617" t="str">
            <v>Renewables</v>
          </cell>
          <cell r="K617" t="str">
            <v>Solar (Rooftop)</v>
          </cell>
          <cell r="L617" t="str">
            <v>Solar</v>
          </cell>
          <cell r="M617" t="str">
            <v>Dx</v>
          </cell>
          <cell r="N617" t="str">
            <v>Brighton</v>
          </cell>
          <cell r="O617" t="str">
            <v>Northumberland</v>
          </cell>
          <cell r="P617" t="str">
            <v>East</v>
          </cell>
        </row>
        <row r="618">
          <cell r="C618" t="str">
            <v>1 Wiltshire Avenue</v>
          </cell>
          <cell r="D618" t="str">
            <v>Sunny Day Energy Inc.</v>
          </cell>
          <cell r="E618" t="str">
            <v>CO</v>
          </cell>
          <cell r="F618">
            <v>41834</v>
          </cell>
          <cell r="G618">
            <v>41852</v>
          </cell>
          <cell r="H618">
            <v>49156</v>
          </cell>
          <cell r="I618" t="str">
            <v>19 years, 11 months, 30 days</v>
          </cell>
          <cell r="J618" t="str">
            <v>Renewables</v>
          </cell>
          <cell r="K618" t="str">
            <v>Solar (Rooftop)</v>
          </cell>
          <cell r="L618" t="str">
            <v>Solar</v>
          </cell>
          <cell r="M618" t="str">
            <v>Dx</v>
          </cell>
          <cell r="N618" t="str">
            <v>Toronto</v>
          </cell>
          <cell r="O618" t="str">
            <v>Toronto</v>
          </cell>
          <cell r="P618" t="str">
            <v>Toronto</v>
          </cell>
        </row>
        <row r="619">
          <cell r="C619" t="str">
            <v>P08-1702 Tricont</v>
          </cell>
          <cell r="D619" t="str">
            <v>2320349 Ontario Ltd.</v>
          </cell>
          <cell r="E619" t="str">
            <v>CO</v>
          </cell>
          <cell r="F619">
            <v>41849</v>
          </cell>
          <cell r="G619">
            <v>42010</v>
          </cell>
          <cell r="H619">
            <v>49314</v>
          </cell>
          <cell r="I619" t="str">
            <v>19 years, 11 months, 30 days</v>
          </cell>
          <cell r="J619" t="str">
            <v>Renewables</v>
          </cell>
          <cell r="K619" t="str">
            <v>Solar (Rooftop)</v>
          </cell>
          <cell r="L619" t="str">
            <v>Solar</v>
          </cell>
          <cell r="M619" t="str">
            <v>Dx</v>
          </cell>
          <cell r="N619" t="str">
            <v>Whitby</v>
          </cell>
          <cell r="O619" t="str">
            <v>Durham</v>
          </cell>
          <cell r="P619" t="str">
            <v>Toronto</v>
          </cell>
        </row>
        <row r="620">
          <cell r="C620" t="str">
            <v>H06-120 CLARINGTON</v>
          </cell>
          <cell r="D620" t="str">
            <v>PSI Solar Finance 1 Limited Partnership</v>
          </cell>
          <cell r="E620" t="str">
            <v>CO</v>
          </cell>
          <cell r="F620">
            <v>41805</v>
          </cell>
          <cell r="G620">
            <v>41901</v>
          </cell>
          <cell r="H620">
            <v>49205</v>
          </cell>
          <cell r="I620" t="str">
            <v>19 years, 11 months, 30 days</v>
          </cell>
          <cell r="J620" t="str">
            <v>Renewables</v>
          </cell>
          <cell r="K620" t="str">
            <v>Solar (Rooftop)</v>
          </cell>
          <cell r="L620" t="str">
            <v>Solar</v>
          </cell>
          <cell r="M620" t="str">
            <v>Dx</v>
          </cell>
          <cell r="N620" t="str">
            <v>Bowmanville</v>
          </cell>
          <cell r="O620" t="str">
            <v>Durham</v>
          </cell>
          <cell r="P620" t="str">
            <v>Toronto</v>
          </cell>
        </row>
        <row r="621">
          <cell r="C621" t="str">
            <v>Planet Storage c/o Viceroy Self Storage Inc.</v>
          </cell>
          <cell r="D621" t="str">
            <v>Dupont Junction Holdings Inc.</v>
          </cell>
          <cell r="E621" t="str">
            <v>CO</v>
          </cell>
          <cell r="F621">
            <v>40663</v>
          </cell>
          <cell r="G621">
            <v>40682</v>
          </cell>
          <cell r="H621">
            <v>47967</v>
          </cell>
          <cell r="I621" t="str">
            <v>19 years, 11 months, 10 days</v>
          </cell>
          <cell r="J621" t="str">
            <v>Renewables</v>
          </cell>
          <cell r="K621" t="str">
            <v>Solar (Rooftop)</v>
          </cell>
          <cell r="L621" t="str">
            <v>Solar</v>
          </cell>
          <cell r="M621" t="str">
            <v>Dx</v>
          </cell>
          <cell r="N621" t="str">
            <v>Toronto</v>
          </cell>
          <cell r="O621" t="str">
            <v>Toronto</v>
          </cell>
          <cell r="P621" t="str">
            <v>Toronto</v>
          </cell>
        </row>
        <row r="622">
          <cell r="C622" t="str">
            <v>Rose Valley Solar Project</v>
          </cell>
          <cell r="D622" t="str">
            <v>380 Maclennan Solar Inc.</v>
          </cell>
          <cell r="E622" t="str">
            <v>CO</v>
          </cell>
          <cell r="F622">
            <v>41498</v>
          </cell>
          <cell r="G622">
            <v>41981</v>
          </cell>
          <cell r="H622">
            <v>49285</v>
          </cell>
          <cell r="I622" t="str">
            <v>19 years, 11 months, 29 days</v>
          </cell>
          <cell r="J622" t="str">
            <v>Renewables</v>
          </cell>
          <cell r="K622" t="str">
            <v>Solar (Ground Mounted)</v>
          </cell>
          <cell r="L622" t="str">
            <v>Solar</v>
          </cell>
          <cell r="M622" t="str">
            <v>Dx</v>
          </cell>
          <cell r="N622" t="str">
            <v>Desbarats</v>
          </cell>
          <cell r="O622" t="str">
            <v>Algoma</v>
          </cell>
          <cell r="P622" t="str">
            <v>Northeast</v>
          </cell>
        </row>
        <row r="623">
          <cell r="C623" t="str">
            <v>TUITE CONSTRUCTION</v>
          </cell>
          <cell r="D623" t="str">
            <v>1219663 Ontario Inc</v>
          </cell>
          <cell r="E623" t="str">
            <v>CO</v>
          </cell>
          <cell r="F623">
            <v>41818</v>
          </cell>
          <cell r="G623">
            <v>41558</v>
          </cell>
          <cell r="H623">
            <v>48862</v>
          </cell>
          <cell r="I623" t="str">
            <v>19 years, 11 months, 29 days</v>
          </cell>
          <cell r="J623" t="str">
            <v>Renewables</v>
          </cell>
          <cell r="K623" t="str">
            <v>Solar (Rooftop)</v>
          </cell>
          <cell r="L623" t="str">
            <v>Solar</v>
          </cell>
          <cell r="M623" t="str">
            <v>Dx</v>
          </cell>
          <cell r="N623" t="str">
            <v>Hamilton</v>
          </cell>
          <cell r="O623" t="str">
            <v>Hamilton</v>
          </cell>
          <cell r="P623" t="str">
            <v>Southwest</v>
          </cell>
        </row>
        <row r="624">
          <cell r="C624" t="str">
            <v>Eston Mfg</v>
          </cell>
          <cell r="D624" t="str">
            <v>Linamar Corporation</v>
          </cell>
          <cell r="E624" t="str">
            <v>CO</v>
          </cell>
          <cell r="F624">
            <v>41029</v>
          </cell>
          <cell r="G624">
            <v>41029</v>
          </cell>
          <cell r="H624">
            <v>48333</v>
          </cell>
          <cell r="I624" t="str">
            <v>19 years, 11 months, 30 days</v>
          </cell>
          <cell r="J624" t="str">
            <v>Renewables</v>
          </cell>
          <cell r="K624" t="str">
            <v>Solar (Rooftop)</v>
          </cell>
          <cell r="L624" t="str">
            <v>Solar</v>
          </cell>
          <cell r="M624" t="str">
            <v>Dx</v>
          </cell>
          <cell r="N624" t="str">
            <v>Guelph</v>
          </cell>
          <cell r="O624" t="str">
            <v>Wellington</v>
          </cell>
          <cell r="P624" t="str">
            <v>Southwest</v>
          </cell>
        </row>
        <row r="625">
          <cell r="C625" t="str">
            <v>1055 Old Highway # 2</v>
          </cell>
          <cell r="D625" t="str">
            <v>2422637 Ontario Limited</v>
          </cell>
          <cell r="E625" t="str">
            <v>CO</v>
          </cell>
          <cell r="F625">
            <v>41790</v>
          </cell>
          <cell r="G625">
            <v>41949</v>
          </cell>
          <cell r="H625">
            <v>49094</v>
          </cell>
          <cell r="I625" t="str">
            <v>19 years, 6 months, 24 days</v>
          </cell>
          <cell r="J625" t="str">
            <v>Renewables</v>
          </cell>
          <cell r="K625" t="str">
            <v>Solar (Rooftop)</v>
          </cell>
          <cell r="L625" t="str">
            <v>Solar</v>
          </cell>
          <cell r="M625" t="str">
            <v>Dx</v>
          </cell>
          <cell r="N625" t="str">
            <v>Belleville</v>
          </cell>
          <cell r="O625" t="str">
            <v>Hastings</v>
          </cell>
          <cell r="P625" t="str">
            <v>East</v>
          </cell>
        </row>
        <row r="626">
          <cell r="C626" t="str">
            <v>#236 4150 Walker Rd, Windsor</v>
          </cell>
          <cell r="D626" t="str">
            <v>PSI Solar Finance 1 Limited Partnership</v>
          </cell>
          <cell r="E626" t="str">
            <v>CO</v>
          </cell>
          <cell r="F626">
            <v>41897</v>
          </cell>
          <cell r="G626">
            <v>41471</v>
          </cell>
          <cell r="H626">
            <v>48775</v>
          </cell>
          <cell r="I626" t="str">
            <v>19 years, 11 months, 29 days</v>
          </cell>
          <cell r="J626" t="str">
            <v>Renewables</v>
          </cell>
          <cell r="K626" t="str">
            <v>Solar (Rooftop)</v>
          </cell>
          <cell r="L626" t="str">
            <v>Solar</v>
          </cell>
          <cell r="M626" t="str">
            <v>Dx</v>
          </cell>
          <cell r="N626" t="str">
            <v>Windsor</v>
          </cell>
          <cell r="O626" t="str">
            <v>Essex</v>
          </cell>
          <cell r="P626" t="str">
            <v>West</v>
          </cell>
        </row>
        <row r="627">
          <cell r="C627" t="str">
            <v>P05-5905 Kennedy</v>
          </cell>
          <cell r="D627" t="str">
            <v>Sky Solar (Canada) FIT 1 Limited Partnership</v>
          </cell>
          <cell r="E627" t="str">
            <v>CO</v>
          </cell>
          <cell r="F627">
            <v>41849</v>
          </cell>
          <cell r="G627">
            <v>41899</v>
          </cell>
          <cell r="H627">
            <v>49203</v>
          </cell>
          <cell r="I627" t="str">
            <v>19 years, 11 months, 30 days</v>
          </cell>
          <cell r="J627" t="str">
            <v>Renewables</v>
          </cell>
          <cell r="K627" t="str">
            <v>Solar (Rooftop)</v>
          </cell>
          <cell r="L627" t="str">
            <v>Solar</v>
          </cell>
          <cell r="M627" t="str">
            <v>Dx</v>
          </cell>
          <cell r="N627" t="str">
            <v>Mississauga</v>
          </cell>
          <cell r="O627" t="str">
            <v>Peel</v>
          </cell>
          <cell r="P627" t="str">
            <v>Toronto</v>
          </cell>
        </row>
        <row r="628">
          <cell r="C628" t="str">
            <v>Royal Timbers Inc</v>
          </cell>
          <cell r="D628" t="str">
            <v>Alectra Utilities Corporation</v>
          </cell>
          <cell r="E628" t="str">
            <v>CO</v>
          </cell>
          <cell r="F628">
            <v>41825</v>
          </cell>
          <cell r="G628">
            <v>41954</v>
          </cell>
          <cell r="H628">
            <v>49258</v>
          </cell>
          <cell r="I628" t="str">
            <v>19 years, 11 months, 30 days</v>
          </cell>
          <cell r="J628" t="str">
            <v>Renewables</v>
          </cell>
          <cell r="K628" t="str">
            <v>Solar (Rooftop)</v>
          </cell>
          <cell r="L628" t="str">
            <v>Solar</v>
          </cell>
          <cell r="M628" t="str">
            <v>Dx</v>
          </cell>
          <cell r="N628" t="str">
            <v>Oldcastle</v>
          </cell>
          <cell r="O628" t="str">
            <v>Essex</v>
          </cell>
          <cell r="P628" t="str">
            <v>West</v>
          </cell>
        </row>
        <row r="629">
          <cell r="C629" t="str">
            <v>500 Commissioners Solar PV System</v>
          </cell>
          <cell r="D629" t="str">
            <v>Toronto Hydro-Electric System Limited</v>
          </cell>
          <cell r="E629" t="str">
            <v>CO</v>
          </cell>
          <cell r="F629">
            <v>41029</v>
          </cell>
          <cell r="G629">
            <v>40884</v>
          </cell>
          <cell r="H629">
            <v>48188</v>
          </cell>
          <cell r="I629" t="str">
            <v>19 years, 11 months, 29 days</v>
          </cell>
          <cell r="J629" t="str">
            <v>Renewables</v>
          </cell>
          <cell r="K629" t="str">
            <v>Solar (Rooftop)</v>
          </cell>
          <cell r="L629" t="str">
            <v>Solar</v>
          </cell>
          <cell r="M629" t="str">
            <v>Dx</v>
          </cell>
          <cell r="N629" t="str">
            <v>Toronto</v>
          </cell>
          <cell r="O629" t="str">
            <v>Toronto</v>
          </cell>
          <cell r="P629" t="str">
            <v>Toronto</v>
          </cell>
        </row>
        <row r="630">
          <cell r="C630" t="str">
            <v>N02-60 East Beaver Creek</v>
          </cell>
          <cell r="D630" t="str">
            <v>Dream Industrial (GP) Inc.</v>
          </cell>
          <cell r="E630" t="str">
            <v>CO</v>
          </cell>
          <cell r="F630">
            <v>41344</v>
          </cell>
          <cell r="G630">
            <v>41338</v>
          </cell>
          <cell r="H630">
            <v>48642</v>
          </cell>
          <cell r="I630" t="str">
            <v>19 years, 11 months, 27 days</v>
          </cell>
          <cell r="J630" t="str">
            <v>Renewables</v>
          </cell>
          <cell r="K630" t="str">
            <v>Solar (Rooftop)</v>
          </cell>
          <cell r="L630" t="str">
            <v>Solar</v>
          </cell>
          <cell r="M630" t="str">
            <v>Dx</v>
          </cell>
          <cell r="N630" t="str">
            <v>Richmond Hill</v>
          </cell>
          <cell r="O630" t="str">
            <v>York</v>
          </cell>
          <cell r="P630" t="str">
            <v>Toronto</v>
          </cell>
        </row>
        <row r="631">
          <cell r="C631" t="str">
            <v>Tremblay Rd</v>
          </cell>
          <cell r="D631" t="str">
            <v>Ottawa Renewable Energy Co-operative Inc.</v>
          </cell>
          <cell r="E631" t="str">
            <v>CO</v>
          </cell>
          <cell r="F631">
            <v>41715</v>
          </cell>
          <cell r="G631">
            <v>41836</v>
          </cell>
          <cell r="H631">
            <v>49140</v>
          </cell>
          <cell r="I631" t="str">
            <v>19 years, 11 months, 29 days</v>
          </cell>
          <cell r="J631" t="str">
            <v>Renewables</v>
          </cell>
          <cell r="K631" t="str">
            <v>Solar (Rooftop)</v>
          </cell>
          <cell r="L631" t="str">
            <v>Solar</v>
          </cell>
          <cell r="M631" t="str">
            <v>Dx</v>
          </cell>
          <cell r="N631" t="str">
            <v>Ottawa</v>
          </cell>
          <cell r="O631" t="str">
            <v>Ottawa</v>
          </cell>
          <cell r="P631" t="str">
            <v>Ottawa</v>
          </cell>
        </row>
        <row r="632">
          <cell r="C632" t="str">
            <v>PowerStream 2010-051</v>
          </cell>
          <cell r="D632" t="str">
            <v>Alectra Utilities Corporation</v>
          </cell>
          <cell r="E632" t="str">
            <v>CO</v>
          </cell>
          <cell r="F632">
            <v>41029</v>
          </cell>
          <cell r="G632">
            <v>40800</v>
          </cell>
          <cell r="H632">
            <v>48104</v>
          </cell>
          <cell r="I632" t="str">
            <v>19 years, 11 months, 30 days</v>
          </cell>
          <cell r="J632" t="str">
            <v>Renewables</v>
          </cell>
          <cell r="K632" t="str">
            <v>Solar (Rooftop)</v>
          </cell>
          <cell r="L632" t="str">
            <v>Solar</v>
          </cell>
          <cell r="M632" t="str">
            <v>Dx</v>
          </cell>
          <cell r="N632" t="str">
            <v>Barrie</v>
          </cell>
          <cell r="O632" t="str">
            <v>Simcoe</v>
          </cell>
          <cell r="P632" t="str">
            <v>Essa</v>
          </cell>
        </row>
        <row r="633">
          <cell r="C633" t="str">
            <v>Randy Dykstra 225 kW Roof Mounted PV</v>
          </cell>
          <cell r="D633" t="str">
            <v>HAR TRI FARMS INC.</v>
          </cell>
          <cell r="E633" t="str">
            <v>CO</v>
          </cell>
          <cell r="F633">
            <v>41029</v>
          </cell>
          <cell r="G633">
            <v>40983</v>
          </cell>
          <cell r="H633">
            <v>48287</v>
          </cell>
          <cell r="I633" t="str">
            <v>19 years, 11 months, 28 days</v>
          </cell>
          <cell r="J633" t="str">
            <v>Renewables</v>
          </cell>
          <cell r="K633" t="str">
            <v>Solar (Rooftop)</v>
          </cell>
          <cell r="L633" t="str">
            <v>Solar</v>
          </cell>
          <cell r="M633" t="str">
            <v>Dx</v>
          </cell>
          <cell r="N633" t="str">
            <v>Belmont</v>
          </cell>
          <cell r="O633" t="str">
            <v>Elgin</v>
          </cell>
          <cell r="P633" t="str">
            <v>West</v>
          </cell>
        </row>
        <row r="634">
          <cell r="C634" t="str">
            <v>Napanee TS Taylor Kidd</v>
          </cell>
          <cell r="D634" t="str">
            <v>SunE Taylor Kidd LP</v>
          </cell>
          <cell r="E634" t="str">
            <v>CO</v>
          </cell>
          <cell r="F634">
            <v>41387</v>
          </cell>
          <cell r="G634">
            <v>41850</v>
          </cell>
          <cell r="H634">
            <v>49154</v>
          </cell>
          <cell r="I634" t="str">
            <v>19 years, 11 months, 29 days</v>
          </cell>
          <cell r="J634" t="str">
            <v>Renewables</v>
          </cell>
          <cell r="K634" t="str">
            <v>Solar (Ground Mounted)</v>
          </cell>
          <cell r="L634" t="str">
            <v>Solar</v>
          </cell>
          <cell r="M634" t="str">
            <v>Dx</v>
          </cell>
          <cell r="N634" t="str">
            <v>Kingston</v>
          </cell>
          <cell r="O634" t="str">
            <v>Frontenac</v>
          </cell>
          <cell r="P634" t="str">
            <v>East</v>
          </cell>
        </row>
        <row r="635">
          <cell r="C635" t="str">
            <v>H06-60 GREAT LAKES</v>
          </cell>
          <cell r="D635" t="str">
            <v>MOM Solar Limited Partnership</v>
          </cell>
          <cell r="E635" t="str">
            <v>CO</v>
          </cell>
          <cell r="F635">
            <v>41029</v>
          </cell>
          <cell r="G635">
            <v>41199</v>
          </cell>
          <cell r="H635">
            <v>48503</v>
          </cell>
          <cell r="I635" t="str">
            <v>19 years, 11 months, 29 days</v>
          </cell>
          <cell r="J635" t="str">
            <v>Renewables</v>
          </cell>
          <cell r="K635" t="str">
            <v>Solar (Rooftop)</v>
          </cell>
          <cell r="L635" t="str">
            <v>Solar</v>
          </cell>
          <cell r="M635" t="str">
            <v>Dx</v>
          </cell>
          <cell r="N635" t="str">
            <v>Brampton</v>
          </cell>
          <cell r="O635" t="str">
            <v>Peel</v>
          </cell>
          <cell r="P635" t="str">
            <v>Toronto</v>
          </cell>
        </row>
        <row r="636">
          <cell r="C636" t="str">
            <v>103-211 Silver Star</v>
          </cell>
          <cell r="D636" t="str">
            <v>PFM2 Properties Inc.</v>
          </cell>
          <cell r="E636" t="str">
            <v>CO</v>
          </cell>
          <cell r="F636">
            <v>41029</v>
          </cell>
          <cell r="G636">
            <v>40679</v>
          </cell>
          <cell r="H636">
            <v>47983</v>
          </cell>
          <cell r="I636" t="str">
            <v>19 years, 11 months, 29 days</v>
          </cell>
          <cell r="J636" t="str">
            <v>Renewables</v>
          </cell>
          <cell r="K636" t="str">
            <v>Solar (Rooftop)</v>
          </cell>
          <cell r="L636" t="str">
            <v>Solar</v>
          </cell>
          <cell r="M636" t="str">
            <v>Dx</v>
          </cell>
          <cell r="N636" t="str">
            <v>Markham</v>
          </cell>
          <cell r="O636" t="str">
            <v>York</v>
          </cell>
          <cell r="P636" t="str">
            <v>Toronto</v>
          </cell>
        </row>
        <row r="637">
          <cell r="C637" t="str">
            <v>OMC Solar</v>
          </cell>
          <cell r="D637" t="str">
            <v>4199847 Canada Inc.</v>
          </cell>
          <cell r="E637" t="str">
            <v>CO</v>
          </cell>
          <cell r="F637">
            <v>41792</v>
          </cell>
          <cell r="G637">
            <v>41480</v>
          </cell>
          <cell r="H637">
            <v>48784</v>
          </cell>
          <cell r="I637" t="str">
            <v>19 years, 11 months, 29 days</v>
          </cell>
          <cell r="J637" t="str">
            <v>Renewables</v>
          </cell>
          <cell r="K637" t="str">
            <v>Solar (Rooftop)</v>
          </cell>
          <cell r="L637" t="str">
            <v>Solar</v>
          </cell>
          <cell r="M637" t="str">
            <v>Dx</v>
          </cell>
          <cell r="N637" t="str">
            <v>Ottawa</v>
          </cell>
          <cell r="O637" t="str">
            <v>Ottawa</v>
          </cell>
          <cell r="P637" t="str">
            <v>Ottawa</v>
          </cell>
        </row>
        <row r="638">
          <cell r="C638" t="str">
            <v>Penn Energy - Brantgate</v>
          </cell>
          <cell r="D638" t="str">
            <v>Brantgate Solar Farm Partnership</v>
          </cell>
          <cell r="E638" t="str">
            <v>CO</v>
          </cell>
          <cell r="F638">
            <v>41742</v>
          </cell>
          <cell r="G638">
            <v>42177</v>
          </cell>
          <cell r="H638">
            <v>49481</v>
          </cell>
          <cell r="I638" t="str">
            <v>19 years, 11 months, 30 days</v>
          </cell>
          <cell r="J638" t="str">
            <v>Renewables</v>
          </cell>
          <cell r="K638" t="str">
            <v>Solar (Ground Mounted)</v>
          </cell>
          <cell r="L638" t="str">
            <v>Solar</v>
          </cell>
          <cell r="M638" t="str">
            <v>Dx</v>
          </cell>
          <cell r="N638" t="str">
            <v>Scotland</v>
          </cell>
          <cell r="O638" t="str">
            <v>Brant</v>
          </cell>
          <cell r="P638" t="str">
            <v>Southwest</v>
          </cell>
        </row>
        <row r="639">
          <cell r="C639" t="str">
            <v>162 Fish Lake Road, P.E.C</v>
          </cell>
          <cell r="D639" t="str">
            <v>CLEAVE ENERGY HOLDINGS LTD.</v>
          </cell>
          <cell r="E639" t="str">
            <v>CO</v>
          </cell>
          <cell r="F639">
            <v>41463</v>
          </cell>
          <cell r="G639">
            <v>41676</v>
          </cell>
          <cell r="H639">
            <v>48767</v>
          </cell>
          <cell r="I639" t="str">
            <v>19 years, 5 months, 1 days</v>
          </cell>
          <cell r="J639" t="str">
            <v>Renewables</v>
          </cell>
          <cell r="K639" t="str">
            <v>Solar (Rooftop)</v>
          </cell>
          <cell r="L639" t="str">
            <v>Solar</v>
          </cell>
          <cell r="M639" t="str">
            <v>Dx</v>
          </cell>
          <cell r="N639" t="str">
            <v>Demorestville</v>
          </cell>
          <cell r="O639" t="str">
            <v>Prince Edward</v>
          </cell>
          <cell r="P639" t="str">
            <v>East</v>
          </cell>
        </row>
        <row r="640">
          <cell r="C640" t="str">
            <v>Liskeard 1</v>
          </cell>
          <cell r="D640" t="str">
            <v>Axium Infinity Solar LP</v>
          </cell>
          <cell r="E640" t="str">
            <v>CO</v>
          </cell>
          <cell r="F640">
            <v>41887</v>
          </cell>
          <cell r="G640">
            <v>41919</v>
          </cell>
          <cell r="H640">
            <v>49223</v>
          </cell>
          <cell r="I640" t="str">
            <v>19 years, 11 months, 29 days</v>
          </cell>
          <cell r="J640" t="str">
            <v>Renewables</v>
          </cell>
          <cell r="K640" t="str">
            <v>Solar (Ground Mounted)</v>
          </cell>
          <cell r="L640" t="str">
            <v>Solar</v>
          </cell>
          <cell r="M640" t="str">
            <v>Tx</v>
          </cell>
          <cell r="N640" t="str">
            <v>New Liskeard</v>
          </cell>
          <cell r="O640" t="str">
            <v>Timiskaming</v>
          </cell>
          <cell r="P640" t="str">
            <v>Northeast</v>
          </cell>
        </row>
        <row r="641">
          <cell r="C641" t="str">
            <v>M12-160 Four Valley</v>
          </cell>
          <cell r="D641" t="str">
            <v>Caplink Ltd.</v>
          </cell>
          <cell r="E641" t="str">
            <v>CO</v>
          </cell>
          <cell r="F641">
            <v>41843</v>
          </cell>
          <cell r="G641">
            <v>42013</v>
          </cell>
          <cell r="H641">
            <v>49317</v>
          </cell>
          <cell r="I641" t="str">
            <v>19 years, 11 months, 30 days</v>
          </cell>
          <cell r="J641" t="str">
            <v>Renewables</v>
          </cell>
          <cell r="K641" t="str">
            <v>Solar (Rooftop)</v>
          </cell>
          <cell r="L641" t="str">
            <v>Solar</v>
          </cell>
          <cell r="M641" t="str">
            <v>Dx</v>
          </cell>
          <cell r="N641" t="str">
            <v>Concord</v>
          </cell>
          <cell r="O641" t="str">
            <v>York</v>
          </cell>
          <cell r="P641" t="str">
            <v>Toronto</v>
          </cell>
        </row>
        <row r="642">
          <cell r="C642" t="str">
            <v>1024 Dundas Street East</v>
          </cell>
          <cell r="D642" t="str">
            <v>TerraForm MP Solar, LLC</v>
          </cell>
          <cell r="E642" t="str">
            <v>CO</v>
          </cell>
          <cell r="F642">
            <v>41820</v>
          </cell>
          <cell r="G642">
            <v>41135</v>
          </cell>
          <cell r="H642">
            <v>48439</v>
          </cell>
          <cell r="I642" t="str">
            <v>19 years, 11 months, 30 days</v>
          </cell>
          <cell r="J642" t="str">
            <v>Renewables</v>
          </cell>
          <cell r="K642" t="str">
            <v>Solar (Rooftop)</v>
          </cell>
          <cell r="L642" t="str">
            <v>Solar</v>
          </cell>
          <cell r="M642" t="str">
            <v>Dx</v>
          </cell>
          <cell r="N642" t="str">
            <v>Mississauga</v>
          </cell>
          <cell r="O642" t="str">
            <v>Peel</v>
          </cell>
          <cell r="P642" t="str">
            <v>Toronto</v>
          </cell>
        </row>
        <row r="643">
          <cell r="C643" t="str">
            <v>698 MacKay Street</v>
          </cell>
          <cell r="D643" t="str">
            <v>Jay Patry Enterprises Inc.</v>
          </cell>
          <cell r="E643" t="str">
            <v>CO</v>
          </cell>
          <cell r="F643">
            <v>41825</v>
          </cell>
          <cell r="G643">
            <v>42009</v>
          </cell>
          <cell r="H643">
            <v>49313</v>
          </cell>
          <cell r="I643" t="str">
            <v>19 years, 11 months, 30 days</v>
          </cell>
          <cell r="J643" t="str">
            <v>Renewables</v>
          </cell>
          <cell r="K643" t="str">
            <v>Solar (Rooftop)</v>
          </cell>
          <cell r="L643" t="str">
            <v>Solar</v>
          </cell>
          <cell r="M643" t="str">
            <v>Dx</v>
          </cell>
          <cell r="N643" t="str">
            <v>Kingston</v>
          </cell>
          <cell r="O643" t="str">
            <v>Frontenac</v>
          </cell>
          <cell r="P643" t="str">
            <v>East</v>
          </cell>
        </row>
        <row r="644">
          <cell r="C644" t="str">
            <v>Johann Reichart</v>
          </cell>
          <cell r="D644" t="str">
            <v>Johann Reichart</v>
          </cell>
          <cell r="E644" t="str">
            <v>CO</v>
          </cell>
          <cell r="F644">
            <v>41029</v>
          </cell>
          <cell r="G644">
            <v>40987</v>
          </cell>
          <cell r="H644">
            <v>48291</v>
          </cell>
          <cell r="I644" t="str">
            <v>19 years, 11 months, 28 days</v>
          </cell>
          <cell r="J644" t="str">
            <v>Renewables</v>
          </cell>
          <cell r="K644" t="str">
            <v>Solar (Rooftop)</v>
          </cell>
          <cell r="L644" t="str">
            <v>Solar</v>
          </cell>
          <cell r="M644" t="str">
            <v>Dx</v>
          </cell>
          <cell r="N644" t="str">
            <v>Arnprior</v>
          </cell>
          <cell r="O644" t="str">
            <v>Renfrew</v>
          </cell>
          <cell r="P644" t="str">
            <v>East</v>
          </cell>
        </row>
        <row r="645">
          <cell r="C645" t="str">
            <v>MR1</v>
          </cell>
          <cell r="D645" t="str">
            <v>Matthew Roelands</v>
          </cell>
          <cell r="E645" t="str">
            <v>CO</v>
          </cell>
          <cell r="F645">
            <v>41804</v>
          </cell>
          <cell r="G645">
            <v>41143</v>
          </cell>
          <cell r="H645">
            <v>48447</v>
          </cell>
          <cell r="I645" t="str">
            <v>19 years, 11 months, 30 days</v>
          </cell>
          <cell r="J645" t="str">
            <v>Renewables</v>
          </cell>
          <cell r="K645" t="str">
            <v>Solar (Rooftop)</v>
          </cell>
          <cell r="L645" t="str">
            <v>Solar</v>
          </cell>
          <cell r="M645" t="str">
            <v>Dx</v>
          </cell>
          <cell r="N645" t="str">
            <v>Ailsa Craig</v>
          </cell>
          <cell r="O645" t="str">
            <v>Middlesex</v>
          </cell>
          <cell r="P645" t="str">
            <v>Southwest</v>
          </cell>
        </row>
        <row r="646">
          <cell r="C646" t="str">
            <v>Flowerburn Farm</v>
          </cell>
          <cell r="D646" t="str">
            <v>Injasuti Developments Ltd.</v>
          </cell>
          <cell r="E646" t="str">
            <v>CO</v>
          </cell>
          <cell r="F646">
            <v>41029</v>
          </cell>
          <cell r="G646">
            <v>41205</v>
          </cell>
          <cell r="H646">
            <v>48509</v>
          </cell>
          <cell r="I646" t="str">
            <v>19 years, 11 months, 29 days</v>
          </cell>
          <cell r="J646" t="str">
            <v>Renewables</v>
          </cell>
          <cell r="K646" t="str">
            <v>Solar (Ground Mounted)</v>
          </cell>
          <cell r="L646" t="str">
            <v>Solar</v>
          </cell>
          <cell r="M646" t="str">
            <v>Dx</v>
          </cell>
          <cell r="N646" t="str">
            <v>St. Thomas</v>
          </cell>
          <cell r="O646" t="str">
            <v>Elgin</v>
          </cell>
          <cell r="P646" t="str">
            <v>West</v>
          </cell>
        </row>
        <row r="647">
          <cell r="C647" t="str">
            <v>Homestead Farms</v>
          </cell>
          <cell r="D647" t="str">
            <v>Robert John McCutcheon</v>
          </cell>
          <cell r="E647" t="str">
            <v>CO</v>
          </cell>
          <cell r="F647">
            <v>41029</v>
          </cell>
          <cell r="G647">
            <v>40696</v>
          </cell>
          <cell r="H647">
            <v>48000</v>
          </cell>
          <cell r="I647" t="str">
            <v>19 years, 11 months, 30 days</v>
          </cell>
          <cell r="J647" t="str">
            <v>Renewables</v>
          </cell>
          <cell r="K647" t="str">
            <v>Solar (Rooftop)</v>
          </cell>
          <cell r="L647" t="str">
            <v>Solar</v>
          </cell>
          <cell r="M647" t="str">
            <v>Dx</v>
          </cell>
          <cell r="N647" t="str">
            <v>Roblin</v>
          </cell>
          <cell r="O647" t="str">
            <v>Hastings</v>
          </cell>
          <cell r="P647" t="str">
            <v>East</v>
          </cell>
        </row>
        <row r="648">
          <cell r="C648" t="str">
            <v>O02-1708 Grey Nuns</v>
          </cell>
          <cell r="D648" t="str">
            <v>PSI Solar Finance 1 Limited Partnership</v>
          </cell>
          <cell r="E648" t="str">
            <v>CO</v>
          </cell>
          <cell r="F648">
            <v>41834</v>
          </cell>
          <cell r="G648">
            <v>41453</v>
          </cell>
          <cell r="H648">
            <v>48757</v>
          </cell>
          <cell r="I648" t="str">
            <v>19 years, 11 months, 30 days</v>
          </cell>
          <cell r="J648" t="str">
            <v>Renewables</v>
          </cell>
          <cell r="K648" t="str">
            <v>Solar (Rooftop)</v>
          </cell>
          <cell r="L648" t="str">
            <v>Solar</v>
          </cell>
          <cell r="M648" t="str">
            <v>Dx</v>
          </cell>
          <cell r="N648" t="str">
            <v>Ottawa</v>
          </cell>
          <cell r="O648" t="str">
            <v>Ottawa</v>
          </cell>
          <cell r="P648" t="str">
            <v>Ottawa</v>
          </cell>
        </row>
        <row r="649">
          <cell r="C649" t="str">
            <v>Investment Opportunity</v>
          </cell>
          <cell r="D649" t="str">
            <v>SOF Holding Co.</v>
          </cell>
          <cell r="E649" t="str">
            <v>CO</v>
          </cell>
          <cell r="F649">
            <v>41825</v>
          </cell>
          <cell r="G649">
            <v>41023</v>
          </cell>
          <cell r="H649">
            <v>48327</v>
          </cell>
          <cell r="I649" t="str">
            <v>19 years, 11 months, 30 days</v>
          </cell>
          <cell r="J649" t="str">
            <v>Renewables</v>
          </cell>
          <cell r="K649" t="str">
            <v>Solar (Rooftop)</v>
          </cell>
          <cell r="L649" t="str">
            <v>Solar</v>
          </cell>
          <cell r="M649" t="str">
            <v>Dx</v>
          </cell>
          <cell r="N649" t="str">
            <v>Markham</v>
          </cell>
          <cell r="O649" t="str">
            <v>York</v>
          </cell>
          <cell r="P649" t="str">
            <v>Toronto</v>
          </cell>
        </row>
        <row r="650">
          <cell r="C650" t="str">
            <v>Dayton Manufacturing Company Ltd</v>
          </cell>
          <cell r="D650" t="str">
            <v>Alectra Utilities Corporation</v>
          </cell>
          <cell r="E650" t="str">
            <v>CO</v>
          </cell>
          <cell r="F650">
            <v>41818</v>
          </cell>
          <cell r="G650">
            <v>41892</v>
          </cell>
          <cell r="H650">
            <v>49196</v>
          </cell>
          <cell r="I650" t="str">
            <v>19 years, 11 months, 30 days</v>
          </cell>
          <cell r="J650" t="str">
            <v>Renewables</v>
          </cell>
          <cell r="K650" t="str">
            <v>Solar (Rooftop)</v>
          </cell>
          <cell r="L650" t="str">
            <v>Solar</v>
          </cell>
          <cell r="M650" t="str">
            <v>Dx</v>
          </cell>
          <cell r="N650" t="str">
            <v>Windsor</v>
          </cell>
          <cell r="O650" t="str">
            <v>Essex</v>
          </cell>
          <cell r="P650" t="str">
            <v>West</v>
          </cell>
        </row>
        <row r="651">
          <cell r="C651" t="str">
            <v>Ontario's West Coast Energy Centre</v>
          </cell>
          <cell r="D651" t="str">
            <v>BOOST POWER LIMITED PARTNERSHIP</v>
          </cell>
          <cell r="E651" t="str">
            <v>CO</v>
          </cell>
          <cell r="F651">
            <v>41029</v>
          </cell>
          <cell r="G651">
            <v>41065</v>
          </cell>
          <cell r="H651">
            <v>48333</v>
          </cell>
          <cell r="I651" t="str">
            <v>19 years, 10 months, 24 days</v>
          </cell>
          <cell r="J651" t="str">
            <v>Renewables</v>
          </cell>
          <cell r="K651" t="str">
            <v>Solar (Rooftop)</v>
          </cell>
          <cell r="L651" t="str">
            <v>Solar</v>
          </cell>
          <cell r="M651" t="str">
            <v>Dx</v>
          </cell>
          <cell r="N651" t="str">
            <v>Walton</v>
          </cell>
          <cell r="O651" t="str">
            <v>Huron</v>
          </cell>
          <cell r="P651" t="str">
            <v>Southwest</v>
          </cell>
        </row>
        <row r="652">
          <cell r="C652" t="str">
            <v>QPA Solar Storage 6</v>
          </cell>
          <cell r="D652" t="str">
            <v>QPA Solar Inc.</v>
          </cell>
          <cell r="E652" t="str">
            <v>CO</v>
          </cell>
          <cell r="F652">
            <v>40663</v>
          </cell>
          <cell r="G652">
            <v>40638</v>
          </cell>
          <cell r="H652">
            <v>47942</v>
          </cell>
          <cell r="I652" t="str">
            <v>19 years, 11 months, 30 days</v>
          </cell>
          <cell r="J652" t="str">
            <v>Renewables</v>
          </cell>
          <cell r="K652" t="str">
            <v>Solar (Rooftop)</v>
          </cell>
          <cell r="L652" t="str">
            <v>Solar</v>
          </cell>
          <cell r="M652" t="str">
            <v>Dx</v>
          </cell>
          <cell r="N652" t="str">
            <v>Millgrove</v>
          </cell>
          <cell r="O652" t="str">
            <v>Hamilton</v>
          </cell>
          <cell r="P652" t="str">
            <v>Southwest</v>
          </cell>
        </row>
        <row r="653">
          <cell r="C653" t="str">
            <v>stcbs</v>
          </cell>
          <cell r="D653" t="str">
            <v>1631601 ontario inc</v>
          </cell>
          <cell r="E653" t="str">
            <v>CO</v>
          </cell>
          <cell r="F653">
            <v>41841</v>
          </cell>
          <cell r="G653">
            <v>41379</v>
          </cell>
          <cell r="H653">
            <v>48683</v>
          </cell>
          <cell r="I653" t="str">
            <v>19 years, 11 months, 30 days</v>
          </cell>
          <cell r="J653" t="str">
            <v>Renewables</v>
          </cell>
          <cell r="K653" t="str">
            <v>Solar (Rooftop)</v>
          </cell>
          <cell r="L653" t="str">
            <v>Solar</v>
          </cell>
          <cell r="M653" t="str">
            <v>Dx</v>
          </cell>
          <cell r="N653" t="str">
            <v>St. Catharines</v>
          </cell>
          <cell r="O653" t="str">
            <v>Niagara</v>
          </cell>
          <cell r="P653" t="str">
            <v>Niagara</v>
          </cell>
        </row>
        <row r="654">
          <cell r="C654" t="str">
            <v>John M.D. Rivers 100kW</v>
          </cell>
          <cell r="D654" t="str">
            <v>2327525 Ontario Corp.</v>
          </cell>
          <cell r="E654" t="str">
            <v>CO</v>
          </cell>
          <cell r="F654">
            <v>41818</v>
          </cell>
          <cell r="G654">
            <v>42006</v>
          </cell>
          <cell r="H654">
            <v>49122</v>
          </cell>
          <cell r="I654" t="str">
            <v>19 years, 5 months, 25 days</v>
          </cell>
          <cell r="J654" t="str">
            <v>Renewables</v>
          </cell>
          <cell r="K654" t="str">
            <v>Solar (Rooftop)</v>
          </cell>
          <cell r="L654" t="str">
            <v>Solar</v>
          </cell>
          <cell r="M654" t="str">
            <v>Dx</v>
          </cell>
          <cell r="N654" t="str">
            <v>Baltimore</v>
          </cell>
          <cell r="O654" t="str">
            <v>Northumberland</v>
          </cell>
          <cell r="P654" t="str">
            <v>East</v>
          </cell>
        </row>
        <row r="655">
          <cell r="C655" t="str">
            <v>RE Breen 2</v>
          </cell>
          <cell r="D655" t="str">
            <v>Met Axium Solar Breen 2 L.P.</v>
          </cell>
          <cell r="E655" t="str">
            <v>CO</v>
          </cell>
          <cell r="F655">
            <v>41557</v>
          </cell>
          <cell r="G655">
            <v>41696</v>
          </cell>
          <cell r="H655">
            <v>49000</v>
          </cell>
          <cell r="I655" t="str">
            <v>19 years, 11 months, 30 days</v>
          </cell>
          <cell r="J655" t="str">
            <v>Renewables</v>
          </cell>
          <cell r="K655" t="str">
            <v>Solar (Ground Mounted)</v>
          </cell>
          <cell r="L655" t="str">
            <v>Solar</v>
          </cell>
          <cell r="M655" t="str">
            <v>Dx</v>
          </cell>
          <cell r="N655" t="str">
            <v>Putnam</v>
          </cell>
          <cell r="O655" t="str">
            <v>Middlesex</v>
          </cell>
          <cell r="P655" t="str">
            <v>Southwest</v>
          </cell>
        </row>
        <row r="656">
          <cell r="C656" t="str">
            <v>O02-2760 Cedarview</v>
          </cell>
          <cell r="D656" t="str">
            <v>PSI Solar Finance 1 Limited Partnership</v>
          </cell>
          <cell r="E656" t="str">
            <v>CO</v>
          </cell>
          <cell r="F656">
            <v>41827</v>
          </cell>
          <cell r="G656">
            <v>41543</v>
          </cell>
          <cell r="H656">
            <v>48847</v>
          </cell>
          <cell r="I656" t="str">
            <v>19 years, 11 months, 30 days</v>
          </cell>
          <cell r="J656" t="str">
            <v>Renewables</v>
          </cell>
          <cell r="K656" t="str">
            <v>Solar (Rooftop)</v>
          </cell>
          <cell r="L656" t="str">
            <v>Solar</v>
          </cell>
          <cell r="M656" t="str">
            <v>Dx</v>
          </cell>
          <cell r="N656" t="str">
            <v>Ottawa</v>
          </cell>
          <cell r="O656" t="str">
            <v>Ottawa</v>
          </cell>
          <cell r="P656" t="str">
            <v>Ottawa</v>
          </cell>
        </row>
        <row r="657">
          <cell r="C657" t="str">
            <v>745 Richmond Street</v>
          </cell>
          <cell r="D657" t="str">
            <v>Tatro Properties Ltd.</v>
          </cell>
          <cell r="E657" t="str">
            <v>CO</v>
          </cell>
          <cell r="F657">
            <v>41862</v>
          </cell>
          <cell r="G657">
            <v>42082</v>
          </cell>
          <cell r="H657">
            <v>49166</v>
          </cell>
          <cell r="I657" t="str">
            <v>19 years, 4 months, 22 days</v>
          </cell>
          <cell r="J657" t="str">
            <v>Renewables</v>
          </cell>
          <cell r="K657" t="str">
            <v>Solar (Rooftop)</v>
          </cell>
          <cell r="L657" t="str">
            <v>Solar</v>
          </cell>
          <cell r="M657" t="str">
            <v>Dx</v>
          </cell>
          <cell r="N657" t="str">
            <v>Chatham</v>
          </cell>
          <cell r="O657" t="str">
            <v>Chatham-Kent</v>
          </cell>
          <cell r="P657" t="str">
            <v>West</v>
          </cell>
        </row>
        <row r="658">
          <cell r="C658" t="str">
            <v>76 Miranda</v>
          </cell>
          <cell r="D658" t="str">
            <v>Fovere Glenbarra Energy Fund II Limited Partnership</v>
          </cell>
          <cell r="E658" t="str">
            <v>CO</v>
          </cell>
          <cell r="F658">
            <v>41832</v>
          </cell>
          <cell r="G658">
            <v>41562</v>
          </cell>
          <cell r="H658">
            <v>48866</v>
          </cell>
          <cell r="I658" t="str">
            <v>19 years, 11 months, 29 days</v>
          </cell>
          <cell r="J658" t="str">
            <v>Renewables</v>
          </cell>
          <cell r="K658" t="str">
            <v>Solar (Rooftop)</v>
          </cell>
          <cell r="L658" t="str">
            <v>Solar</v>
          </cell>
          <cell r="M658" t="str">
            <v>Dx</v>
          </cell>
          <cell r="N658" t="str">
            <v>Toronto</v>
          </cell>
          <cell r="O658" t="str">
            <v>Toronto</v>
          </cell>
          <cell r="P658" t="str">
            <v>Toronto</v>
          </cell>
        </row>
        <row r="659">
          <cell r="C659" t="str">
            <v>Mikhail 3 250</v>
          </cell>
          <cell r="D659" t="str">
            <v>2452357 Ontario Ltd.</v>
          </cell>
          <cell r="E659" t="str">
            <v>CO</v>
          </cell>
          <cell r="F659">
            <v>41863</v>
          </cell>
          <cell r="G659">
            <v>41982</v>
          </cell>
          <cell r="H659">
            <v>49167</v>
          </cell>
          <cell r="I659" t="str">
            <v>19 years, 8 months, 2 days</v>
          </cell>
          <cell r="J659" t="str">
            <v>Renewables</v>
          </cell>
          <cell r="K659" t="str">
            <v>Solar (Rooftop)</v>
          </cell>
          <cell r="L659" t="str">
            <v>Solar</v>
          </cell>
          <cell r="M659" t="str">
            <v>Dx</v>
          </cell>
          <cell r="N659" t="str">
            <v>Windsor</v>
          </cell>
          <cell r="O659" t="str">
            <v>Essex</v>
          </cell>
          <cell r="P659" t="str">
            <v>West</v>
          </cell>
        </row>
        <row r="660">
          <cell r="C660" t="str">
            <v>882950 Ontario Ltd.</v>
          </cell>
          <cell r="D660" t="str">
            <v>Alectra Utilities Corporation</v>
          </cell>
          <cell r="E660" t="str">
            <v>CO</v>
          </cell>
          <cell r="F660">
            <v>41825</v>
          </cell>
          <cell r="G660">
            <v>42009</v>
          </cell>
          <cell r="H660">
            <v>49313</v>
          </cell>
          <cell r="I660" t="str">
            <v>19 years, 11 months, 30 days</v>
          </cell>
          <cell r="J660" t="str">
            <v>Renewables</v>
          </cell>
          <cell r="K660" t="str">
            <v>Solar (Rooftop)</v>
          </cell>
          <cell r="L660" t="str">
            <v>Solar</v>
          </cell>
          <cell r="M660" t="str">
            <v>Dx</v>
          </cell>
          <cell r="N660" t="str">
            <v>Tilbury</v>
          </cell>
          <cell r="O660" t="str">
            <v>Chatham-Kent</v>
          </cell>
          <cell r="P660" t="str">
            <v>West</v>
          </cell>
        </row>
        <row r="661">
          <cell r="C661" t="str">
            <v>Summerhaven Wind Energy Centre</v>
          </cell>
          <cell r="D661" t="str">
            <v>Summerhaven Wind, LP</v>
          </cell>
          <cell r="E661" t="str">
            <v>CO</v>
          </cell>
          <cell r="F661">
            <v>41493</v>
          </cell>
          <cell r="G661">
            <v>41492</v>
          </cell>
          <cell r="H661">
            <v>48796</v>
          </cell>
          <cell r="I661" t="str">
            <v>19 years, 11 months, 30 days</v>
          </cell>
          <cell r="J661" t="str">
            <v>Renewables</v>
          </cell>
          <cell r="K661" t="str">
            <v>Wind (On-Shore)</v>
          </cell>
          <cell r="L661" t="str">
            <v>Wind</v>
          </cell>
          <cell r="M661" t="str">
            <v>Tx</v>
          </cell>
          <cell r="N661" t="str">
            <v>Nanticoke</v>
          </cell>
          <cell r="O661" t="str">
            <v>Haldimand</v>
          </cell>
          <cell r="P661" t="str">
            <v>Southwest</v>
          </cell>
        </row>
        <row r="662">
          <cell r="C662" t="str">
            <v>Bornish Wind Energy Centre</v>
          </cell>
          <cell r="D662" t="str">
            <v>Bornish Wind, LP</v>
          </cell>
          <cell r="E662" t="str">
            <v>CO</v>
          </cell>
          <cell r="F662">
            <v>42008</v>
          </cell>
          <cell r="G662">
            <v>41866</v>
          </cell>
          <cell r="H662">
            <v>49170</v>
          </cell>
          <cell r="I662" t="str">
            <v>19 years, 11 months, 30 days</v>
          </cell>
          <cell r="J662" t="str">
            <v>Renewables</v>
          </cell>
          <cell r="K662" t="str">
            <v>Wind (On-Shore)</v>
          </cell>
          <cell r="L662" t="str">
            <v>Wind</v>
          </cell>
          <cell r="M662" t="str">
            <v>Tx</v>
          </cell>
          <cell r="N662" t="str">
            <v>Kerwood</v>
          </cell>
          <cell r="O662" t="str">
            <v>Middlesex</v>
          </cell>
          <cell r="P662" t="str">
            <v>Bruce</v>
          </cell>
        </row>
        <row r="663">
          <cell r="C663" t="str">
            <v>(C53) Loblaws Redway Road</v>
          </cell>
          <cell r="D663" t="str">
            <v>Firelight Solar LP</v>
          </cell>
          <cell r="E663" t="str">
            <v>CO</v>
          </cell>
          <cell r="F663">
            <v>41724</v>
          </cell>
          <cell r="G663">
            <v>41505</v>
          </cell>
          <cell r="H663">
            <v>48809</v>
          </cell>
          <cell r="I663" t="str">
            <v>19 years, 11 months, 30 days</v>
          </cell>
          <cell r="J663" t="str">
            <v>Renewables</v>
          </cell>
          <cell r="K663" t="str">
            <v>Solar (Rooftop)</v>
          </cell>
          <cell r="L663" t="str">
            <v>Solar</v>
          </cell>
          <cell r="M663" t="str">
            <v>Dx</v>
          </cell>
          <cell r="N663" t="str">
            <v>Toronto</v>
          </cell>
          <cell r="O663" t="str">
            <v>Toronto</v>
          </cell>
          <cell r="P663" t="str">
            <v>Toronto</v>
          </cell>
        </row>
        <row r="664">
          <cell r="C664" t="str">
            <v>FRC 250</v>
          </cell>
          <cell r="D664" t="str">
            <v>1382839 Ontario Inc.</v>
          </cell>
          <cell r="E664" t="str">
            <v>CO</v>
          </cell>
          <cell r="F664">
            <v>41029</v>
          </cell>
          <cell r="G664">
            <v>40872</v>
          </cell>
          <cell r="H664">
            <v>48176</v>
          </cell>
          <cell r="I664" t="str">
            <v>19 years, 11 months, 30 days</v>
          </cell>
          <cell r="J664" t="str">
            <v>Renewables</v>
          </cell>
          <cell r="K664" t="str">
            <v>Solar (Rooftop)</v>
          </cell>
          <cell r="L664" t="str">
            <v>Solar</v>
          </cell>
          <cell r="M664" t="str">
            <v>Dx</v>
          </cell>
          <cell r="N664" t="str">
            <v>Trenton</v>
          </cell>
          <cell r="O664" t="str">
            <v>Hastings</v>
          </cell>
          <cell r="P664" t="str">
            <v>East</v>
          </cell>
        </row>
        <row r="665">
          <cell r="C665" t="str">
            <v>52-56 Lesmill Road</v>
          </cell>
          <cell r="D665" t="str">
            <v>PSI Solar Finance 1 Limited Partnership</v>
          </cell>
          <cell r="E665" t="str">
            <v>CO</v>
          </cell>
          <cell r="F665">
            <v>41349</v>
          </cell>
          <cell r="G665">
            <v>41374</v>
          </cell>
          <cell r="H665">
            <v>48678</v>
          </cell>
          <cell r="I665" t="str">
            <v>19 years, 11 months, 30 days</v>
          </cell>
          <cell r="J665" t="str">
            <v>Renewables</v>
          </cell>
          <cell r="K665" t="str">
            <v>Solar (Rooftop)</v>
          </cell>
          <cell r="L665" t="str">
            <v>Solar</v>
          </cell>
          <cell r="M665" t="str">
            <v>Dx</v>
          </cell>
          <cell r="N665" t="str">
            <v>Toronto</v>
          </cell>
          <cell r="O665" t="str">
            <v>Toronto</v>
          </cell>
          <cell r="P665" t="str">
            <v>Toronto</v>
          </cell>
        </row>
        <row r="666">
          <cell r="C666" t="str">
            <v>Brant Street Solar Energy Progject</v>
          </cell>
          <cell r="D666" t="str">
            <v>Adena Holdings Inc.</v>
          </cell>
          <cell r="E666" t="str">
            <v>CO</v>
          </cell>
          <cell r="F666">
            <v>41822</v>
          </cell>
          <cell r="G666">
            <v>41824</v>
          </cell>
          <cell r="H666">
            <v>49128</v>
          </cell>
          <cell r="I666" t="str">
            <v>19 years, 11 months, 29 days</v>
          </cell>
          <cell r="J666" t="str">
            <v>Renewables</v>
          </cell>
          <cell r="K666" t="str">
            <v>Solar (Rooftop)</v>
          </cell>
          <cell r="L666" t="str">
            <v>Solar</v>
          </cell>
          <cell r="M666" t="str">
            <v>Dx</v>
          </cell>
          <cell r="N666" t="str">
            <v>Woodstock</v>
          </cell>
          <cell r="O666" t="str">
            <v>Oxford</v>
          </cell>
          <cell r="P666" t="str">
            <v>Southwest</v>
          </cell>
        </row>
        <row r="667">
          <cell r="C667" t="str">
            <v>Dalton FIT Project</v>
          </cell>
          <cell r="D667" t="str">
            <v>KBD Farms Ltd.</v>
          </cell>
          <cell r="E667" t="str">
            <v>CO</v>
          </cell>
          <cell r="F667">
            <v>41029</v>
          </cell>
          <cell r="G667">
            <v>40984</v>
          </cell>
          <cell r="H667">
            <v>48288</v>
          </cell>
          <cell r="I667" t="str">
            <v>19 years, 11 months, 28 days</v>
          </cell>
          <cell r="J667" t="str">
            <v>Renewables</v>
          </cell>
          <cell r="K667" t="str">
            <v>Solar (Rooftop)</v>
          </cell>
          <cell r="L667" t="str">
            <v>Solar</v>
          </cell>
          <cell r="M667" t="str">
            <v>Dx</v>
          </cell>
          <cell r="N667" t="str">
            <v>Walton</v>
          </cell>
          <cell r="O667" t="str">
            <v>Huron</v>
          </cell>
          <cell r="P667" t="str">
            <v>Southwest</v>
          </cell>
        </row>
        <row r="668">
          <cell r="C668" t="str">
            <v>Country Market</v>
          </cell>
          <cell r="D668" t="str">
            <v>J &amp; B LAMANTIA LTD.</v>
          </cell>
          <cell r="E668" t="str">
            <v>CO</v>
          </cell>
          <cell r="F668">
            <v>41827</v>
          </cell>
          <cell r="G668">
            <v>41324</v>
          </cell>
          <cell r="H668">
            <v>48628</v>
          </cell>
          <cell r="I668" t="str">
            <v>19 years, 11 months, 30 days</v>
          </cell>
          <cell r="J668" t="str">
            <v>Renewables</v>
          </cell>
          <cell r="K668" t="str">
            <v>Solar (Rooftop)</v>
          </cell>
          <cell r="L668" t="str">
            <v>Solar</v>
          </cell>
          <cell r="M668" t="str">
            <v>Dx</v>
          </cell>
          <cell r="N668" t="str">
            <v>Lindsay</v>
          </cell>
          <cell r="O668" t="str">
            <v>Kawartha Lakes</v>
          </cell>
          <cell r="P668" t="str">
            <v>Essa</v>
          </cell>
        </row>
        <row r="669">
          <cell r="C669" t="str">
            <v>69 John Street</v>
          </cell>
          <cell r="D669" t="str">
            <v>Sunnyside Up Investments Inc.</v>
          </cell>
          <cell r="E669" t="str">
            <v>CO</v>
          </cell>
          <cell r="F669">
            <v>41029</v>
          </cell>
          <cell r="G669">
            <v>41208</v>
          </cell>
          <cell r="H669">
            <v>48512</v>
          </cell>
          <cell r="I669" t="str">
            <v>19 years, 11 months, 29 days</v>
          </cell>
          <cell r="J669" t="str">
            <v>Renewables</v>
          </cell>
          <cell r="K669" t="str">
            <v>Solar (Rooftop)</v>
          </cell>
          <cell r="L669" t="str">
            <v>Solar</v>
          </cell>
          <cell r="M669" t="str">
            <v>Dx</v>
          </cell>
          <cell r="N669" t="str">
            <v>Hamilton</v>
          </cell>
          <cell r="O669" t="str">
            <v>Hamilton</v>
          </cell>
          <cell r="P669" t="str">
            <v>Southwest</v>
          </cell>
        </row>
        <row r="670">
          <cell r="C670" t="str">
            <v>H06-122 MARTINDALE</v>
          </cell>
          <cell r="D670" t="str">
            <v>PSI Solar Finance 1 Limited Partnership</v>
          </cell>
          <cell r="E670" t="str">
            <v>CO</v>
          </cell>
          <cell r="F670">
            <v>41807</v>
          </cell>
          <cell r="G670">
            <v>41871</v>
          </cell>
          <cell r="H670">
            <v>49175</v>
          </cell>
          <cell r="I670" t="str">
            <v>19 years, 11 months, 30 days</v>
          </cell>
          <cell r="J670" t="str">
            <v>Renewables</v>
          </cell>
          <cell r="K670" t="str">
            <v>Solar (Rooftop)</v>
          </cell>
          <cell r="L670" t="str">
            <v>Solar</v>
          </cell>
          <cell r="M670" t="str">
            <v>Dx</v>
          </cell>
          <cell r="N670" t="str">
            <v>Hamilton</v>
          </cell>
          <cell r="O670" t="str">
            <v>Hamilton</v>
          </cell>
          <cell r="P670" t="str">
            <v>Southwest</v>
          </cell>
        </row>
        <row r="671">
          <cell r="C671" t="str">
            <v>Feversham Farm</v>
          </cell>
          <cell r="D671" t="str">
            <v>Hiview Solar Ltd</v>
          </cell>
          <cell r="E671" t="str">
            <v>CO</v>
          </cell>
          <cell r="F671">
            <v>41790</v>
          </cell>
          <cell r="G671">
            <v>41967</v>
          </cell>
          <cell r="H671">
            <v>49271</v>
          </cell>
          <cell r="I671" t="str">
            <v>19 years, 11 months, 30 days</v>
          </cell>
          <cell r="J671" t="str">
            <v>Renewables</v>
          </cell>
          <cell r="K671" t="str">
            <v>Solar (Rooftop)</v>
          </cell>
          <cell r="L671" t="str">
            <v>Solar</v>
          </cell>
          <cell r="M671" t="str">
            <v>Dx</v>
          </cell>
          <cell r="N671" t="str">
            <v>Singhampton</v>
          </cell>
          <cell r="O671" t="str">
            <v>Grey</v>
          </cell>
          <cell r="P671" t="str">
            <v>Southwest</v>
          </cell>
        </row>
        <row r="672">
          <cell r="C672" t="str">
            <v>Sanlu Poultry</v>
          </cell>
          <cell r="D672" t="str">
            <v>SE 2011 LP</v>
          </cell>
          <cell r="E672" t="str">
            <v>CO</v>
          </cell>
          <cell r="F672">
            <v>41804</v>
          </cell>
          <cell r="G672">
            <v>41505</v>
          </cell>
          <cell r="H672">
            <v>48809</v>
          </cell>
          <cell r="I672" t="str">
            <v>19 years, 11 months, 30 days</v>
          </cell>
          <cell r="J672" t="str">
            <v>Renewables</v>
          </cell>
          <cell r="K672" t="str">
            <v>Solar (Rooftop)</v>
          </cell>
          <cell r="L672" t="str">
            <v>Solar</v>
          </cell>
          <cell r="M672" t="str">
            <v>Dx</v>
          </cell>
          <cell r="N672" t="str">
            <v>Watford</v>
          </cell>
          <cell r="O672" t="str">
            <v>Lambton</v>
          </cell>
          <cell r="P672" t="str">
            <v>West</v>
          </cell>
        </row>
        <row r="673">
          <cell r="C673" t="str">
            <v>5300 Canotek Road</v>
          </cell>
          <cell r="D673" t="str">
            <v>PSI Solar Finance 1 Limited Partnership</v>
          </cell>
          <cell r="E673" t="str">
            <v>CO</v>
          </cell>
          <cell r="F673">
            <v>41547</v>
          </cell>
          <cell r="G673">
            <v>41668</v>
          </cell>
          <cell r="H673">
            <v>48851</v>
          </cell>
          <cell r="I673" t="str">
            <v>19 years, 8 months, 0 days</v>
          </cell>
          <cell r="J673" t="str">
            <v>Renewables</v>
          </cell>
          <cell r="K673" t="str">
            <v>Solar (Rooftop)</v>
          </cell>
          <cell r="L673" t="str">
            <v>Solar</v>
          </cell>
          <cell r="M673" t="str">
            <v>Dx</v>
          </cell>
          <cell r="N673" t="str">
            <v>Ottawa</v>
          </cell>
          <cell r="O673" t="str">
            <v>Ottawa</v>
          </cell>
          <cell r="P673" t="str">
            <v>Ottawa</v>
          </cell>
        </row>
        <row r="674">
          <cell r="C674" t="str">
            <v>Arena Solar Project</v>
          </cell>
          <cell r="D674" t="str">
            <v>William Finlay</v>
          </cell>
          <cell r="E674" t="str">
            <v>CO</v>
          </cell>
          <cell r="F674">
            <v>41029</v>
          </cell>
          <cell r="G674">
            <v>41114</v>
          </cell>
          <cell r="H674">
            <v>48418</v>
          </cell>
          <cell r="I674" t="str">
            <v>19 years, 11 months, 29 days</v>
          </cell>
          <cell r="J674" t="str">
            <v>Renewables</v>
          </cell>
          <cell r="K674" t="str">
            <v>Solar (Rooftop)</v>
          </cell>
          <cell r="L674" t="str">
            <v>Solar</v>
          </cell>
          <cell r="M674" t="str">
            <v>Dx</v>
          </cell>
          <cell r="N674" t="str">
            <v>Durham</v>
          </cell>
          <cell r="O674" t="str">
            <v>Grey</v>
          </cell>
          <cell r="P674" t="str">
            <v>Southwest</v>
          </cell>
        </row>
        <row r="675">
          <cell r="C675" t="str">
            <v>Power Block</v>
          </cell>
          <cell r="D675" t="str">
            <v>1219663 Ontario Inc</v>
          </cell>
          <cell r="E675" t="str">
            <v>CO</v>
          </cell>
          <cell r="F675">
            <v>41804</v>
          </cell>
          <cell r="G675">
            <v>41803</v>
          </cell>
          <cell r="H675">
            <v>49107</v>
          </cell>
          <cell r="I675" t="str">
            <v>19 years, 11 months, 30 days</v>
          </cell>
          <cell r="J675" t="str">
            <v>Renewables</v>
          </cell>
          <cell r="K675" t="str">
            <v>Solar (Rooftop)</v>
          </cell>
          <cell r="L675" t="str">
            <v>Solar</v>
          </cell>
          <cell r="M675" t="str">
            <v>Dx</v>
          </cell>
          <cell r="N675" t="str">
            <v>Burlington</v>
          </cell>
          <cell r="O675" t="str">
            <v>Halton</v>
          </cell>
          <cell r="P675" t="str">
            <v>Southwest</v>
          </cell>
        </row>
        <row r="676">
          <cell r="C676" t="str">
            <v>Jamieson Laboratories Ltd.</v>
          </cell>
          <cell r="D676" t="str">
            <v>Alectra Utilities Corporation</v>
          </cell>
          <cell r="E676" t="str">
            <v>CO</v>
          </cell>
          <cell r="F676">
            <v>41820</v>
          </cell>
          <cell r="G676">
            <v>41607</v>
          </cell>
          <cell r="H676">
            <v>48911</v>
          </cell>
          <cell r="I676" t="str">
            <v>19 years, 11 months, 30 days</v>
          </cell>
          <cell r="J676" t="str">
            <v>Renewables</v>
          </cell>
          <cell r="K676" t="str">
            <v>Solar (Rooftop)</v>
          </cell>
          <cell r="L676" t="str">
            <v>Solar</v>
          </cell>
          <cell r="M676" t="str">
            <v>Dx</v>
          </cell>
          <cell r="N676" t="str">
            <v>Windsor</v>
          </cell>
          <cell r="O676" t="str">
            <v>Essex</v>
          </cell>
          <cell r="P676" t="str">
            <v>West</v>
          </cell>
        </row>
        <row r="677">
          <cell r="C677" t="str">
            <v>563 Queensway</v>
          </cell>
          <cell r="D677" t="str">
            <v>PSI Solar Finance 1 Limited Partnership</v>
          </cell>
          <cell r="E677" t="str">
            <v>CO</v>
          </cell>
          <cell r="F677">
            <v>41029</v>
          </cell>
          <cell r="G677">
            <v>40690</v>
          </cell>
          <cell r="H677">
            <v>47994</v>
          </cell>
          <cell r="I677" t="str">
            <v>19 years, 11 months, 29 days</v>
          </cell>
          <cell r="J677" t="str">
            <v>Renewables</v>
          </cell>
          <cell r="K677" t="str">
            <v>Solar (Rooftop)</v>
          </cell>
          <cell r="L677" t="str">
            <v>Solar</v>
          </cell>
          <cell r="M677" t="str">
            <v>Dx</v>
          </cell>
          <cell r="N677" t="str">
            <v>Mississauga</v>
          </cell>
          <cell r="O677" t="str">
            <v>Peel</v>
          </cell>
          <cell r="P677" t="str">
            <v>Toronto</v>
          </cell>
        </row>
        <row r="678">
          <cell r="C678" t="str">
            <v>A10-4305 Fairview</v>
          </cell>
          <cell r="D678" t="str">
            <v>Fengate (FGDI) Limited Partnership</v>
          </cell>
          <cell r="E678" t="str">
            <v>CO</v>
          </cell>
          <cell r="F678">
            <v>41811</v>
          </cell>
          <cell r="G678">
            <v>42039</v>
          </cell>
          <cell r="H678">
            <v>49343</v>
          </cell>
          <cell r="I678" t="str">
            <v>19 years, 11 months, 30 days</v>
          </cell>
          <cell r="J678" t="str">
            <v>Renewables</v>
          </cell>
          <cell r="K678" t="str">
            <v>Solar (Rooftop)</v>
          </cell>
          <cell r="L678" t="str">
            <v>Solar</v>
          </cell>
          <cell r="M678" t="str">
            <v>Dx</v>
          </cell>
          <cell r="N678" t="str">
            <v>Burlington</v>
          </cell>
          <cell r="O678" t="str">
            <v>Halton</v>
          </cell>
          <cell r="P678" t="str">
            <v>Southwest</v>
          </cell>
        </row>
        <row r="679">
          <cell r="C679" t="str">
            <v>Grandview Sun Farm</v>
          </cell>
          <cell r="D679" t="str">
            <v>Grandview Sun Farm Inc</v>
          </cell>
          <cell r="E679" t="str">
            <v>CO</v>
          </cell>
          <cell r="F679">
            <v>41790</v>
          </cell>
          <cell r="G679">
            <v>41789</v>
          </cell>
          <cell r="H679">
            <v>49093</v>
          </cell>
          <cell r="I679" t="str">
            <v>19 years, 11 months, 29 days</v>
          </cell>
          <cell r="J679" t="str">
            <v>Renewables</v>
          </cell>
          <cell r="K679" t="str">
            <v>Solar (Rooftop)</v>
          </cell>
          <cell r="L679" t="str">
            <v>Solar</v>
          </cell>
          <cell r="M679" t="str">
            <v>Dx</v>
          </cell>
          <cell r="N679" t="str">
            <v>Fergus</v>
          </cell>
          <cell r="O679" t="str">
            <v>Wellington</v>
          </cell>
          <cell r="P679" t="str">
            <v>Southwest</v>
          </cell>
        </row>
        <row r="680">
          <cell r="C680" t="str">
            <v>2018180 Ontario Ltd</v>
          </cell>
          <cell r="D680" t="str">
            <v>Alectra Utilities Corporation</v>
          </cell>
          <cell r="E680" t="str">
            <v>CO</v>
          </cell>
          <cell r="F680">
            <v>41820</v>
          </cell>
          <cell r="G680">
            <v>41159</v>
          </cell>
          <cell r="H680">
            <v>48463</v>
          </cell>
          <cell r="I680" t="str">
            <v>19 years, 11 months, 30 days</v>
          </cell>
          <cell r="J680" t="str">
            <v>Renewables</v>
          </cell>
          <cell r="K680" t="str">
            <v>Solar (Rooftop)</v>
          </cell>
          <cell r="L680" t="str">
            <v>Solar</v>
          </cell>
          <cell r="M680" t="str">
            <v>Dx</v>
          </cell>
          <cell r="N680" t="str">
            <v>Windsor</v>
          </cell>
          <cell r="O680" t="str">
            <v>Essex</v>
          </cell>
          <cell r="P680" t="str">
            <v>West</v>
          </cell>
        </row>
        <row r="681">
          <cell r="C681" t="str">
            <v>Active Mould &amp; Design Limited</v>
          </cell>
          <cell r="D681" t="str">
            <v>Alectra Utilities Corporation</v>
          </cell>
          <cell r="E681" t="str">
            <v>CO</v>
          </cell>
          <cell r="F681">
            <v>41841</v>
          </cell>
          <cell r="G681">
            <v>41886</v>
          </cell>
          <cell r="H681">
            <v>49190</v>
          </cell>
          <cell r="I681" t="str">
            <v>19 years, 11 months, 30 days</v>
          </cell>
          <cell r="J681" t="str">
            <v>Renewables</v>
          </cell>
          <cell r="K681" t="str">
            <v>Solar (Rooftop)</v>
          </cell>
          <cell r="L681" t="str">
            <v>Solar</v>
          </cell>
          <cell r="M681" t="str">
            <v>Dx</v>
          </cell>
          <cell r="N681" t="str">
            <v>Windsor</v>
          </cell>
          <cell r="O681" t="str">
            <v>Essex</v>
          </cell>
          <cell r="P681" t="str">
            <v>West</v>
          </cell>
        </row>
        <row r="682">
          <cell r="C682" t="str">
            <v>200 First Gulf Blvd</v>
          </cell>
          <cell r="D682" t="str">
            <v>1162117 Ontario Limited</v>
          </cell>
          <cell r="E682" t="str">
            <v>CO</v>
          </cell>
          <cell r="F682">
            <v>41834</v>
          </cell>
          <cell r="G682">
            <v>41600</v>
          </cell>
          <cell r="H682">
            <v>48904</v>
          </cell>
          <cell r="I682" t="str">
            <v>19 years, 11 months, 30 days</v>
          </cell>
          <cell r="J682" t="str">
            <v>Renewables</v>
          </cell>
          <cell r="K682" t="str">
            <v>Solar (Rooftop)</v>
          </cell>
          <cell r="L682" t="str">
            <v>Solar</v>
          </cell>
          <cell r="M682" t="str">
            <v>Dx</v>
          </cell>
          <cell r="N682" t="str">
            <v>Brampton</v>
          </cell>
          <cell r="O682" t="str">
            <v>Peel</v>
          </cell>
          <cell r="P682" t="str">
            <v>Toronto</v>
          </cell>
        </row>
        <row r="683">
          <cell r="C683" t="str">
            <v>400 Eddystone</v>
          </cell>
          <cell r="D683" t="str">
            <v>2323953 Ontario Inc.</v>
          </cell>
          <cell r="E683" t="str">
            <v>CO</v>
          </cell>
          <cell r="F683">
            <v>41912</v>
          </cell>
          <cell r="G683">
            <v>41499</v>
          </cell>
          <cell r="H683">
            <v>48803</v>
          </cell>
          <cell r="I683" t="str">
            <v>19 years, 11 months, 30 days</v>
          </cell>
          <cell r="J683" t="str">
            <v>Renewables</v>
          </cell>
          <cell r="K683" t="str">
            <v>Solar (Rooftop)</v>
          </cell>
          <cell r="L683" t="str">
            <v>Solar</v>
          </cell>
          <cell r="M683" t="str">
            <v>Dx</v>
          </cell>
          <cell r="N683" t="str">
            <v>Toronto</v>
          </cell>
          <cell r="O683" t="str">
            <v>Toronto</v>
          </cell>
          <cell r="P683" t="str">
            <v>Toronto</v>
          </cell>
        </row>
        <row r="684">
          <cell r="C684" t="str">
            <v>(C3) Real Canadian Superstore Taunton Road West</v>
          </cell>
          <cell r="D684" t="str">
            <v>Northland Power Rooftop Solar I Partnership</v>
          </cell>
          <cell r="E684" t="str">
            <v>CO</v>
          </cell>
          <cell r="F684">
            <v>41029</v>
          </cell>
          <cell r="G684">
            <v>40802</v>
          </cell>
          <cell r="H684">
            <v>48106</v>
          </cell>
          <cell r="I684" t="str">
            <v>19 years, 11 months, 30 days</v>
          </cell>
          <cell r="J684" t="str">
            <v>Renewables</v>
          </cell>
          <cell r="K684" t="str">
            <v>Solar (Rooftop)</v>
          </cell>
          <cell r="L684" t="str">
            <v>Solar</v>
          </cell>
          <cell r="M684" t="str">
            <v>Dx</v>
          </cell>
          <cell r="N684" t="str">
            <v>Whitby</v>
          </cell>
          <cell r="O684" t="str">
            <v>Durham</v>
          </cell>
          <cell r="P684" t="str">
            <v>Toronto</v>
          </cell>
        </row>
        <row r="685">
          <cell r="C685" t="str">
            <v>O02-55 McCurdy</v>
          </cell>
          <cell r="D685" t="str">
            <v>PSI Solar Finance 1 Limited Partnership</v>
          </cell>
          <cell r="E685" t="str">
            <v>CO</v>
          </cell>
          <cell r="F685">
            <v>41832</v>
          </cell>
          <cell r="G685">
            <v>41808</v>
          </cell>
          <cell r="H685">
            <v>49112</v>
          </cell>
          <cell r="I685" t="str">
            <v>19 years, 11 months, 30 days</v>
          </cell>
          <cell r="J685" t="str">
            <v>Renewables</v>
          </cell>
          <cell r="K685" t="str">
            <v>Solar (Rooftop)</v>
          </cell>
          <cell r="L685" t="str">
            <v>Solar</v>
          </cell>
          <cell r="M685" t="str">
            <v>Dx</v>
          </cell>
          <cell r="N685" t="str">
            <v>Ottawa</v>
          </cell>
          <cell r="O685" t="str">
            <v>Ottawa</v>
          </cell>
          <cell r="P685" t="str">
            <v>Ottawa</v>
          </cell>
        </row>
        <row r="686">
          <cell r="C686" t="str">
            <v>15790 Robins Hill</v>
          </cell>
          <cell r="D686" t="str">
            <v>Altitude Canada Corp.</v>
          </cell>
          <cell r="E686" t="str">
            <v>CO</v>
          </cell>
          <cell r="F686">
            <v>41849</v>
          </cell>
          <cell r="G686">
            <v>41849</v>
          </cell>
          <cell r="H686">
            <v>49153</v>
          </cell>
          <cell r="I686" t="str">
            <v>19 years, 11 months, 29 days</v>
          </cell>
          <cell r="J686" t="str">
            <v>Renewables</v>
          </cell>
          <cell r="K686" t="str">
            <v>Solar (Rooftop)</v>
          </cell>
          <cell r="L686" t="str">
            <v>Solar</v>
          </cell>
          <cell r="M686" t="str">
            <v>Dx</v>
          </cell>
          <cell r="N686" t="str">
            <v>London</v>
          </cell>
          <cell r="O686" t="str">
            <v>Middlesex</v>
          </cell>
          <cell r="P686" t="str">
            <v>West</v>
          </cell>
        </row>
        <row r="687">
          <cell r="C687" t="str">
            <v>T04-110 Guided</v>
          </cell>
          <cell r="D687" t="str">
            <v>Aumma Investments Inc.</v>
          </cell>
          <cell r="E687" t="str">
            <v>CO</v>
          </cell>
          <cell r="F687">
            <v>41716</v>
          </cell>
          <cell r="G687">
            <v>41943</v>
          </cell>
          <cell r="H687">
            <v>49020</v>
          </cell>
          <cell r="I687" t="str">
            <v>19 years, 4 months, 14 days</v>
          </cell>
          <cell r="J687" t="str">
            <v>Renewables</v>
          </cell>
          <cell r="K687" t="str">
            <v>Solar (Rooftop)</v>
          </cell>
          <cell r="L687" t="str">
            <v>Solar</v>
          </cell>
          <cell r="M687" t="str">
            <v>Dx</v>
          </cell>
          <cell r="N687" t="str">
            <v>Toronto</v>
          </cell>
          <cell r="O687" t="str">
            <v>Toronto</v>
          </cell>
          <cell r="P687" t="str">
            <v>Toronto</v>
          </cell>
        </row>
        <row r="688">
          <cell r="C688" t="str">
            <v>A01-170 Steelwell</v>
          </cell>
          <cell r="D688" t="str">
            <v>MOM V Limited Partnership</v>
          </cell>
          <cell r="E688" t="str">
            <v>CO</v>
          </cell>
          <cell r="F688">
            <v>41833</v>
          </cell>
          <cell r="G688">
            <v>41978</v>
          </cell>
          <cell r="H688">
            <v>49282</v>
          </cell>
          <cell r="I688" t="str">
            <v>19 years, 11 months, 29 days</v>
          </cell>
          <cell r="J688" t="str">
            <v>Renewables</v>
          </cell>
          <cell r="K688" t="str">
            <v>Solar (Rooftop)</v>
          </cell>
          <cell r="L688" t="str">
            <v>Solar</v>
          </cell>
          <cell r="M688" t="str">
            <v>Dx</v>
          </cell>
          <cell r="N688" t="str">
            <v>Brampton</v>
          </cell>
          <cell r="O688" t="str">
            <v>Peel</v>
          </cell>
          <cell r="P688" t="str">
            <v>Toronto</v>
          </cell>
        </row>
        <row r="689">
          <cell r="C689" t="str">
            <v>1484 Centennial Drive</v>
          </cell>
          <cell r="D689" t="str">
            <v>Grand River Energy Solutions Corp.</v>
          </cell>
          <cell r="E689" t="str">
            <v>CO</v>
          </cell>
          <cell r="F689">
            <v>41820</v>
          </cell>
          <cell r="G689">
            <v>41786</v>
          </cell>
          <cell r="H689">
            <v>49090</v>
          </cell>
          <cell r="I689" t="str">
            <v>19 years, 11 months, 29 days</v>
          </cell>
          <cell r="J689" t="str">
            <v>Renewables</v>
          </cell>
          <cell r="K689" t="str">
            <v>Solar (Rooftop)</v>
          </cell>
          <cell r="L689" t="str">
            <v>Solar</v>
          </cell>
          <cell r="M689" t="str">
            <v>Dx</v>
          </cell>
          <cell r="N689" t="str">
            <v>Kingston</v>
          </cell>
          <cell r="O689" t="str">
            <v>Frontenac</v>
          </cell>
          <cell r="P689" t="str">
            <v>East</v>
          </cell>
        </row>
        <row r="690">
          <cell r="C690" t="str">
            <v>P05-109 Summerlea</v>
          </cell>
          <cell r="D690" t="str">
            <v>Sky Solar (Canada) FIT 1 Limited Partnership</v>
          </cell>
          <cell r="E690" t="str">
            <v>CO</v>
          </cell>
          <cell r="F690">
            <v>41849</v>
          </cell>
          <cell r="G690">
            <v>41992</v>
          </cell>
          <cell r="H690">
            <v>49296</v>
          </cell>
          <cell r="I690" t="str">
            <v>19 years, 11 months, 29 days</v>
          </cell>
          <cell r="J690" t="str">
            <v>Renewables</v>
          </cell>
          <cell r="K690" t="str">
            <v>Solar (Rooftop)</v>
          </cell>
          <cell r="L690" t="str">
            <v>Solar</v>
          </cell>
          <cell r="M690" t="str">
            <v>Dx</v>
          </cell>
          <cell r="N690" t="str">
            <v>Brampton</v>
          </cell>
          <cell r="O690" t="str">
            <v>Peel</v>
          </cell>
          <cell r="P690" t="str">
            <v>Toronto</v>
          </cell>
        </row>
        <row r="691">
          <cell r="C691" t="str">
            <v>Kingston Gardiner Hwy2 North</v>
          </cell>
          <cell r="D691" t="str">
            <v>SunE Westbrook LP</v>
          </cell>
          <cell r="E691" t="str">
            <v>CO</v>
          </cell>
          <cell r="F691">
            <v>41390</v>
          </cell>
          <cell r="G691">
            <v>41842</v>
          </cell>
          <cell r="H691">
            <v>49146</v>
          </cell>
          <cell r="I691" t="str">
            <v>19 years, 11 months, 29 days</v>
          </cell>
          <cell r="J691" t="str">
            <v>Renewables</v>
          </cell>
          <cell r="K691" t="str">
            <v>Solar (Ground Mounted)</v>
          </cell>
          <cell r="L691" t="str">
            <v>Solar</v>
          </cell>
          <cell r="M691" t="str">
            <v>Dx</v>
          </cell>
          <cell r="N691" t="str">
            <v>Kingston</v>
          </cell>
          <cell r="O691" t="str">
            <v>Frontenac</v>
          </cell>
          <cell r="P691" t="str">
            <v>East</v>
          </cell>
        </row>
        <row r="692">
          <cell r="C692" t="str">
            <v>H06-49 FIRST GULF</v>
          </cell>
          <cell r="D692" t="str">
            <v>PSI Solar Finance 1 Limited Partnership</v>
          </cell>
          <cell r="E692" t="str">
            <v>CO</v>
          </cell>
          <cell r="F692">
            <v>41727</v>
          </cell>
          <cell r="G692">
            <v>41879</v>
          </cell>
          <cell r="H692">
            <v>49183</v>
          </cell>
          <cell r="I692" t="str">
            <v>19 years, 11 months, 30 days</v>
          </cell>
          <cell r="J692" t="str">
            <v>Renewables</v>
          </cell>
          <cell r="K692" t="str">
            <v>Solar (Rooftop)</v>
          </cell>
          <cell r="L692" t="str">
            <v>Solar</v>
          </cell>
          <cell r="M692" t="str">
            <v>Dx</v>
          </cell>
          <cell r="N692" t="str">
            <v>Brampton</v>
          </cell>
          <cell r="O692" t="str">
            <v>Peel</v>
          </cell>
          <cell r="P692" t="str">
            <v>Toronto</v>
          </cell>
        </row>
        <row r="693">
          <cell r="C693" t="str">
            <v>C08-1190 Birchmount</v>
          </cell>
          <cell r="D693" t="str">
            <v>Sky Solar (Canada) FIT 1 Limited Partnership</v>
          </cell>
          <cell r="E693" t="str">
            <v>CO</v>
          </cell>
          <cell r="F693">
            <v>41734</v>
          </cell>
          <cell r="G693">
            <v>41887</v>
          </cell>
          <cell r="H693">
            <v>49191</v>
          </cell>
          <cell r="I693" t="str">
            <v>19 years, 11 months, 30 days</v>
          </cell>
          <cell r="J693" t="str">
            <v>Renewables</v>
          </cell>
          <cell r="K693" t="str">
            <v>Solar (Rooftop)</v>
          </cell>
          <cell r="L693" t="str">
            <v>Solar</v>
          </cell>
          <cell r="M693" t="str">
            <v>Dx</v>
          </cell>
          <cell r="N693" t="str">
            <v>Toronto</v>
          </cell>
          <cell r="O693" t="str">
            <v>Toronto</v>
          </cell>
          <cell r="P693" t="str">
            <v>Toronto</v>
          </cell>
        </row>
        <row r="694">
          <cell r="C694" t="str">
            <v>Glenarm</v>
          </cell>
          <cell r="D694" t="str">
            <v>CSI Glenarm LP</v>
          </cell>
          <cell r="E694" t="str">
            <v>CO</v>
          </cell>
          <cell r="F694">
            <v>41747</v>
          </cell>
          <cell r="G694">
            <v>41946</v>
          </cell>
          <cell r="H694">
            <v>49250</v>
          </cell>
          <cell r="I694" t="str">
            <v>19 years, 11 months, 30 days</v>
          </cell>
          <cell r="J694" t="str">
            <v>Renewables</v>
          </cell>
          <cell r="K694" t="str">
            <v>Solar (Ground Mounted)</v>
          </cell>
          <cell r="L694" t="str">
            <v>Solar</v>
          </cell>
          <cell r="M694" t="str">
            <v>Dx</v>
          </cell>
          <cell r="N694" t="str">
            <v>Woodville</v>
          </cell>
          <cell r="O694" t="str">
            <v>Kawartha Lakes</v>
          </cell>
          <cell r="P694" t="str">
            <v>Essa</v>
          </cell>
        </row>
        <row r="695">
          <cell r="C695" t="str">
            <v>Balsam Lake Green Energy Solar Farm</v>
          </cell>
          <cell r="D695" t="str">
            <v>Balsam Lake Limited Partnership</v>
          </cell>
          <cell r="E695" t="str">
            <v>CO</v>
          </cell>
          <cell r="F695">
            <v>41695</v>
          </cell>
          <cell r="G695">
            <v>42139</v>
          </cell>
          <cell r="H695">
            <v>49443</v>
          </cell>
          <cell r="I695" t="str">
            <v>19 years, 11 months, 29 days</v>
          </cell>
          <cell r="J695" t="str">
            <v>Renewables</v>
          </cell>
          <cell r="K695" t="str">
            <v>Solar (Ground Mounted)</v>
          </cell>
          <cell r="L695" t="str">
            <v>Solar</v>
          </cell>
          <cell r="M695" t="str">
            <v>Dx</v>
          </cell>
          <cell r="N695" t="str">
            <v>Coboconk</v>
          </cell>
          <cell r="O695" t="str">
            <v>Kawartha Lakes</v>
          </cell>
          <cell r="P695" t="str">
            <v>Essa</v>
          </cell>
        </row>
        <row r="696">
          <cell r="C696" t="str">
            <v>Quadrad Manufacturing</v>
          </cell>
          <cell r="D696" t="str">
            <v>Linamar Corporation</v>
          </cell>
          <cell r="E696" t="str">
            <v>CO</v>
          </cell>
          <cell r="F696">
            <v>41029</v>
          </cell>
          <cell r="G696">
            <v>41183</v>
          </cell>
          <cell r="H696">
            <v>48487</v>
          </cell>
          <cell r="I696" t="str">
            <v>19 years, 11 months, 29 days</v>
          </cell>
          <cell r="J696" t="str">
            <v>Renewables</v>
          </cell>
          <cell r="K696" t="str">
            <v>Solar (Rooftop)</v>
          </cell>
          <cell r="L696" t="str">
            <v>Solar</v>
          </cell>
          <cell r="M696" t="str">
            <v>Dx</v>
          </cell>
          <cell r="N696" t="str">
            <v>Guelph</v>
          </cell>
          <cell r="O696" t="str">
            <v>Wellington</v>
          </cell>
          <cell r="P696" t="str">
            <v>Southwest</v>
          </cell>
        </row>
        <row r="697">
          <cell r="C697" t="str">
            <v>RE Smiths Falls 1</v>
          </cell>
          <cell r="D697" t="str">
            <v>Aurora Smiths Falls 1 Limited Partnership</v>
          </cell>
          <cell r="E697" t="str">
            <v>CO</v>
          </cell>
          <cell r="F697">
            <v>41475</v>
          </cell>
          <cell r="G697">
            <v>41726</v>
          </cell>
          <cell r="H697">
            <v>49030</v>
          </cell>
          <cell r="I697" t="str">
            <v>19 years, 11 months, 27 days</v>
          </cell>
          <cell r="J697" t="str">
            <v>Renewables</v>
          </cell>
          <cell r="K697" t="str">
            <v>Solar (Ground Mounted)</v>
          </cell>
          <cell r="L697" t="str">
            <v>Solar</v>
          </cell>
          <cell r="M697" t="str">
            <v>Dx</v>
          </cell>
          <cell r="N697" t="str">
            <v>Smiths Falls</v>
          </cell>
          <cell r="O697" t="str">
            <v>Lanark</v>
          </cell>
          <cell r="P697" t="str">
            <v>East</v>
          </cell>
        </row>
        <row r="698">
          <cell r="C698" t="str">
            <v>GEDSB Bellview</v>
          </cell>
          <cell r="D698" t="str">
            <v>Ameresco GEDSB Solar Inc.</v>
          </cell>
          <cell r="E698" t="str">
            <v>CO</v>
          </cell>
          <cell r="F698">
            <v>41029</v>
          </cell>
          <cell r="G698">
            <v>40857</v>
          </cell>
          <cell r="H698">
            <v>48161</v>
          </cell>
          <cell r="I698" t="str">
            <v>19 years, 11 months, 30 days</v>
          </cell>
          <cell r="J698" t="str">
            <v>Renewables</v>
          </cell>
          <cell r="K698" t="str">
            <v>Solar (Rooftop)</v>
          </cell>
          <cell r="L698" t="str">
            <v>Solar</v>
          </cell>
          <cell r="M698" t="str">
            <v>Dx</v>
          </cell>
          <cell r="N698" t="str">
            <v>Brantford</v>
          </cell>
          <cell r="O698" t="str">
            <v>Brant</v>
          </cell>
          <cell r="P698" t="str">
            <v>Southwest</v>
          </cell>
        </row>
        <row r="699">
          <cell r="C699" t="str">
            <v>640 Conrad Place</v>
          </cell>
          <cell r="D699" t="str">
            <v>TFH K-W Properties Inc.</v>
          </cell>
          <cell r="E699" t="str">
            <v>CO</v>
          </cell>
          <cell r="F699">
            <v>41489</v>
          </cell>
          <cell r="G699">
            <v>41148</v>
          </cell>
          <cell r="H699">
            <v>48452</v>
          </cell>
          <cell r="I699" t="str">
            <v>19 years, 11 months, 30 days</v>
          </cell>
          <cell r="J699" t="str">
            <v>Renewables</v>
          </cell>
          <cell r="K699" t="str">
            <v>Solar (Rooftop)</v>
          </cell>
          <cell r="L699" t="str">
            <v>Solar</v>
          </cell>
          <cell r="M699" t="str">
            <v>Dx</v>
          </cell>
          <cell r="N699" t="str">
            <v>Waterloo</v>
          </cell>
          <cell r="O699" t="str">
            <v>Waterloo</v>
          </cell>
          <cell r="P699" t="str">
            <v>Southwest</v>
          </cell>
        </row>
        <row r="700">
          <cell r="C700" t="str">
            <v>H06-1201 CASTLEMORE</v>
          </cell>
          <cell r="D700" t="str">
            <v>MOM Solar Limited Partnership</v>
          </cell>
          <cell r="E700" t="str">
            <v>CO</v>
          </cell>
          <cell r="F700">
            <v>41029</v>
          </cell>
          <cell r="G700">
            <v>41207</v>
          </cell>
          <cell r="H700">
            <v>48511</v>
          </cell>
          <cell r="I700" t="str">
            <v>19 years, 11 months, 29 days</v>
          </cell>
          <cell r="J700" t="str">
            <v>Renewables</v>
          </cell>
          <cell r="K700" t="str">
            <v>Solar (Rooftop)</v>
          </cell>
          <cell r="L700" t="str">
            <v>Solar</v>
          </cell>
          <cell r="M700" t="str">
            <v>Dx</v>
          </cell>
          <cell r="N700" t="str">
            <v>Markham</v>
          </cell>
          <cell r="O700" t="str">
            <v>York</v>
          </cell>
          <cell r="P700" t="str">
            <v>Toronto</v>
          </cell>
        </row>
        <row r="701">
          <cell r="C701" t="str">
            <v>RE Orillia 1</v>
          </cell>
          <cell r="D701" t="str">
            <v>Met Axium Solar Orillia 1 L.P.</v>
          </cell>
          <cell r="E701" t="str">
            <v>CO</v>
          </cell>
          <cell r="F701">
            <v>41378</v>
          </cell>
          <cell r="G701">
            <v>41697</v>
          </cell>
          <cell r="H701">
            <v>49001</v>
          </cell>
          <cell r="I701" t="str">
            <v>19 years, 11 months, 30 days</v>
          </cell>
          <cell r="J701" t="str">
            <v>Renewables</v>
          </cell>
          <cell r="K701" t="str">
            <v>Solar (Ground Mounted)</v>
          </cell>
          <cell r="L701" t="str">
            <v>Solar</v>
          </cell>
          <cell r="M701" t="str">
            <v>Dx</v>
          </cell>
          <cell r="N701" t="str">
            <v>Hawkestone</v>
          </cell>
          <cell r="O701" t="str">
            <v>Simcoe</v>
          </cell>
          <cell r="P701" t="str">
            <v>Essa</v>
          </cell>
        </row>
        <row r="702">
          <cell r="C702" t="str">
            <v>Dubwear's Tranmere Dr FIT</v>
          </cell>
          <cell r="D702" t="str">
            <v>Dubwear Inc</v>
          </cell>
          <cell r="E702" t="str">
            <v>CO</v>
          </cell>
          <cell r="F702">
            <v>41029</v>
          </cell>
          <cell r="G702">
            <v>40870</v>
          </cell>
          <cell r="H702">
            <v>48174</v>
          </cell>
          <cell r="I702" t="str">
            <v>19 years, 11 months, 30 days</v>
          </cell>
          <cell r="J702" t="str">
            <v>Renewables</v>
          </cell>
          <cell r="K702" t="str">
            <v>Solar (Rooftop)</v>
          </cell>
          <cell r="L702" t="str">
            <v>Solar</v>
          </cell>
          <cell r="M702" t="str">
            <v>Dx</v>
          </cell>
          <cell r="N702" t="str">
            <v>Mississauga</v>
          </cell>
          <cell r="O702" t="str">
            <v>Peel</v>
          </cell>
          <cell r="P702" t="str">
            <v>Toronto</v>
          </cell>
        </row>
        <row r="703">
          <cell r="C703" t="str">
            <v>P05-1195 Clark</v>
          </cell>
          <cell r="D703" t="str">
            <v>Sky Solar (Canada) FIT 1 Limited Partnership</v>
          </cell>
          <cell r="E703" t="str">
            <v>CO</v>
          </cell>
          <cell r="F703">
            <v>41910</v>
          </cell>
          <cell r="G703">
            <v>41992</v>
          </cell>
          <cell r="H703">
            <v>49296</v>
          </cell>
          <cell r="I703" t="str">
            <v>19 years, 11 months, 29 days</v>
          </cell>
          <cell r="J703" t="str">
            <v>Renewables</v>
          </cell>
          <cell r="K703" t="str">
            <v>Solar (Rooftop)</v>
          </cell>
          <cell r="L703" t="str">
            <v>Solar</v>
          </cell>
          <cell r="M703" t="str">
            <v>Dx</v>
          </cell>
          <cell r="N703" t="str">
            <v>Brampton</v>
          </cell>
          <cell r="O703" t="str">
            <v>Peel</v>
          </cell>
          <cell r="P703" t="str">
            <v>Toronto</v>
          </cell>
        </row>
        <row r="704">
          <cell r="C704" t="str">
            <v>(C61) Loblaws Dundas Street West</v>
          </cell>
          <cell r="D704" t="str">
            <v>Firelight Solar LP</v>
          </cell>
          <cell r="E704" t="str">
            <v>CO</v>
          </cell>
          <cell r="F704">
            <v>41735</v>
          </cell>
          <cell r="G704">
            <v>41737</v>
          </cell>
          <cell r="H704">
            <v>49041</v>
          </cell>
          <cell r="I704" t="str">
            <v>19 years, 11 months, 30 days</v>
          </cell>
          <cell r="J704" t="str">
            <v>Renewables</v>
          </cell>
          <cell r="K704" t="str">
            <v>Solar (Rooftop)</v>
          </cell>
          <cell r="L704" t="str">
            <v>Solar</v>
          </cell>
          <cell r="M704" t="str">
            <v>Dx</v>
          </cell>
          <cell r="N704" t="str">
            <v>Toronto</v>
          </cell>
          <cell r="O704" t="str">
            <v>Toronto</v>
          </cell>
          <cell r="P704" t="str">
            <v>Toronto</v>
          </cell>
        </row>
        <row r="705">
          <cell r="C705" t="str">
            <v>Coliseum East Annex Solar PV Project</v>
          </cell>
          <cell r="D705" t="str">
            <v>Exhibition Place Board of Governors</v>
          </cell>
          <cell r="E705" t="str">
            <v>CO</v>
          </cell>
          <cell r="F705">
            <v>41825</v>
          </cell>
          <cell r="G705">
            <v>41116</v>
          </cell>
          <cell r="H705">
            <v>48420</v>
          </cell>
          <cell r="I705" t="str">
            <v>19 years, 11 months, 29 days</v>
          </cell>
          <cell r="J705" t="str">
            <v>Renewables</v>
          </cell>
          <cell r="K705" t="str">
            <v>Solar (Rooftop)</v>
          </cell>
          <cell r="L705" t="str">
            <v>Solar</v>
          </cell>
          <cell r="M705" t="str">
            <v>Dx</v>
          </cell>
          <cell r="N705" t="str">
            <v>Toronto</v>
          </cell>
          <cell r="O705" t="str">
            <v>Toronto</v>
          </cell>
          <cell r="P705" t="str">
            <v>Toronto</v>
          </cell>
        </row>
        <row r="706">
          <cell r="C706" t="str">
            <v>VKW</v>
          </cell>
          <cell r="D706" t="str">
            <v>Manfred&amp;Inge Gerstgrasser</v>
          </cell>
          <cell r="E706" t="str">
            <v>CO</v>
          </cell>
          <cell r="F706">
            <v>41029</v>
          </cell>
          <cell r="G706">
            <v>40800</v>
          </cell>
          <cell r="H706">
            <v>48104</v>
          </cell>
          <cell r="I706" t="str">
            <v>19 years, 11 months, 30 days</v>
          </cell>
          <cell r="J706" t="str">
            <v>Renewables</v>
          </cell>
          <cell r="K706" t="str">
            <v>Solar (Rooftop)</v>
          </cell>
          <cell r="L706" t="str">
            <v>Solar</v>
          </cell>
          <cell r="M706" t="str">
            <v>Dx</v>
          </cell>
          <cell r="N706" t="str">
            <v>Casselman</v>
          </cell>
          <cell r="O706" t="str">
            <v>Prescott and Russell</v>
          </cell>
          <cell r="P706" t="str">
            <v>Ottawa</v>
          </cell>
        </row>
        <row r="707">
          <cell r="C707" t="str">
            <v>T04-120 Wicksteed</v>
          </cell>
          <cell r="D707" t="str">
            <v>Alectra Utilities Corporation</v>
          </cell>
          <cell r="E707" t="str">
            <v>CO</v>
          </cell>
          <cell r="F707">
            <v>41729</v>
          </cell>
          <cell r="G707">
            <v>41821</v>
          </cell>
          <cell r="H707">
            <v>49125</v>
          </cell>
          <cell r="I707" t="str">
            <v>19 years, 11 months, 29 days</v>
          </cell>
          <cell r="J707" t="str">
            <v>Renewables</v>
          </cell>
          <cell r="K707" t="str">
            <v>Solar (Rooftop)</v>
          </cell>
          <cell r="L707" t="str">
            <v>Solar</v>
          </cell>
          <cell r="M707" t="str">
            <v>Dx</v>
          </cell>
          <cell r="N707" t="str">
            <v>Toronto</v>
          </cell>
          <cell r="O707" t="str">
            <v>Toronto</v>
          </cell>
          <cell r="P707" t="str">
            <v>Toronto</v>
          </cell>
        </row>
        <row r="708">
          <cell r="C708" t="str">
            <v>Judricks Enterprises Limited</v>
          </cell>
          <cell r="D708" t="str">
            <v>OYA Energy Fund LP</v>
          </cell>
          <cell r="E708" t="str">
            <v>CO</v>
          </cell>
          <cell r="F708">
            <v>41352</v>
          </cell>
          <cell r="G708">
            <v>41263</v>
          </cell>
          <cell r="H708">
            <v>48567</v>
          </cell>
          <cell r="I708" t="str">
            <v>19 years, 11 months, 29 days</v>
          </cell>
          <cell r="J708" t="str">
            <v>Renewables</v>
          </cell>
          <cell r="K708" t="str">
            <v>Solar (Rooftop)</v>
          </cell>
          <cell r="L708" t="str">
            <v>Solar</v>
          </cell>
          <cell r="M708" t="str">
            <v>Dx</v>
          </cell>
          <cell r="N708" t="str">
            <v>Windsor</v>
          </cell>
          <cell r="O708" t="str">
            <v>Essex</v>
          </cell>
          <cell r="P708" t="str">
            <v>West</v>
          </cell>
        </row>
        <row r="709">
          <cell r="C709" t="str">
            <v>(F53) Your Independent Grocer Regional Road 24</v>
          </cell>
          <cell r="D709" t="str">
            <v>Firelight Solar LP</v>
          </cell>
          <cell r="E709" t="str">
            <v>CO</v>
          </cell>
          <cell r="F709">
            <v>41736</v>
          </cell>
          <cell r="G709">
            <v>41858</v>
          </cell>
          <cell r="H709">
            <v>49162</v>
          </cell>
          <cell r="I709" t="str">
            <v>19 years, 11 months, 30 days</v>
          </cell>
          <cell r="J709" t="str">
            <v>Renewables</v>
          </cell>
          <cell r="K709" t="str">
            <v>Solar (Rooftop)</v>
          </cell>
          <cell r="L709" t="str">
            <v>Solar</v>
          </cell>
          <cell r="M709" t="str">
            <v>Dx</v>
          </cell>
          <cell r="N709" t="str">
            <v>Lively</v>
          </cell>
          <cell r="O709" t="str">
            <v>Greater Sudbury</v>
          </cell>
          <cell r="P709" t="str">
            <v>Northeast</v>
          </cell>
        </row>
        <row r="710">
          <cell r="C710" t="str">
            <v>Cramahe Business Park</v>
          </cell>
          <cell r="D710" t="str">
            <v>Skyline Clean Energy Holdings (II) Inc.</v>
          </cell>
          <cell r="E710" t="str">
            <v>CO</v>
          </cell>
          <cell r="F710">
            <v>41832</v>
          </cell>
          <cell r="G710">
            <v>41830</v>
          </cell>
          <cell r="H710">
            <v>49134</v>
          </cell>
          <cell r="I710" t="str">
            <v>19 years, 11 months, 29 days</v>
          </cell>
          <cell r="J710" t="str">
            <v>Renewables</v>
          </cell>
          <cell r="K710" t="str">
            <v>Solar (Rooftop)</v>
          </cell>
          <cell r="L710" t="str">
            <v>Solar</v>
          </cell>
          <cell r="M710" t="str">
            <v>Dx</v>
          </cell>
          <cell r="N710" t="str">
            <v>Colborne</v>
          </cell>
          <cell r="O710" t="str">
            <v>Northumberland</v>
          </cell>
          <cell r="P710" t="str">
            <v>East</v>
          </cell>
        </row>
        <row r="711">
          <cell r="C711" t="str">
            <v>H06-3300 S SERVICE</v>
          </cell>
          <cell r="D711" t="str">
            <v>PSI Solar Finance 1 Limited Partnership</v>
          </cell>
          <cell r="E711" t="str">
            <v>CO</v>
          </cell>
          <cell r="F711">
            <v>41727</v>
          </cell>
          <cell r="G711">
            <v>41842</v>
          </cell>
          <cell r="H711">
            <v>49146</v>
          </cell>
          <cell r="I711" t="str">
            <v>19 years, 11 months, 29 days</v>
          </cell>
          <cell r="J711" t="str">
            <v>Renewables</v>
          </cell>
          <cell r="K711" t="str">
            <v>Solar (Rooftop)</v>
          </cell>
          <cell r="L711" t="str">
            <v>Solar</v>
          </cell>
          <cell r="M711" t="str">
            <v>Dx</v>
          </cell>
          <cell r="N711" t="str">
            <v>Oakville</v>
          </cell>
          <cell r="O711" t="str">
            <v>Halton</v>
          </cell>
          <cell r="P711" t="str">
            <v>Southwest</v>
          </cell>
        </row>
        <row r="712">
          <cell r="C712" t="str">
            <v>Earth Rangers Parking Lot Solar</v>
          </cell>
          <cell r="D712" t="str">
            <v>The Earth Rangers Foundation</v>
          </cell>
          <cell r="E712" t="str">
            <v>CO</v>
          </cell>
          <cell r="F712">
            <v>40663</v>
          </cell>
          <cell r="G712">
            <v>40627</v>
          </cell>
          <cell r="H712">
            <v>47931</v>
          </cell>
          <cell r="I712" t="str">
            <v>19 years, 11 months, 27 days</v>
          </cell>
          <cell r="J712" t="str">
            <v>Renewables</v>
          </cell>
          <cell r="K712" t="str">
            <v>Solar (Ground Mounted)</v>
          </cell>
          <cell r="L712" t="str">
            <v>Solar</v>
          </cell>
          <cell r="M712" t="str">
            <v>Dx</v>
          </cell>
          <cell r="N712" t="str">
            <v>Woodbridge</v>
          </cell>
          <cell r="O712" t="str">
            <v>York</v>
          </cell>
          <cell r="P712" t="str">
            <v>Toronto</v>
          </cell>
        </row>
        <row r="713">
          <cell r="C713" t="str">
            <v>Featherhaven Farm 1</v>
          </cell>
          <cell r="D713" t="str">
            <v>Featherhaven Farms Ltd.</v>
          </cell>
          <cell r="E713" t="str">
            <v>CO</v>
          </cell>
          <cell r="F713">
            <v>41804</v>
          </cell>
          <cell r="G713">
            <v>41199</v>
          </cell>
          <cell r="H713">
            <v>48503</v>
          </cell>
          <cell r="I713" t="str">
            <v>19 years, 11 months, 29 days</v>
          </cell>
          <cell r="J713" t="str">
            <v>Renewables</v>
          </cell>
          <cell r="K713" t="str">
            <v>Solar (Rooftop)</v>
          </cell>
          <cell r="L713" t="str">
            <v>Solar</v>
          </cell>
          <cell r="M713" t="str">
            <v>Dx</v>
          </cell>
          <cell r="N713" t="str">
            <v>Petrolia</v>
          </cell>
          <cell r="O713" t="str">
            <v>Lambton</v>
          </cell>
          <cell r="P713" t="str">
            <v>West</v>
          </cell>
        </row>
        <row r="714">
          <cell r="C714" t="str">
            <v>Ronda Holdings</v>
          </cell>
          <cell r="D714" t="str">
            <v>Alectra Utilities Corporation</v>
          </cell>
          <cell r="E714" t="str">
            <v>CO</v>
          </cell>
          <cell r="F714">
            <v>41841</v>
          </cell>
          <cell r="G714">
            <v>41739</v>
          </cell>
          <cell r="H714">
            <v>49043</v>
          </cell>
          <cell r="I714" t="str">
            <v>19 years, 11 months, 30 days</v>
          </cell>
          <cell r="J714" t="str">
            <v>Renewables</v>
          </cell>
          <cell r="K714" t="str">
            <v>Solar (Rooftop)</v>
          </cell>
          <cell r="L714" t="str">
            <v>Solar</v>
          </cell>
          <cell r="M714" t="str">
            <v>Dx</v>
          </cell>
          <cell r="N714" t="str">
            <v>Windsor</v>
          </cell>
          <cell r="O714" t="str">
            <v>Essex</v>
          </cell>
          <cell r="P714" t="str">
            <v>West</v>
          </cell>
        </row>
        <row r="715">
          <cell r="C715" t="str">
            <v>Willem or Geert Aalbers</v>
          </cell>
          <cell r="D715" t="str">
            <v>Willem and Geert Aalbers</v>
          </cell>
          <cell r="E715" t="str">
            <v>CO</v>
          </cell>
          <cell r="F715">
            <v>41841</v>
          </cell>
          <cell r="G715">
            <v>41310</v>
          </cell>
          <cell r="H715">
            <v>48614</v>
          </cell>
          <cell r="I715" t="str">
            <v>19 years, 11 months, 30 days</v>
          </cell>
          <cell r="J715" t="str">
            <v>Renewables</v>
          </cell>
          <cell r="K715" t="str">
            <v>Solar (Rooftop)</v>
          </cell>
          <cell r="L715" t="str">
            <v>Solar</v>
          </cell>
          <cell r="M715" t="str">
            <v>Dx</v>
          </cell>
          <cell r="N715" t="str">
            <v>Dunnville</v>
          </cell>
          <cell r="O715" t="str">
            <v>Haldimand</v>
          </cell>
          <cell r="P715" t="str">
            <v>Southwest</v>
          </cell>
        </row>
        <row r="716">
          <cell r="C716" t="str">
            <v>McDonald Lumber</v>
          </cell>
          <cell r="D716" t="str">
            <v>J M McDonald Lumber Limited</v>
          </cell>
          <cell r="E716" t="str">
            <v>CO</v>
          </cell>
          <cell r="F716">
            <v>40663</v>
          </cell>
          <cell r="G716">
            <v>40451</v>
          </cell>
          <cell r="H716">
            <v>47755</v>
          </cell>
          <cell r="I716" t="str">
            <v>19 years, 11 months, 30 days</v>
          </cell>
          <cell r="J716" t="str">
            <v>Renewables</v>
          </cell>
          <cell r="K716" t="str">
            <v>Solar (Rooftop)</v>
          </cell>
          <cell r="L716" t="str">
            <v>Solar</v>
          </cell>
          <cell r="M716" t="str">
            <v>Dx</v>
          </cell>
          <cell r="N716" t="str">
            <v>Brussels</v>
          </cell>
          <cell r="O716" t="str">
            <v>Huron</v>
          </cell>
          <cell r="P716" t="str">
            <v>Southwest</v>
          </cell>
        </row>
        <row r="717">
          <cell r="C717" t="str">
            <v>steeprock sunpower inc.</v>
          </cell>
          <cell r="D717" t="str">
            <v>Steeprock Sunpower Inc.</v>
          </cell>
          <cell r="E717" t="str">
            <v>CO</v>
          </cell>
          <cell r="F717">
            <v>41713</v>
          </cell>
          <cell r="G717">
            <v>41331</v>
          </cell>
          <cell r="H717">
            <v>48635</v>
          </cell>
          <cell r="I717" t="str">
            <v>19 years, 11 months, 30 days</v>
          </cell>
          <cell r="J717" t="str">
            <v>Renewables</v>
          </cell>
          <cell r="K717" t="str">
            <v>Solar (Rooftop)</v>
          </cell>
          <cell r="L717" t="str">
            <v>Solar</v>
          </cell>
          <cell r="M717" t="str">
            <v>Dx</v>
          </cell>
          <cell r="N717" t="str">
            <v>Toronto</v>
          </cell>
          <cell r="O717" t="str">
            <v>Toronto</v>
          </cell>
          <cell r="P717" t="str">
            <v>Toronto</v>
          </cell>
        </row>
        <row r="718">
          <cell r="C718" t="str">
            <v>Canadian Solar Developers Ltd. L.P.#1</v>
          </cell>
          <cell r="D718" t="str">
            <v>Mann Ground Mount Solar Ltd.</v>
          </cell>
          <cell r="E718" t="str">
            <v>CO</v>
          </cell>
          <cell r="F718">
            <v>41510</v>
          </cell>
          <cell r="G718">
            <v>41779</v>
          </cell>
          <cell r="H718">
            <v>48814</v>
          </cell>
          <cell r="I718" t="str">
            <v>19 years, 3 months, 3 days</v>
          </cell>
          <cell r="J718" t="str">
            <v>Renewables</v>
          </cell>
          <cell r="K718" t="str">
            <v>Solar (Ground Mounted)</v>
          </cell>
          <cell r="L718" t="str">
            <v>Solar</v>
          </cell>
          <cell r="M718" t="str">
            <v>Dx</v>
          </cell>
          <cell r="N718" t="str">
            <v>Mount Brydges</v>
          </cell>
          <cell r="O718" t="str">
            <v>Middlesex</v>
          </cell>
          <cell r="P718" t="str">
            <v>West</v>
          </cell>
        </row>
        <row r="719">
          <cell r="C719" t="str">
            <v>(C39) Zehrs Davenport Road</v>
          </cell>
          <cell r="D719" t="str">
            <v>Firelight Solar LP</v>
          </cell>
          <cell r="E719" t="str">
            <v>CO</v>
          </cell>
          <cell r="F719">
            <v>41734</v>
          </cell>
          <cell r="G719">
            <v>41591</v>
          </cell>
          <cell r="H719">
            <v>48895</v>
          </cell>
          <cell r="I719" t="str">
            <v>19 years, 11 months, 30 days</v>
          </cell>
          <cell r="J719" t="str">
            <v>Renewables</v>
          </cell>
          <cell r="K719" t="str">
            <v>Solar (Rooftop)</v>
          </cell>
          <cell r="L719" t="str">
            <v>Solar</v>
          </cell>
          <cell r="M719" t="str">
            <v>Dx</v>
          </cell>
          <cell r="N719" t="str">
            <v>Waterloo</v>
          </cell>
          <cell r="O719" t="str">
            <v>Waterloo</v>
          </cell>
          <cell r="P719" t="str">
            <v>Southwest</v>
          </cell>
        </row>
        <row r="720">
          <cell r="C720" t="str">
            <v>501-232 Fairall</v>
          </cell>
          <cell r="D720" t="str">
            <v>TAC Energy Inc.</v>
          </cell>
          <cell r="E720" t="str">
            <v>CO</v>
          </cell>
          <cell r="F720">
            <v>41827</v>
          </cell>
          <cell r="G720">
            <v>41626</v>
          </cell>
          <cell r="H720">
            <v>48930</v>
          </cell>
          <cell r="I720" t="str">
            <v>19 years, 11 months, 29 days</v>
          </cell>
          <cell r="J720" t="str">
            <v>Renewables</v>
          </cell>
          <cell r="K720" t="str">
            <v>Solar (Rooftop)</v>
          </cell>
          <cell r="L720" t="str">
            <v>Solar</v>
          </cell>
          <cell r="M720" t="str">
            <v>Dx</v>
          </cell>
          <cell r="N720" t="str">
            <v>Ajax</v>
          </cell>
          <cell r="O720" t="str">
            <v>Durham</v>
          </cell>
          <cell r="P720" t="str">
            <v>Toronto</v>
          </cell>
        </row>
        <row r="721">
          <cell r="C721" t="str">
            <v>Gervais Rentals</v>
          </cell>
          <cell r="D721" t="str">
            <v>Al Gervais Chair &amp; Table Rentals Limited</v>
          </cell>
          <cell r="E721" t="str">
            <v>CO</v>
          </cell>
          <cell r="F721">
            <v>41792</v>
          </cell>
          <cell r="G721">
            <v>41075</v>
          </cell>
          <cell r="H721">
            <v>48379</v>
          </cell>
          <cell r="I721" t="str">
            <v>19 years, 11 months, 30 days</v>
          </cell>
          <cell r="J721" t="str">
            <v>Renewables</v>
          </cell>
          <cell r="K721" t="str">
            <v>Solar (Rooftop)</v>
          </cell>
          <cell r="L721" t="str">
            <v>Solar</v>
          </cell>
          <cell r="M721" t="str">
            <v>Dx</v>
          </cell>
          <cell r="N721" t="str">
            <v>Toronto</v>
          </cell>
          <cell r="O721" t="str">
            <v>Toronto</v>
          </cell>
          <cell r="P721" t="str">
            <v>Toronto</v>
          </cell>
        </row>
        <row r="722">
          <cell r="C722" t="str">
            <v>JTB Solar</v>
          </cell>
          <cell r="D722" t="str">
            <v>JTB Solar</v>
          </cell>
          <cell r="E722" t="str">
            <v>CO</v>
          </cell>
          <cell r="F722">
            <v>41463</v>
          </cell>
          <cell r="G722">
            <v>40920</v>
          </cell>
          <cell r="H722">
            <v>48224</v>
          </cell>
          <cell r="I722" t="str">
            <v>19 years, 11 months, 30 days</v>
          </cell>
          <cell r="J722" t="str">
            <v>Renewables</v>
          </cell>
          <cell r="K722" t="str">
            <v>Solar (Rooftop)</v>
          </cell>
          <cell r="L722" t="str">
            <v>Solar</v>
          </cell>
          <cell r="M722" t="str">
            <v>Dx</v>
          </cell>
          <cell r="N722" t="str">
            <v>Ameliasburgh</v>
          </cell>
          <cell r="O722" t="str">
            <v>Prince Edward</v>
          </cell>
          <cell r="P722" t="str">
            <v>East</v>
          </cell>
        </row>
        <row r="723">
          <cell r="C723" t="str">
            <v>Northland Power Solar Long Lake</v>
          </cell>
          <cell r="D723" t="str">
            <v>Northland Power Solar Long Lake L.P.</v>
          </cell>
          <cell r="E723" t="str">
            <v>CO</v>
          </cell>
          <cell r="F723">
            <v>41888</v>
          </cell>
          <cell r="G723">
            <v>42305</v>
          </cell>
          <cell r="H723">
            <v>49609</v>
          </cell>
          <cell r="I723" t="str">
            <v>19 years, 11 months, 29 days</v>
          </cell>
          <cell r="J723" t="str">
            <v>Renewables</v>
          </cell>
          <cell r="K723" t="str">
            <v>Solar (Ground Mounted)</v>
          </cell>
          <cell r="L723" t="str">
            <v>Solar</v>
          </cell>
          <cell r="M723" t="str">
            <v>Tx</v>
          </cell>
          <cell r="N723" t="str">
            <v>Hunta</v>
          </cell>
          <cell r="O723" t="str">
            <v>Cochrane</v>
          </cell>
          <cell r="P723" t="str">
            <v>Northeast</v>
          </cell>
        </row>
        <row r="724">
          <cell r="C724" t="str">
            <v>Silvercreek Solar Park</v>
          </cell>
          <cell r="D724" t="str">
            <v>Silvercreek Nominee Inc.</v>
          </cell>
          <cell r="E724" t="str">
            <v>CO</v>
          </cell>
          <cell r="F724">
            <v>41825</v>
          </cell>
          <cell r="G724">
            <v>41829</v>
          </cell>
          <cell r="H724">
            <v>49133</v>
          </cell>
          <cell r="I724" t="str">
            <v>19 years, 11 months, 29 days</v>
          </cell>
          <cell r="J724" t="str">
            <v>Renewables</v>
          </cell>
          <cell r="K724" t="str">
            <v>Solar (Ground Mounted)</v>
          </cell>
          <cell r="L724" t="str">
            <v>Solar</v>
          </cell>
          <cell r="M724" t="str">
            <v>Tx</v>
          </cell>
          <cell r="N724" t="str">
            <v>Aylmer</v>
          </cell>
          <cell r="O724" t="str">
            <v>Elgin</v>
          </cell>
          <cell r="P724" t="str">
            <v>West</v>
          </cell>
        </row>
        <row r="725">
          <cell r="C725" t="str">
            <v>CEPEO Secondary Le Sommet</v>
          </cell>
          <cell r="D725" t="str">
            <v>Ameresco CEPEO Solar Inc.</v>
          </cell>
          <cell r="E725" t="str">
            <v>CO</v>
          </cell>
          <cell r="F725">
            <v>41029</v>
          </cell>
          <cell r="G725">
            <v>41206</v>
          </cell>
          <cell r="H725">
            <v>48510</v>
          </cell>
          <cell r="I725" t="str">
            <v>19 years, 11 months, 29 days</v>
          </cell>
          <cell r="J725" t="str">
            <v>Renewables</v>
          </cell>
          <cell r="K725" t="str">
            <v>Solar (Rooftop)</v>
          </cell>
          <cell r="L725" t="str">
            <v>Solar</v>
          </cell>
          <cell r="M725" t="str">
            <v>Dx</v>
          </cell>
          <cell r="N725" t="str">
            <v>Hawkesbury</v>
          </cell>
          <cell r="O725" t="str">
            <v>Prescott and Russell</v>
          </cell>
          <cell r="P725" t="str">
            <v>Ottawa</v>
          </cell>
        </row>
        <row r="726">
          <cell r="C726" t="str">
            <v>3636 Weston Road</v>
          </cell>
          <cell r="D726" t="str">
            <v>Sunny Day Energy Inc.</v>
          </cell>
          <cell r="E726" t="str">
            <v>CO</v>
          </cell>
          <cell r="F726">
            <v>41834</v>
          </cell>
          <cell r="G726">
            <v>41221</v>
          </cell>
          <cell r="H726">
            <v>48525</v>
          </cell>
          <cell r="I726" t="str">
            <v>19 years, 11 months, 30 days</v>
          </cell>
          <cell r="J726" t="str">
            <v>Renewables</v>
          </cell>
          <cell r="K726" t="str">
            <v>Solar (Rooftop)</v>
          </cell>
          <cell r="L726" t="str">
            <v>Solar</v>
          </cell>
          <cell r="M726" t="str">
            <v>Dx</v>
          </cell>
          <cell r="N726" t="str">
            <v>Toronto</v>
          </cell>
          <cell r="O726" t="str">
            <v>Toronto</v>
          </cell>
          <cell r="P726" t="str">
            <v>Toronto</v>
          </cell>
        </row>
        <row r="727">
          <cell r="C727" t="str">
            <v>Keystone Holdings-WINGOLD</v>
          </cell>
          <cell r="D727" t="str">
            <v>Keystone Holdings Corp.</v>
          </cell>
          <cell r="E727" t="str">
            <v>CO</v>
          </cell>
          <cell r="F727">
            <v>41440</v>
          </cell>
          <cell r="G727">
            <v>41345</v>
          </cell>
          <cell r="H727">
            <v>48649</v>
          </cell>
          <cell r="I727" t="str">
            <v>19 years, 11 months, 27 days</v>
          </cell>
          <cell r="J727" t="str">
            <v>Renewables</v>
          </cell>
          <cell r="K727" t="str">
            <v>Solar (Rooftop)</v>
          </cell>
          <cell r="L727" t="str">
            <v>Solar</v>
          </cell>
          <cell r="M727" t="str">
            <v>Dx</v>
          </cell>
          <cell r="N727" t="str">
            <v>Toronto</v>
          </cell>
          <cell r="O727" t="str">
            <v>Toronto</v>
          </cell>
          <cell r="P727" t="str">
            <v>Toronto</v>
          </cell>
        </row>
        <row r="728">
          <cell r="C728" t="str">
            <v>Elcho Rd.</v>
          </cell>
          <cell r="D728" t="str">
            <v>James and Amanda Devries</v>
          </cell>
          <cell r="E728" t="str">
            <v>CO</v>
          </cell>
          <cell r="F728">
            <v>41863</v>
          </cell>
          <cell r="G728">
            <v>41628</v>
          </cell>
          <cell r="H728">
            <v>48932</v>
          </cell>
          <cell r="I728" t="str">
            <v>19 years, 11 months, 29 days</v>
          </cell>
          <cell r="J728" t="str">
            <v>Renewables</v>
          </cell>
          <cell r="K728" t="str">
            <v>Solar (Rooftop)</v>
          </cell>
          <cell r="L728" t="str">
            <v>Solar</v>
          </cell>
          <cell r="M728" t="str">
            <v>Dx</v>
          </cell>
          <cell r="N728" t="str">
            <v>Wellandport</v>
          </cell>
          <cell r="O728" t="str">
            <v>Niagara</v>
          </cell>
          <cell r="P728" t="str">
            <v>Niagara</v>
          </cell>
        </row>
        <row r="729">
          <cell r="C729" t="str">
            <v>MEC Barrie</v>
          </cell>
          <cell r="D729" t="str">
            <v>Mountain Equipment Co-op</v>
          </cell>
          <cell r="E729" t="str">
            <v>CO</v>
          </cell>
          <cell r="F729">
            <v>41806</v>
          </cell>
          <cell r="G729">
            <v>40829</v>
          </cell>
          <cell r="H729">
            <v>48133</v>
          </cell>
          <cell r="I729" t="str">
            <v>19 years, 11 months, 29 days</v>
          </cell>
          <cell r="J729" t="str">
            <v>Renewables</v>
          </cell>
          <cell r="K729" t="str">
            <v>Solar (Rooftop)</v>
          </cell>
          <cell r="L729" t="str">
            <v>Solar</v>
          </cell>
          <cell r="M729" t="str">
            <v>Dx</v>
          </cell>
          <cell r="N729" t="str">
            <v>Barrie</v>
          </cell>
          <cell r="O729" t="str">
            <v>Simcoe</v>
          </cell>
          <cell r="P729" t="str">
            <v>Essa</v>
          </cell>
        </row>
        <row r="730">
          <cell r="C730" t="str">
            <v>Wainwright Solar Park</v>
          </cell>
          <cell r="D730" t="str">
            <v>New OSPVF 1 Limited Partnership</v>
          </cell>
          <cell r="E730" t="str">
            <v>CO</v>
          </cell>
          <cell r="F730">
            <v>41432</v>
          </cell>
          <cell r="G730">
            <v>41920</v>
          </cell>
          <cell r="H730">
            <v>49224</v>
          </cell>
          <cell r="I730" t="str">
            <v>19 years, 11 months, 29 days</v>
          </cell>
          <cell r="J730" t="str">
            <v>Renewables</v>
          </cell>
          <cell r="K730" t="str">
            <v>Solar (Ground Mounted)</v>
          </cell>
          <cell r="L730" t="str">
            <v>Solar</v>
          </cell>
          <cell r="M730" t="str">
            <v>Dx</v>
          </cell>
          <cell r="N730" t="str">
            <v>Oxdrift</v>
          </cell>
          <cell r="O730" t="str">
            <v>Kenora</v>
          </cell>
          <cell r="P730" t="str">
            <v>Northwest</v>
          </cell>
        </row>
        <row r="731">
          <cell r="C731" t="str">
            <v>B01-378 Elgin</v>
          </cell>
          <cell r="D731" t="str">
            <v>Firelight Solar LP</v>
          </cell>
          <cell r="E731" t="str">
            <v>CO</v>
          </cell>
          <cell r="F731">
            <v>41721</v>
          </cell>
          <cell r="G731">
            <v>41061</v>
          </cell>
          <cell r="H731">
            <v>48365</v>
          </cell>
          <cell r="I731" t="str">
            <v>19 years, 11 months, 30 days</v>
          </cell>
          <cell r="J731" t="str">
            <v>Renewables</v>
          </cell>
          <cell r="K731" t="str">
            <v>Solar (Rooftop)</v>
          </cell>
          <cell r="L731" t="str">
            <v>Solar</v>
          </cell>
          <cell r="M731" t="str">
            <v>Dx</v>
          </cell>
          <cell r="N731" t="str">
            <v>Brantford</v>
          </cell>
          <cell r="O731" t="str">
            <v>Brant</v>
          </cell>
          <cell r="P731" t="str">
            <v>Southwest</v>
          </cell>
        </row>
        <row r="732">
          <cell r="C732" t="str">
            <v>1283 Algoma</v>
          </cell>
          <cell r="D732" t="str">
            <v>PSI Solar Finance 1 Limited Partnership</v>
          </cell>
          <cell r="E732" t="str">
            <v>CO</v>
          </cell>
          <cell r="F732">
            <v>41363</v>
          </cell>
          <cell r="G732">
            <v>41544</v>
          </cell>
          <cell r="H732">
            <v>48667</v>
          </cell>
          <cell r="I732" t="str">
            <v>19 years, 6 months, 2 days</v>
          </cell>
          <cell r="J732" t="str">
            <v>Renewables</v>
          </cell>
          <cell r="K732" t="str">
            <v>Solar (Rooftop)</v>
          </cell>
          <cell r="L732" t="str">
            <v>Solar</v>
          </cell>
          <cell r="M732" t="str">
            <v>Dx</v>
          </cell>
          <cell r="N732" t="str">
            <v>Ottawa</v>
          </cell>
          <cell r="O732" t="str">
            <v>Ottawa</v>
          </cell>
          <cell r="P732" t="str">
            <v>Ottawa</v>
          </cell>
        </row>
        <row r="733">
          <cell r="C733" t="str">
            <v>P08-49 Fima</v>
          </cell>
          <cell r="D733" t="str">
            <v>1166836 Ontario Inc.</v>
          </cell>
          <cell r="E733" t="str">
            <v>CO</v>
          </cell>
          <cell r="F733">
            <v>41825</v>
          </cell>
          <cell r="G733">
            <v>42038</v>
          </cell>
          <cell r="H733">
            <v>49129</v>
          </cell>
          <cell r="I733" t="str">
            <v>19 years, 5 months, 1 days</v>
          </cell>
          <cell r="J733" t="str">
            <v>Renewables</v>
          </cell>
          <cell r="K733" t="str">
            <v>Solar (Rooftop)</v>
          </cell>
          <cell r="L733" t="str">
            <v>Solar</v>
          </cell>
          <cell r="M733" t="str">
            <v>Dx</v>
          </cell>
          <cell r="N733" t="str">
            <v>Toronto</v>
          </cell>
          <cell r="O733" t="str">
            <v>Toronto</v>
          </cell>
          <cell r="P733" t="str">
            <v>Toronto</v>
          </cell>
        </row>
        <row r="734">
          <cell r="C734" t="str">
            <v>Gravel Solar</v>
          </cell>
          <cell r="D734" t="str">
            <v>Ferme Delurenic Ltee</v>
          </cell>
          <cell r="E734" t="str">
            <v>CO</v>
          </cell>
          <cell r="F734">
            <v>41811</v>
          </cell>
          <cell r="G734">
            <v>41122</v>
          </cell>
          <cell r="H734">
            <v>48426</v>
          </cell>
          <cell r="I734" t="str">
            <v>19 years, 11 months, 30 days</v>
          </cell>
          <cell r="J734" t="str">
            <v>Renewables</v>
          </cell>
          <cell r="K734" t="str">
            <v>Solar (Rooftop)</v>
          </cell>
          <cell r="L734" t="str">
            <v>Solar</v>
          </cell>
          <cell r="M734" t="str">
            <v>Dx</v>
          </cell>
          <cell r="N734" t="str">
            <v>St. Isidore</v>
          </cell>
          <cell r="O734" t="str">
            <v>Prescott and Russell</v>
          </cell>
          <cell r="P734" t="str">
            <v>Ottawa</v>
          </cell>
        </row>
        <row r="735">
          <cell r="C735" t="str">
            <v>Verduyn Tarps</v>
          </cell>
          <cell r="D735" t="str">
            <v>1426614 Ontario Inc.</v>
          </cell>
          <cell r="E735" t="str">
            <v>CO</v>
          </cell>
          <cell r="F735">
            <v>41796</v>
          </cell>
          <cell r="G735">
            <v>41382</v>
          </cell>
          <cell r="H735">
            <v>48686</v>
          </cell>
          <cell r="I735" t="str">
            <v>19 years, 11 months, 30 days</v>
          </cell>
          <cell r="J735" t="str">
            <v>Renewables</v>
          </cell>
          <cell r="K735" t="str">
            <v>Solar (Rooftop)</v>
          </cell>
          <cell r="L735" t="str">
            <v>Solar</v>
          </cell>
          <cell r="M735" t="str">
            <v>Dx</v>
          </cell>
          <cell r="N735" t="str">
            <v>Hamilton</v>
          </cell>
          <cell r="O735" t="str">
            <v>Hamilton</v>
          </cell>
          <cell r="P735" t="str">
            <v>Southwest</v>
          </cell>
        </row>
        <row r="736">
          <cell r="C736" t="str">
            <v>homesun</v>
          </cell>
          <cell r="D736" t="str">
            <v>Homesun Power Inc.</v>
          </cell>
          <cell r="E736" t="str">
            <v>CO</v>
          </cell>
          <cell r="F736">
            <v>42807</v>
          </cell>
          <cell r="G736">
            <v>42426</v>
          </cell>
          <cell r="H736">
            <v>49730</v>
          </cell>
          <cell r="I736" t="str">
            <v>19 years, 11 months, 30 days</v>
          </cell>
          <cell r="J736" t="str">
            <v>Renewables</v>
          </cell>
          <cell r="K736" t="str">
            <v>Solar (Rooftop)</v>
          </cell>
          <cell r="L736" t="str">
            <v>Solar</v>
          </cell>
          <cell r="M736" t="str">
            <v>Dx</v>
          </cell>
          <cell r="N736" t="str">
            <v>Grimsby</v>
          </cell>
          <cell r="O736" t="str">
            <v>Niagara</v>
          </cell>
          <cell r="P736" t="str">
            <v>Niagara</v>
          </cell>
        </row>
        <row r="737">
          <cell r="C737" t="str">
            <v>PPFD Solar</v>
          </cell>
          <cell r="D737" t="str">
            <v>1441677 Ontario Limited</v>
          </cell>
          <cell r="E737" t="str">
            <v>CO</v>
          </cell>
          <cell r="F737">
            <v>41827</v>
          </cell>
          <cell r="G737">
            <v>41030</v>
          </cell>
          <cell r="H737">
            <v>48334</v>
          </cell>
          <cell r="I737" t="str">
            <v>19 years, 11 months, 29 days</v>
          </cell>
          <cell r="J737" t="str">
            <v>Renewables</v>
          </cell>
          <cell r="K737" t="str">
            <v>Solar (Rooftop)</v>
          </cell>
          <cell r="L737" t="str">
            <v>Solar</v>
          </cell>
          <cell r="M737" t="str">
            <v>Dx</v>
          </cell>
          <cell r="N737" t="str">
            <v>Whitby</v>
          </cell>
          <cell r="O737" t="str">
            <v>Durham</v>
          </cell>
          <cell r="P737" t="str">
            <v>Toronto</v>
          </cell>
        </row>
        <row r="738">
          <cell r="C738" t="str">
            <v>O02-3810 Sixth</v>
          </cell>
          <cell r="D738" t="str">
            <v>Fengate (FGDI) Limited Partnership</v>
          </cell>
          <cell r="E738" t="str">
            <v>CO</v>
          </cell>
          <cell r="F738">
            <v>41832</v>
          </cell>
          <cell r="G738">
            <v>42055</v>
          </cell>
          <cell r="H738">
            <v>49359</v>
          </cell>
          <cell r="I738" t="str">
            <v>19 years, 11 months, 30 days</v>
          </cell>
          <cell r="J738" t="str">
            <v>Renewables</v>
          </cell>
          <cell r="K738" t="str">
            <v>Solar (Rooftop)</v>
          </cell>
          <cell r="L738" t="str">
            <v>Solar</v>
          </cell>
          <cell r="M738" t="str">
            <v>Dx</v>
          </cell>
          <cell r="N738" t="str">
            <v>Ottawa</v>
          </cell>
          <cell r="O738" t="str">
            <v>Ottawa</v>
          </cell>
          <cell r="P738" t="str">
            <v>Ottawa</v>
          </cell>
        </row>
        <row r="739">
          <cell r="C739" t="str">
            <v>80 Jutland</v>
          </cell>
          <cell r="D739" t="str">
            <v>Fovere Glenbarra Energy Fund I Limited Partnership</v>
          </cell>
          <cell r="E739" t="str">
            <v>CO</v>
          </cell>
          <cell r="F739">
            <v>41813</v>
          </cell>
          <cell r="G739">
            <v>41985</v>
          </cell>
          <cell r="H739">
            <v>49289</v>
          </cell>
          <cell r="I739" t="str">
            <v>19 years, 11 months, 29 days</v>
          </cell>
          <cell r="J739" t="str">
            <v>Renewables</v>
          </cell>
          <cell r="K739" t="str">
            <v>Solar (Rooftop)</v>
          </cell>
          <cell r="L739" t="str">
            <v>Solar</v>
          </cell>
          <cell r="M739" t="str">
            <v>Dx</v>
          </cell>
          <cell r="N739" t="str">
            <v>Toronto</v>
          </cell>
          <cell r="O739" t="str">
            <v>Toronto</v>
          </cell>
          <cell r="P739" t="str">
            <v>Toronto</v>
          </cell>
        </row>
        <row r="740">
          <cell r="C740" t="str">
            <v>Storage World Bysham Park</v>
          </cell>
          <cell r="D740" t="str">
            <v>Sequoyah Strategies Inc.</v>
          </cell>
          <cell r="E740" t="str">
            <v>CO</v>
          </cell>
          <cell r="F740">
            <v>41029</v>
          </cell>
          <cell r="G740">
            <v>40781</v>
          </cell>
          <cell r="H740">
            <v>48085</v>
          </cell>
          <cell r="I740" t="str">
            <v>19 years, 11 months, 30 days</v>
          </cell>
          <cell r="J740" t="str">
            <v>Renewables</v>
          </cell>
          <cell r="K740" t="str">
            <v>Solar (Rooftop)</v>
          </cell>
          <cell r="L740" t="str">
            <v>Solar</v>
          </cell>
          <cell r="M740" t="str">
            <v>Dx</v>
          </cell>
          <cell r="N740" t="str">
            <v>Woodstock</v>
          </cell>
          <cell r="O740" t="str">
            <v>Oxford</v>
          </cell>
          <cell r="P740" t="str">
            <v>Southwest</v>
          </cell>
        </row>
        <row r="741">
          <cell r="C741" t="str">
            <v>Bayview Greenhouses Biogas System</v>
          </cell>
          <cell r="D741" t="str">
            <v>Bayview Greenhouses (Jordan Station) Inc.</v>
          </cell>
          <cell r="E741" t="str">
            <v>CO</v>
          </cell>
          <cell r="F741">
            <v>41351</v>
          </cell>
          <cell r="G741">
            <v>40422</v>
          </cell>
          <cell r="H741">
            <v>47726</v>
          </cell>
          <cell r="I741" t="str">
            <v>19 years, 11 months, 30 days</v>
          </cell>
          <cell r="J741" t="str">
            <v>Renewables</v>
          </cell>
          <cell r="K741" t="str">
            <v>Bioenergy</v>
          </cell>
          <cell r="L741" t="str">
            <v>Biogas (On-Farm)</v>
          </cell>
          <cell r="M741" t="str">
            <v>Dx</v>
          </cell>
          <cell r="N741" t="str">
            <v>Jordan Station</v>
          </cell>
          <cell r="O741" t="str">
            <v>Niagara</v>
          </cell>
          <cell r="P741" t="str">
            <v>Niagara</v>
          </cell>
        </row>
        <row r="742">
          <cell r="C742" t="str">
            <v>Saptashva Solar, S.A - FIT - Gulu 42</v>
          </cell>
          <cell r="D742" t="str">
            <v>Tuxedo Solar Ltd.</v>
          </cell>
          <cell r="E742" t="str">
            <v>CO</v>
          </cell>
          <cell r="F742">
            <v>41797</v>
          </cell>
          <cell r="G742">
            <v>42024</v>
          </cell>
          <cell r="H742">
            <v>49328</v>
          </cell>
          <cell r="I742" t="str">
            <v>19 years, 11 months, 30 days</v>
          </cell>
          <cell r="J742" t="str">
            <v>Renewables</v>
          </cell>
          <cell r="K742" t="str">
            <v>Solar (Rooftop)</v>
          </cell>
          <cell r="L742" t="str">
            <v>Solar</v>
          </cell>
          <cell r="M742" t="str">
            <v>Dx</v>
          </cell>
          <cell r="N742" t="str">
            <v>Toronto</v>
          </cell>
          <cell r="O742" t="str">
            <v>Toronto</v>
          </cell>
          <cell r="P742" t="str">
            <v>Toronto</v>
          </cell>
        </row>
        <row r="743">
          <cell r="C743" t="str">
            <v>RE Midhurst 2</v>
          </cell>
          <cell r="D743" t="str">
            <v>Met Axium Solar Midhurst 2 L.P.</v>
          </cell>
          <cell r="E743" t="str">
            <v>CO</v>
          </cell>
          <cell r="F743">
            <v>41506</v>
          </cell>
          <cell r="G743">
            <v>41619</v>
          </cell>
          <cell r="H743">
            <v>48923</v>
          </cell>
          <cell r="I743" t="str">
            <v>19 years, 11 months, 29 days</v>
          </cell>
          <cell r="J743" t="str">
            <v>Renewables</v>
          </cell>
          <cell r="K743" t="str">
            <v>Solar (Ground Mounted)</v>
          </cell>
          <cell r="L743" t="str">
            <v>Solar</v>
          </cell>
          <cell r="M743" t="str">
            <v>Dx</v>
          </cell>
          <cell r="N743" t="str">
            <v>Phelpston</v>
          </cell>
          <cell r="O743" t="str">
            <v>Simcoe</v>
          </cell>
          <cell r="P743" t="str">
            <v>Essa</v>
          </cell>
        </row>
        <row r="744">
          <cell r="C744" t="str">
            <v>Peterborough Self Storage Ltd</v>
          </cell>
          <cell r="D744" t="str">
            <v>Peterborough Self Storage Ltd</v>
          </cell>
          <cell r="E744" t="str">
            <v>CO</v>
          </cell>
          <cell r="F744">
            <v>41813</v>
          </cell>
          <cell r="G744">
            <v>41064</v>
          </cell>
          <cell r="H744">
            <v>48368</v>
          </cell>
          <cell r="I744" t="str">
            <v>19 years, 11 months, 30 days</v>
          </cell>
          <cell r="J744" t="str">
            <v>Renewables</v>
          </cell>
          <cell r="K744" t="str">
            <v>Solar (Rooftop)</v>
          </cell>
          <cell r="L744" t="str">
            <v>Solar</v>
          </cell>
          <cell r="M744" t="str">
            <v>Dx</v>
          </cell>
          <cell r="N744" t="str">
            <v>Peterborough</v>
          </cell>
          <cell r="O744" t="str">
            <v>Peterborough</v>
          </cell>
          <cell r="P744" t="str">
            <v>East</v>
          </cell>
        </row>
        <row r="745">
          <cell r="C745" t="str">
            <v>PowerStream 2010-067</v>
          </cell>
          <cell r="D745" t="str">
            <v>Alectra Utilities Corporation</v>
          </cell>
          <cell r="E745" t="str">
            <v>CO</v>
          </cell>
          <cell r="F745">
            <v>41799</v>
          </cell>
          <cell r="G745">
            <v>41082</v>
          </cell>
          <cell r="H745">
            <v>48386</v>
          </cell>
          <cell r="I745" t="str">
            <v>19 years, 11 months, 30 days</v>
          </cell>
          <cell r="J745" t="str">
            <v>Renewables</v>
          </cell>
          <cell r="K745" t="str">
            <v>Solar (Rooftop)</v>
          </cell>
          <cell r="L745" t="str">
            <v>Solar</v>
          </cell>
          <cell r="M745" t="str">
            <v>Dx</v>
          </cell>
          <cell r="N745" t="str">
            <v>Barrie</v>
          </cell>
          <cell r="O745" t="str">
            <v>Simcoe</v>
          </cell>
          <cell r="P745" t="str">
            <v>Essa</v>
          </cell>
        </row>
        <row r="746">
          <cell r="C746" t="str">
            <v>T Fritz Farms</v>
          </cell>
          <cell r="D746" t="str">
            <v>Timothy James Fritz</v>
          </cell>
          <cell r="E746" t="str">
            <v>CO</v>
          </cell>
          <cell r="F746">
            <v>41818</v>
          </cell>
          <cell r="G746">
            <v>41506</v>
          </cell>
          <cell r="H746">
            <v>48810</v>
          </cell>
          <cell r="I746" t="str">
            <v>19 years, 11 months, 30 days</v>
          </cell>
          <cell r="J746" t="str">
            <v>Renewables</v>
          </cell>
          <cell r="K746" t="str">
            <v>Solar (Rooftop)</v>
          </cell>
          <cell r="L746" t="str">
            <v>Solar</v>
          </cell>
          <cell r="M746" t="str">
            <v>Dx</v>
          </cell>
          <cell r="N746" t="str">
            <v>Brussels</v>
          </cell>
          <cell r="O746" t="str">
            <v>Huron</v>
          </cell>
          <cell r="P746" t="str">
            <v>Southwest</v>
          </cell>
        </row>
        <row r="747">
          <cell r="C747" t="str">
            <v>Dave Franken Solar</v>
          </cell>
          <cell r="D747" t="str">
            <v>BOOST POWER LIMITED PARTNERSHIP</v>
          </cell>
          <cell r="E747" t="str">
            <v>CO</v>
          </cell>
          <cell r="F747">
            <v>41029</v>
          </cell>
          <cell r="G747">
            <v>41067</v>
          </cell>
          <cell r="H747">
            <v>48333</v>
          </cell>
          <cell r="I747" t="str">
            <v>19 years, 10 months, 22 days</v>
          </cell>
          <cell r="J747" t="str">
            <v>Renewables</v>
          </cell>
          <cell r="K747" t="str">
            <v>Solar (Rooftop)</v>
          </cell>
          <cell r="L747" t="str">
            <v>Solar</v>
          </cell>
          <cell r="M747" t="str">
            <v>Dx</v>
          </cell>
          <cell r="N747" t="str">
            <v>Blyth</v>
          </cell>
          <cell r="O747" t="str">
            <v>Huron</v>
          </cell>
          <cell r="P747" t="str">
            <v>Southwest</v>
          </cell>
        </row>
        <row r="748">
          <cell r="C748" t="str">
            <v>5970 Mavis Road</v>
          </cell>
          <cell r="D748" t="str">
            <v>PSI Solar Finance 1 Limited Partnership</v>
          </cell>
          <cell r="E748" t="str">
            <v>CO</v>
          </cell>
          <cell r="F748">
            <v>41897</v>
          </cell>
          <cell r="G748">
            <v>41675</v>
          </cell>
          <cell r="H748">
            <v>48979</v>
          </cell>
          <cell r="I748" t="str">
            <v>19 years, 11 months, 30 days</v>
          </cell>
          <cell r="J748" t="str">
            <v>Renewables</v>
          </cell>
          <cell r="K748" t="str">
            <v>Solar (Rooftop)</v>
          </cell>
          <cell r="L748" t="str">
            <v>Solar</v>
          </cell>
          <cell r="M748" t="str">
            <v>Dx</v>
          </cell>
          <cell r="N748" t="str">
            <v>Mississauga</v>
          </cell>
          <cell r="O748" t="str">
            <v>Peel</v>
          </cell>
          <cell r="P748" t="str">
            <v>Toronto</v>
          </cell>
        </row>
        <row r="749">
          <cell r="C749" t="str">
            <v>PowerStream 2010-063</v>
          </cell>
          <cell r="D749" t="str">
            <v>Alectra Utilities Corporation</v>
          </cell>
          <cell r="E749" t="str">
            <v>CO</v>
          </cell>
          <cell r="F749">
            <v>41799</v>
          </cell>
          <cell r="G749">
            <v>41271</v>
          </cell>
          <cell r="H749">
            <v>48575</v>
          </cell>
          <cell r="I749" t="str">
            <v>19 years, 11 months, 29 days</v>
          </cell>
          <cell r="J749" t="str">
            <v>Renewables</v>
          </cell>
          <cell r="K749" t="str">
            <v>Solar (Rooftop)</v>
          </cell>
          <cell r="L749" t="str">
            <v>Solar</v>
          </cell>
          <cell r="M749" t="str">
            <v>Dx</v>
          </cell>
          <cell r="N749" t="str">
            <v>Barrie</v>
          </cell>
          <cell r="O749" t="str">
            <v>Simcoe</v>
          </cell>
          <cell r="P749" t="str">
            <v>Essa</v>
          </cell>
        </row>
        <row r="750">
          <cell r="C750" t="str">
            <v>Uni-Fab Solar 1</v>
          </cell>
          <cell r="D750" t="str">
            <v>944743 Ontario Inc.</v>
          </cell>
          <cell r="E750" t="str">
            <v>CO</v>
          </cell>
          <cell r="F750">
            <v>41841</v>
          </cell>
          <cell r="G750">
            <v>41710</v>
          </cell>
          <cell r="H750">
            <v>49014</v>
          </cell>
          <cell r="I750" t="str">
            <v>19 years, 11 months, 27 days</v>
          </cell>
          <cell r="J750" t="str">
            <v>Renewables</v>
          </cell>
          <cell r="K750" t="str">
            <v>Solar (Rooftop)</v>
          </cell>
          <cell r="L750" t="str">
            <v>Solar</v>
          </cell>
          <cell r="M750" t="str">
            <v>Dx</v>
          </cell>
          <cell r="N750" t="str">
            <v>Leamington</v>
          </cell>
          <cell r="O750" t="str">
            <v>Essex</v>
          </cell>
          <cell r="P750" t="str">
            <v>West</v>
          </cell>
        </row>
        <row r="751">
          <cell r="C751" t="str">
            <v>Goshen Wind Energy Centre</v>
          </cell>
          <cell r="D751" t="str">
            <v>Goshen Wind, LP</v>
          </cell>
          <cell r="E751" t="str">
            <v>CO</v>
          </cell>
          <cell r="F751">
            <v>41970</v>
          </cell>
          <cell r="G751">
            <v>42032</v>
          </cell>
          <cell r="H751">
            <v>49336</v>
          </cell>
          <cell r="I751" t="str">
            <v>19 years, 11 months, 30 days</v>
          </cell>
          <cell r="J751" t="str">
            <v>Renewables</v>
          </cell>
          <cell r="K751" t="str">
            <v>Wind (On-Shore)</v>
          </cell>
          <cell r="L751" t="str">
            <v>Wind</v>
          </cell>
          <cell r="M751" t="str">
            <v>Tx</v>
          </cell>
          <cell r="N751" t="str">
            <v>Dashwood</v>
          </cell>
          <cell r="O751" t="str">
            <v>Huron</v>
          </cell>
          <cell r="P751" t="str">
            <v>Southwest</v>
          </cell>
        </row>
        <row r="752">
          <cell r="C752" t="str">
            <v>GEDSB North Park CVS</v>
          </cell>
          <cell r="D752" t="str">
            <v>Ameresco GEDSB Solar Inc.</v>
          </cell>
          <cell r="E752" t="str">
            <v>CO</v>
          </cell>
          <cell r="F752">
            <v>41029</v>
          </cell>
          <cell r="G752">
            <v>41044</v>
          </cell>
          <cell r="H752">
            <v>48348</v>
          </cell>
          <cell r="I752" t="str">
            <v>19 years, 11 months, 29 days</v>
          </cell>
          <cell r="J752" t="str">
            <v>Renewables</v>
          </cell>
          <cell r="K752" t="str">
            <v>Solar (Rooftop)</v>
          </cell>
          <cell r="L752" t="str">
            <v>Solar</v>
          </cell>
          <cell r="M752" t="str">
            <v>Dx</v>
          </cell>
          <cell r="N752" t="str">
            <v>Brantford</v>
          </cell>
          <cell r="O752" t="str">
            <v>Brant</v>
          </cell>
          <cell r="P752" t="str">
            <v>Southwest</v>
          </cell>
        </row>
        <row r="753">
          <cell r="C753" t="str">
            <v>(F46) No Frills Main Street North</v>
          </cell>
          <cell r="D753" t="str">
            <v>Firelight Solar LP</v>
          </cell>
          <cell r="E753" t="str">
            <v>CO</v>
          </cell>
          <cell r="F753">
            <v>41716</v>
          </cell>
          <cell r="G753">
            <v>41795</v>
          </cell>
          <cell r="H753">
            <v>49099</v>
          </cell>
          <cell r="I753" t="str">
            <v>19 years, 11 months, 30 days</v>
          </cell>
          <cell r="J753" t="str">
            <v>Renewables</v>
          </cell>
          <cell r="K753" t="str">
            <v>Solar (Rooftop)</v>
          </cell>
          <cell r="L753" t="str">
            <v>Solar</v>
          </cell>
          <cell r="M753" t="str">
            <v>Dx</v>
          </cell>
          <cell r="N753" t="str">
            <v>Mount Forest</v>
          </cell>
          <cell r="O753" t="str">
            <v>Wellington</v>
          </cell>
          <cell r="P753" t="str">
            <v>Southwest</v>
          </cell>
        </row>
        <row r="754">
          <cell r="C754" t="str">
            <v>Jamieson Laboratories Ltd.</v>
          </cell>
          <cell r="D754" t="str">
            <v>Alectra Utilities Corporation</v>
          </cell>
          <cell r="E754" t="str">
            <v>CO</v>
          </cell>
          <cell r="F754">
            <v>41820</v>
          </cell>
          <cell r="G754">
            <v>41058</v>
          </cell>
          <cell r="H754">
            <v>48362</v>
          </cell>
          <cell r="I754" t="str">
            <v>19 years, 11 months, 29 days</v>
          </cell>
          <cell r="J754" t="str">
            <v>Renewables</v>
          </cell>
          <cell r="K754" t="str">
            <v>Solar (Rooftop)</v>
          </cell>
          <cell r="L754" t="str">
            <v>Solar</v>
          </cell>
          <cell r="M754" t="str">
            <v>Dx</v>
          </cell>
          <cell r="N754" t="str">
            <v>Windsor</v>
          </cell>
          <cell r="O754" t="str">
            <v>Essex</v>
          </cell>
          <cell r="P754" t="str">
            <v>West</v>
          </cell>
        </row>
        <row r="755">
          <cell r="C755" t="str">
            <v>BAKKER LANDS</v>
          </cell>
          <cell r="D755" t="str">
            <v>Bloomfield Solar Inc.</v>
          </cell>
          <cell r="E755" t="str">
            <v>CO</v>
          </cell>
          <cell r="F755">
            <v>41792</v>
          </cell>
          <cell r="G755">
            <v>41956</v>
          </cell>
          <cell r="H755">
            <v>49096</v>
          </cell>
          <cell r="I755" t="str">
            <v>19 years, 6 months, 19 days</v>
          </cell>
          <cell r="J755" t="str">
            <v>Renewables</v>
          </cell>
          <cell r="K755" t="str">
            <v>Solar (Rooftop)</v>
          </cell>
          <cell r="L755" t="str">
            <v>Solar</v>
          </cell>
          <cell r="M755" t="str">
            <v>Dx</v>
          </cell>
          <cell r="N755" t="str">
            <v>Hillier</v>
          </cell>
          <cell r="O755" t="str">
            <v>Prince Edward</v>
          </cell>
          <cell r="P755" t="str">
            <v>East</v>
          </cell>
        </row>
        <row r="756">
          <cell r="C756" t="str">
            <v>JACKMAN AVENUE JUNIOR PUBLIC SCHOOL</v>
          </cell>
          <cell r="D756" t="str">
            <v>Toronto District School Board</v>
          </cell>
          <cell r="E756" t="str">
            <v>CO</v>
          </cell>
          <cell r="F756">
            <v>41813</v>
          </cell>
          <cell r="G756">
            <v>40973</v>
          </cell>
          <cell r="H756">
            <v>48277</v>
          </cell>
          <cell r="I756" t="str">
            <v>19 years, 11 months, 28 days</v>
          </cell>
          <cell r="J756" t="str">
            <v>Renewables</v>
          </cell>
          <cell r="K756" t="str">
            <v>Solar (Rooftop)</v>
          </cell>
          <cell r="L756" t="str">
            <v>Solar</v>
          </cell>
          <cell r="M756" t="str">
            <v>Dx</v>
          </cell>
          <cell r="N756" t="str">
            <v>Toronto</v>
          </cell>
          <cell r="O756" t="str">
            <v>Toronto</v>
          </cell>
          <cell r="P756" t="str">
            <v>Toronto</v>
          </cell>
        </row>
        <row r="757">
          <cell r="C757" t="str">
            <v>De Leeuw 5527 10th Sideroad</v>
          </cell>
          <cell r="D757" t="str">
            <v>WC Enerco Inc.</v>
          </cell>
          <cell r="E757" t="str">
            <v>CO</v>
          </cell>
          <cell r="F757">
            <v>41804</v>
          </cell>
          <cell r="G757">
            <v>42373</v>
          </cell>
          <cell r="H757">
            <v>49108</v>
          </cell>
          <cell r="I757" t="str">
            <v>18 years, 5 months, 9 days</v>
          </cell>
          <cell r="J757" t="str">
            <v>Renewables</v>
          </cell>
          <cell r="K757" t="str">
            <v>Solar (Ground Mounted)</v>
          </cell>
          <cell r="L757" t="str">
            <v>Solar</v>
          </cell>
          <cell r="M757" t="str">
            <v>Dx</v>
          </cell>
          <cell r="N757" t="str">
            <v>Egbert</v>
          </cell>
          <cell r="O757" t="str">
            <v>Simcoe</v>
          </cell>
          <cell r="P757" t="str">
            <v>Southwest</v>
          </cell>
        </row>
        <row r="758">
          <cell r="C758" t="str">
            <v>Ferme Poirier Solaire</v>
          </cell>
          <cell r="D758" t="str">
            <v>8303703 Canada Inc.</v>
          </cell>
          <cell r="E758" t="str">
            <v>CO</v>
          </cell>
          <cell r="F758">
            <v>41820</v>
          </cell>
          <cell r="G758">
            <v>41753</v>
          </cell>
          <cell r="H758">
            <v>49057</v>
          </cell>
          <cell r="I758" t="str">
            <v>19 years, 11 months, 30 days</v>
          </cell>
          <cell r="J758" t="str">
            <v>Renewables</v>
          </cell>
          <cell r="K758" t="str">
            <v>Solar (Rooftop)</v>
          </cell>
          <cell r="L758" t="str">
            <v>Solar</v>
          </cell>
          <cell r="M758" t="str">
            <v>Dx</v>
          </cell>
          <cell r="N758" t="str">
            <v>St. Isidore</v>
          </cell>
          <cell r="O758" t="str">
            <v>Prescott and Russell</v>
          </cell>
          <cell r="P758" t="str">
            <v>Ottawa</v>
          </cell>
        </row>
        <row r="759">
          <cell r="C759" t="str">
            <v>DunWynn Centre</v>
          </cell>
          <cell r="D759" t="str">
            <v>TerraForm MP Solar, LLC</v>
          </cell>
          <cell r="E759" t="str">
            <v>CO</v>
          </cell>
          <cell r="F759">
            <v>41820</v>
          </cell>
          <cell r="G759">
            <v>41521</v>
          </cell>
          <cell r="H759">
            <v>48825</v>
          </cell>
          <cell r="I759" t="str">
            <v>19 years, 11 months, 30 days</v>
          </cell>
          <cell r="J759" t="str">
            <v>Renewables</v>
          </cell>
          <cell r="K759" t="str">
            <v>Solar (Rooftop)</v>
          </cell>
          <cell r="L759" t="str">
            <v>Solar</v>
          </cell>
          <cell r="M759" t="str">
            <v>Dx</v>
          </cell>
          <cell r="N759" t="str">
            <v>Mississauga</v>
          </cell>
          <cell r="O759" t="str">
            <v>Peel</v>
          </cell>
          <cell r="P759" t="str">
            <v>Toronto</v>
          </cell>
        </row>
        <row r="760">
          <cell r="C760" t="str">
            <v>CEPEO Secondary Louis-Riel</v>
          </cell>
          <cell r="D760" t="str">
            <v>Ameresco CEPEO Solar Inc.</v>
          </cell>
          <cell r="E760" t="str">
            <v>CO</v>
          </cell>
          <cell r="F760">
            <v>41029</v>
          </cell>
          <cell r="G760">
            <v>41212</v>
          </cell>
          <cell r="H760">
            <v>48516</v>
          </cell>
          <cell r="I760" t="str">
            <v>19 years, 11 months, 29 days</v>
          </cell>
          <cell r="J760" t="str">
            <v>Renewables</v>
          </cell>
          <cell r="K760" t="str">
            <v>Solar (Rooftop)</v>
          </cell>
          <cell r="L760" t="str">
            <v>Solar</v>
          </cell>
          <cell r="M760" t="str">
            <v>Dx</v>
          </cell>
          <cell r="N760" t="str">
            <v>Ottawa</v>
          </cell>
          <cell r="O760" t="str">
            <v>Ottawa</v>
          </cell>
          <cell r="P760" t="str">
            <v>Ottawa</v>
          </cell>
        </row>
        <row r="761">
          <cell r="C761" t="str">
            <v>Plateau III Wind</v>
          </cell>
          <cell r="D761" t="str">
            <v>Plateau Wind LP</v>
          </cell>
          <cell r="E761" t="str">
            <v>CO</v>
          </cell>
          <cell r="F761">
            <v>41199</v>
          </cell>
          <cell r="G761">
            <v>40934</v>
          </cell>
          <cell r="H761">
            <v>48238</v>
          </cell>
          <cell r="I761" t="str">
            <v>19 years, 11 months, 30 days</v>
          </cell>
          <cell r="J761" t="str">
            <v>Renewables</v>
          </cell>
          <cell r="K761" t="str">
            <v>Wind (On-Shore)</v>
          </cell>
          <cell r="L761" t="str">
            <v>Wind</v>
          </cell>
          <cell r="M761" t="str">
            <v>Dx</v>
          </cell>
          <cell r="N761" t="str">
            <v>Dundalk</v>
          </cell>
          <cell r="O761" t="str">
            <v>Grey</v>
          </cell>
          <cell r="P761" t="str">
            <v>Southwest</v>
          </cell>
        </row>
        <row r="762">
          <cell r="C762" t="str">
            <v>101A Devon</v>
          </cell>
          <cell r="D762" t="str">
            <v>PSI Solar Finance 1 Limited Partnership</v>
          </cell>
          <cell r="E762" t="str">
            <v>CO</v>
          </cell>
          <cell r="F762">
            <v>41818</v>
          </cell>
          <cell r="G762">
            <v>41424</v>
          </cell>
          <cell r="H762">
            <v>48728</v>
          </cell>
          <cell r="I762" t="str">
            <v>19 years, 11 months, 29 days</v>
          </cell>
          <cell r="J762" t="str">
            <v>Renewables</v>
          </cell>
          <cell r="K762" t="str">
            <v>Solar (Rooftop)</v>
          </cell>
          <cell r="L762" t="str">
            <v>Solar</v>
          </cell>
          <cell r="M762" t="str">
            <v>Dx</v>
          </cell>
          <cell r="N762" t="str">
            <v>Brampton</v>
          </cell>
          <cell r="O762" t="str">
            <v>Peel</v>
          </cell>
          <cell r="P762" t="str">
            <v>Toronto</v>
          </cell>
        </row>
        <row r="763">
          <cell r="C763" t="str">
            <v>O02-50 Varley</v>
          </cell>
          <cell r="D763" t="str">
            <v>Ottawa Renewable Energy Co-operative Inc.</v>
          </cell>
          <cell r="E763" t="str">
            <v>CO</v>
          </cell>
          <cell r="F763">
            <v>41827</v>
          </cell>
          <cell r="G763">
            <v>42052</v>
          </cell>
          <cell r="H763">
            <v>49356</v>
          </cell>
          <cell r="I763" t="str">
            <v>19 years, 11 months, 30 days</v>
          </cell>
          <cell r="J763" t="str">
            <v>Renewables</v>
          </cell>
          <cell r="K763" t="str">
            <v>Solar (Rooftop)</v>
          </cell>
          <cell r="L763" t="str">
            <v>Solar</v>
          </cell>
          <cell r="M763" t="str">
            <v>Dx</v>
          </cell>
          <cell r="N763" t="str">
            <v>Ottawa</v>
          </cell>
          <cell r="O763" t="str">
            <v>Ottawa</v>
          </cell>
          <cell r="P763" t="str">
            <v>Ottawa</v>
          </cell>
        </row>
        <row r="764">
          <cell r="C764" t="str">
            <v>10 Planchet Road</v>
          </cell>
          <cell r="D764" t="str">
            <v>Planchet Solar Inc.</v>
          </cell>
          <cell r="E764" t="str">
            <v>CO</v>
          </cell>
          <cell r="F764">
            <v>41834</v>
          </cell>
          <cell r="G764">
            <v>41197</v>
          </cell>
          <cell r="H764">
            <v>48501</v>
          </cell>
          <cell r="I764" t="str">
            <v>19 years, 11 months, 29 days</v>
          </cell>
          <cell r="J764" t="str">
            <v>Renewables</v>
          </cell>
          <cell r="K764" t="str">
            <v>Solar (Rooftop)</v>
          </cell>
          <cell r="L764" t="str">
            <v>Solar</v>
          </cell>
          <cell r="M764" t="str">
            <v>Dx</v>
          </cell>
          <cell r="N764" t="str">
            <v>Concord</v>
          </cell>
          <cell r="O764" t="str">
            <v>York</v>
          </cell>
          <cell r="P764" t="str">
            <v>Toronto</v>
          </cell>
        </row>
        <row r="765">
          <cell r="C765" t="str">
            <v>1067575 Ontario Inc.</v>
          </cell>
          <cell r="D765" t="str">
            <v>1067575 Ontario Inc.</v>
          </cell>
          <cell r="E765" t="str">
            <v>CO</v>
          </cell>
          <cell r="F765">
            <v>41790</v>
          </cell>
          <cell r="G765">
            <v>41024</v>
          </cell>
          <cell r="H765">
            <v>48328</v>
          </cell>
          <cell r="I765" t="str">
            <v>19 years, 11 months, 30 days</v>
          </cell>
          <cell r="J765" t="str">
            <v>Renewables</v>
          </cell>
          <cell r="K765" t="str">
            <v>Solar (Rooftop)</v>
          </cell>
          <cell r="L765" t="str">
            <v>Solar</v>
          </cell>
          <cell r="M765" t="str">
            <v>Dx</v>
          </cell>
          <cell r="N765" t="str">
            <v>Peterborough</v>
          </cell>
          <cell r="O765" t="str">
            <v>Peterborough</v>
          </cell>
          <cell r="P765" t="str">
            <v>East</v>
          </cell>
        </row>
        <row r="766">
          <cell r="C766" t="str">
            <v>Saptashva Solar, S.A - FIT - Gulu 1463</v>
          </cell>
          <cell r="D766" t="str">
            <v>1000851861 ONTARIO INC.</v>
          </cell>
          <cell r="E766" t="str">
            <v>CO</v>
          </cell>
          <cell r="F766">
            <v>41797</v>
          </cell>
          <cell r="G766">
            <v>42024</v>
          </cell>
          <cell r="H766">
            <v>49328</v>
          </cell>
          <cell r="I766" t="str">
            <v>19 years, 11 months, 30 days</v>
          </cell>
          <cell r="J766" t="str">
            <v>Renewables</v>
          </cell>
          <cell r="K766" t="str">
            <v>Solar (Rooftop)</v>
          </cell>
          <cell r="L766" t="str">
            <v>Solar</v>
          </cell>
          <cell r="M766" t="str">
            <v>Dx</v>
          </cell>
          <cell r="N766" t="str">
            <v>Toronto</v>
          </cell>
          <cell r="O766" t="str">
            <v>Toronto</v>
          </cell>
          <cell r="P766" t="str">
            <v>Toronto</v>
          </cell>
        </row>
        <row r="767">
          <cell r="C767" t="str">
            <v>10 Devon</v>
          </cell>
          <cell r="D767" t="str">
            <v>PSI Solar Finance 1 Limited Partnership</v>
          </cell>
          <cell r="E767" t="str">
            <v>CO</v>
          </cell>
          <cell r="F767">
            <v>41818</v>
          </cell>
          <cell r="G767">
            <v>41249</v>
          </cell>
          <cell r="H767">
            <v>48553</v>
          </cell>
          <cell r="I767" t="str">
            <v>19 years, 11 months, 29 days</v>
          </cell>
          <cell r="J767" t="str">
            <v>Renewables</v>
          </cell>
          <cell r="K767" t="str">
            <v>Solar (Rooftop)</v>
          </cell>
          <cell r="L767" t="str">
            <v>Solar</v>
          </cell>
          <cell r="M767" t="str">
            <v>Dx</v>
          </cell>
          <cell r="N767" t="str">
            <v>Brampton</v>
          </cell>
          <cell r="O767" t="str">
            <v>Peel</v>
          </cell>
          <cell r="P767" t="str">
            <v>Toronto</v>
          </cell>
        </row>
        <row r="768">
          <cell r="C768" t="str">
            <v>Pleasant Valley Solar</v>
          </cell>
          <cell r="D768" t="str">
            <v>Eco-Energy Reserves Inc.</v>
          </cell>
          <cell r="E768" t="str">
            <v>CO</v>
          </cell>
          <cell r="F768">
            <v>41029</v>
          </cell>
          <cell r="G768">
            <v>40701</v>
          </cell>
          <cell r="H768">
            <v>48005</v>
          </cell>
          <cell r="I768" t="str">
            <v>19 years, 11 months, 30 days</v>
          </cell>
          <cell r="J768" t="str">
            <v>Renewables</v>
          </cell>
          <cell r="K768" t="str">
            <v>Solar (Rooftop)</v>
          </cell>
          <cell r="L768" t="str">
            <v>Solar</v>
          </cell>
          <cell r="M768" t="str">
            <v>Dx</v>
          </cell>
          <cell r="N768" t="str">
            <v>South Mountain</v>
          </cell>
          <cell r="O768" t="str">
            <v>Stormont, Dundas and Glengarry</v>
          </cell>
          <cell r="P768" t="str">
            <v>East</v>
          </cell>
        </row>
        <row r="769">
          <cell r="C769" t="str">
            <v>1525 Dundas St. W.</v>
          </cell>
          <cell r="D769" t="str">
            <v>Toronto Community Housing Corporation</v>
          </cell>
          <cell r="E769" t="str">
            <v>CO</v>
          </cell>
          <cell r="F769">
            <v>41029</v>
          </cell>
          <cell r="G769">
            <v>41183</v>
          </cell>
          <cell r="H769">
            <v>48333</v>
          </cell>
          <cell r="I769" t="str">
            <v>19 years, 6 months, 28 days</v>
          </cell>
          <cell r="J769" t="str">
            <v>Renewables</v>
          </cell>
          <cell r="K769" t="str">
            <v>Solar (Rooftop)</v>
          </cell>
          <cell r="L769" t="str">
            <v>Solar</v>
          </cell>
          <cell r="M769" t="str">
            <v>Dx</v>
          </cell>
          <cell r="N769" t="str">
            <v>Toronto</v>
          </cell>
          <cell r="O769" t="str">
            <v>Toronto</v>
          </cell>
          <cell r="P769" t="str">
            <v>Toronto</v>
          </cell>
        </row>
        <row r="770">
          <cell r="C770" t="str">
            <v>Linex Manufacturing</v>
          </cell>
          <cell r="D770" t="str">
            <v>Linamar Corporation</v>
          </cell>
          <cell r="E770" t="str">
            <v>CO</v>
          </cell>
          <cell r="F770">
            <v>41029</v>
          </cell>
          <cell r="G770">
            <v>41183</v>
          </cell>
          <cell r="H770">
            <v>48487</v>
          </cell>
          <cell r="I770" t="str">
            <v>19 years, 11 months, 29 days</v>
          </cell>
          <cell r="J770" t="str">
            <v>Renewables</v>
          </cell>
          <cell r="K770" t="str">
            <v>Solar (Rooftop)</v>
          </cell>
          <cell r="L770" t="str">
            <v>Solar</v>
          </cell>
          <cell r="M770" t="str">
            <v>Dx</v>
          </cell>
          <cell r="N770" t="str">
            <v>Guelph</v>
          </cell>
          <cell r="O770" t="str">
            <v>Wellington</v>
          </cell>
          <cell r="P770" t="str">
            <v>Southwest</v>
          </cell>
        </row>
        <row r="771">
          <cell r="C771" t="str">
            <v>210 Lesmill Road</v>
          </cell>
          <cell r="D771" t="str">
            <v>PSI Solar Finance 1 Limited Partnership</v>
          </cell>
          <cell r="E771" t="str">
            <v>CO</v>
          </cell>
          <cell r="F771">
            <v>41348</v>
          </cell>
          <cell r="G771">
            <v>41477</v>
          </cell>
          <cell r="H771">
            <v>48652</v>
          </cell>
          <cell r="I771" t="str">
            <v>19 years, 7 months, 20 days</v>
          </cell>
          <cell r="J771" t="str">
            <v>Renewables</v>
          </cell>
          <cell r="K771" t="str">
            <v>Solar (Rooftop)</v>
          </cell>
          <cell r="L771" t="str">
            <v>Solar</v>
          </cell>
          <cell r="M771" t="str">
            <v>Dx</v>
          </cell>
          <cell r="N771" t="str">
            <v>Toronto</v>
          </cell>
          <cell r="O771" t="str">
            <v>Toronto</v>
          </cell>
          <cell r="P771" t="str">
            <v>Toronto</v>
          </cell>
        </row>
        <row r="772">
          <cell r="C772" t="str">
            <v>TCHOUSE 001PV</v>
          </cell>
          <cell r="D772" t="str">
            <v>564506 Ontario Limited</v>
          </cell>
          <cell r="E772" t="str">
            <v>CO</v>
          </cell>
          <cell r="F772">
            <v>41806</v>
          </cell>
          <cell r="G772">
            <v>41904</v>
          </cell>
          <cell r="H772">
            <v>49110</v>
          </cell>
          <cell r="I772" t="str">
            <v>19 years, 8 months, 24 days</v>
          </cell>
          <cell r="J772" t="str">
            <v>Renewables</v>
          </cell>
          <cell r="K772" t="str">
            <v>Solar (Rooftop)</v>
          </cell>
          <cell r="L772" t="str">
            <v>Solar</v>
          </cell>
          <cell r="M772" t="str">
            <v>Dx</v>
          </cell>
          <cell r="N772" t="str">
            <v>Peterborough</v>
          </cell>
          <cell r="O772" t="str">
            <v>Peterborough</v>
          </cell>
          <cell r="P772" t="str">
            <v>East</v>
          </cell>
        </row>
        <row r="773">
          <cell r="C773" t="str">
            <v>CanFirst - Toronto (45 Progress Ave)</v>
          </cell>
          <cell r="D773" t="str">
            <v>Firelight Solar LP</v>
          </cell>
          <cell r="E773" t="str">
            <v>CO</v>
          </cell>
          <cell r="F773">
            <v>41797</v>
          </cell>
          <cell r="G773">
            <v>40975</v>
          </cell>
          <cell r="H773">
            <v>48279</v>
          </cell>
          <cell r="I773" t="str">
            <v>19 years, 11 months, 28 days</v>
          </cell>
          <cell r="J773" t="str">
            <v>Renewables</v>
          </cell>
          <cell r="K773" t="str">
            <v>Solar (Rooftop)</v>
          </cell>
          <cell r="L773" t="str">
            <v>Solar</v>
          </cell>
          <cell r="M773" t="str">
            <v>Dx</v>
          </cell>
          <cell r="N773" t="str">
            <v>Toronto</v>
          </cell>
          <cell r="O773" t="str">
            <v>Toronto</v>
          </cell>
          <cell r="P773" t="str">
            <v>Toronto</v>
          </cell>
        </row>
        <row r="774">
          <cell r="C774" t="str">
            <v>1025 Lakeshore</v>
          </cell>
          <cell r="D774" t="str">
            <v>MOM Solar Limited Partnership</v>
          </cell>
          <cell r="E774" t="str">
            <v>CO</v>
          </cell>
          <cell r="F774">
            <v>41029</v>
          </cell>
          <cell r="G774">
            <v>41068</v>
          </cell>
          <cell r="H774">
            <v>48333</v>
          </cell>
          <cell r="I774" t="str">
            <v>19 years, 10 months, 21 days</v>
          </cell>
          <cell r="J774" t="str">
            <v>Renewables</v>
          </cell>
          <cell r="K774" t="str">
            <v>Solar (Rooftop)</v>
          </cell>
          <cell r="L774" t="str">
            <v>Solar</v>
          </cell>
          <cell r="M774" t="str">
            <v>Dx</v>
          </cell>
          <cell r="N774" t="str">
            <v>Toronto</v>
          </cell>
          <cell r="O774" t="str">
            <v>Toronto</v>
          </cell>
          <cell r="P774" t="str">
            <v>Toronto</v>
          </cell>
        </row>
        <row r="775">
          <cell r="C775" t="str">
            <v>(C12) Real Canadian Superstore Don Mills Road</v>
          </cell>
          <cell r="D775" t="str">
            <v>Firelight Solar LP</v>
          </cell>
          <cell r="E775" t="str">
            <v>CO</v>
          </cell>
          <cell r="F775">
            <v>41737</v>
          </cell>
          <cell r="G775">
            <v>41739</v>
          </cell>
          <cell r="H775">
            <v>49043</v>
          </cell>
          <cell r="I775" t="str">
            <v>19 years, 11 months, 30 days</v>
          </cell>
          <cell r="J775" t="str">
            <v>Renewables</v>
          </cell>
          <cell r="K775" t="str">
            <v>Solar (Rooftop)</v>
          </cell>
          <cell r="L775" t="str">
            <v>Solar</v>
          </cell>
          <cell r="M775" t="str">
            <v>Dx</v>
          </cell>
          <cell r="N775" t="str">
            <v>Toronto</v>
          </cell>
          <cell r="O775" t="str">
            <v>Toronto</v>
          </cell>
          <cell r="P775" t="str">
            <v>Toronto</v>
          </cell>
        </row>
        <row r="776">
          <cell r="C776" t="str">
            <v>RE Midhurst 3</v>
          </cell>
          <cell r="D776" t="str">
            <v>Met Axium Solar Midhurst 3 L.P.</v>
          </cell>
          <cell r="E776" t="str">
            <v>CO</v>
          </cell>
          <cell r="F776">
            <v>41477</v>
          </cell>
          <cell r="G776">
            <v>41612</v>
          </cell>
          <cell r="H776">
            <v>48916</v>
          </cell>
          <cell r="I776" t="str">
            <v>19 years, 11 months, 29 days</v>
          </cell>
          <cell r="J776" t="str">
            <v>Renewables</v>
          </cell>
          <cell r="K776" t="str">
            <v>Solar (Ground Mounted)</v>
          </cell>
          <cell r="L776" t="str">
            <v>Solar</v>
          </cell>
          <cell r="M776" t="str">
            <v>Dx</v>
          </cell>
          <cell r="N776" t="str">
            <v>Oro Station</v>
          </cell>
          <cell r="O776" t="str">
            <v>Simcoe</v>
          </cell>
          <cell r="P776" t="str">
            <v>Essa</v>
          </cell>
        </row>
        <row r="777">
          <cell r="C777" t="str">
            <v>1838 CR-5 P.E.C.</v>
          </cell>
          <cell r="D777" t="str">
            <v>CLEAVE ENERGY HOLDINGS LTD.</v>
          </cell>
          <cell r="E777" t="str">
            <v>CO</v>
          </cell>
          <cell r="F777">
            <v>41470</v>
          </cell>
          <cell r="G777">
            <v>41757</v>
          </cell>
          <cell r="H777">
            <v>48774</v>
          </cell>
          <cell r="I777" t="str">
            <v>19 years, 2 months, 16 days</v>
          </cell>
          <cell r="J777" t="str">
            <v>Renewables</v>
          </cell>
          <cell r="K777" t="str">
            <v>Solar (Rooftop)</v>
          </cell>
          <cell r="L777" t="str">
            <v>Solar</v>
          </cell>
          <cell r="M777" t="str">
            <v>Dx</v>
          </cell>
          <cell r="N777" t="str">
            <v>Picton</v>
          </cell>
          <cell r="O777" t="str">
            <v>Prince Edward</v>
          </cell>
          <cell r="P777" t="str">
            <v>East</v>
          </cell>
        </row>
        <row r="778">
          <cell r="C778" t="str">
            <v>170 TYCOS</v>
          </cell>
          <cell r="D778" t="str">
            <v>PSI Solar Finance 1 Limited Partnership</v>
          </cell>
          <cell r="E778" t="str">
            <v>CO</v>
          </cell>
          <cell r="F778">
            <v>41029</v>
          </cell>
          <cell r="G778">
            <v>40852</v>
          </cell>
          <cell r="H778">
            <v>48156</v>
          </cell>
          <cell r="I778" t="str">
            <v>19 years, 11 months, 30 days</v>
          </cell>
          <cell r="J778" t="str">
            <v>Renewables</v>
          </cell>
          <cell r="K778" t="str">
            <v>Solar (Rooftop)</v>
          </cell>
          <cell r="L778" t="str">
            <v>Solar</v>
          </cell>
          <cell r="M778" t="str">
            <v>Dx</v>
          </cell>
          <cell r="N778" t="str">
            <v>Toronto</v>
          </cell>
          <cell r="O778" t="str">
            <v>Toronto</v>
          </cell>
          <cell r="P778" t="str">
            <v>Toronto</v>
          </cell>
        </row>
        <row r="779">
          <cell r="C779" t="str">
            <v>Reko Intl. Group (469 Silver Creek Industrial Dr.)</v>
          </cell>
          <cell r="D779" t="str">
            <v>Alectra Utilities Corporation</v>
          </cell>
          <cell r="E779" t="str">
            <v>CO</v>
          </cell>
          <cell r="F779">
            <v>41813</v>
          </cell>
          <cell r="G779">
            <v>41289</v>
          </cell>
          <cell r="H779">
            <v>48593</v>
          </cell>
          <cell r="I779" t="str">
            <v>19 years, 11 months, 30 days</v>
          </cell>
          <cell r="J779" t="str">
            <v>Renewables</v>
          </cell>
          <cell r="K779" t="str">
            <v>Solar (Rooftop)</v>
          </cell>
          <cell r="L779" t="str">
            <v>Solar</v>
          </cell>
          <cell r="M779" t="str">
            <v>Dx</v>
          </cell>
          <cell r="N779" t="str">
            <v>Oldcastle</v>
          </cell>
          <cell r="O779" t="str">
            <v>Essex</v>
          </cell>
          <cell r="P779" t="str">
            <v>West</v>
          </cell>
        </row>
        <row r="780">
          <cell r="C780" t="str">
            <v>CEPEO Michaelle-Jean</v>
          </cell>
          <cell r="D780" t="str">
            <v>Ameresco CEPEO Solar Inc.</v>
          </cell>
          <cell r="E780" t="str">
            <v>CO</v>
          </cell>
          <cell r="F780">
            <v>41029</v>
          </cell>
          <cell r="G780">
            <v>41193</v>
          </cell>
          <cell r="H780">
            <v>48497</v>
          </cell>
          <cell r="I780" t="str">
            <v>19 years, 11 months, 29 days</v>
          </cell>
          <cell r="J780" t="str">
            <v>Renewables</v>
          </cell>
          <cell r="K780" t="str">
            <v>Solar (Rooftop)</v>
          </cell>
          <cell r="L780" t="str">
            <v>Solar</v>
          </cell>
          <cell r="M780" t="str">
            <v>Dx</v>
          </cell>
          <cell r="N780" t="str">
            <v>Ottawa</v>
          </cell>
          <cell r="O780" t="str">
            <v>Ottawa</v>
          </cell>
          <cell r="P780" t="str">
            <v>Ottawa</v>
          </cell>
        </row>
        <row r="781">
          <cell r="C781" t="str">
            <v>Earth Rangers Aviary Solar</v>
          </cell>
          <cell r="D781" t="str">
            <v>The Earth Rangers Foundation</v>
          </cell>
          <cell r="E781" t="str">
            <v>CO</v>
          </cell>
          <cell r="F781">
            <v>41365</v>
          </cell>
          <cell r="G781">
            <v>40567</v>
          </cell>
          <cell r="H781">
            <v>47871</v>
          </cell>
          <cell r="I781" t="str">
            <v>19 years, 11 months, 30 days</v>
          </cell>
          <cell r="J781" t="str">
            <v>Renewables</v>
          </cell>
          <cell r="K781" t="str">
            <v>Solar (Rooftop)</v>
          </cell>
          <cell r="L781" t="str">
            <v>Solar</v>
          </cell>
          <cell r="M781" t="str">
            <v>Dx</v>
          </cell>
          <cell r="N781" t="str">
            <v>Woodbridge</v>
          </cell>
          <cell r="O781" t="str">
            <v>York</v>
          </cell>
          <cell r="P781" t="str">
            <v>Toronto</v>
          </cell>
        </row>
        <row r="782">
          <cell r="C782" t="str">
            <v>Northland Power Solar Crosby</v>
          </cell>
          <cell r="D782" t="str">
            <v>Northland Power Solar Crosby L.P.</v>
          </cell>
          <cell r="E782" t="str">
            <v>CO</v>
          </cell>
          <cell r="F782">
            <v>41325</v>
          </cell>
          <cell r="G782">
            <v>41446</v>
          </cell>
          <cell r="H782">
            <v>48750</v>
          </cell>
          <cell r="I782" t="str">
            <v>19 years, 11 months, 30 days</v>
          </cell>
          <cell r="J782" t="str">
            <v>Renewables</v>
          </cell>
          <cell r="K782" t="str">
            <v>Solar (Ground Mounted)</v>
          </cell>
          <cell r="L782" t="str">
            <v>Solar</v>
          </cell>
          <cell r="M782" t="str">
            <v>Dx</v>
          </cell>
          <cell r="N782" t="str">
            <v>Portland</v>
          </cell>
          <cell r="O782" t="str">
            <v>Leeds and Grenville</v>
          </cell>
          <cell r="P782" t="str">
            <v>East</v>
          </cell>
        </row>
        <row r="783">
          <cell r="C783" t="str">
            <v>1620 Steeles Avenue</v>
          </cell>
          <cell r="D783" t="str">
            <v>1076930 Ontario Limited</v>
          </cell>
          <cell r="E783" t="str">
            <v>CO</v>
          </cell>
          <cell r="F783">
            <v>41912</v>
          </cell>
          <cell r="G783">
            <v>41870</v>
          </cell>
          <cell r="H783">
            <v>49174</v>
          </cell>
          <cell r="I783" t="str">
            <v>19 years, 11 months, 30 days</v>
          </cell>
          <cell r="J783" t="str">
            <v>Renewables</v>
          </cell>
          <cell r="K783" t="str">
            <v>Solar (Rooftop)</v>
          </cell>
          <cell r="L783" t="str">
            <v>Solar</v>
          </cell>
          <cell r="M783" t="str">
            <v>Dx</v>
          </cell>
          <cell r="N783" t="str">
            <v>Brampton</v>
          </cell>
          <cell r="O783" t="str">
            <v>Peel</v>
          </cell>
          <cell r="P783" t="str">
            <v>Toronto</v>
          </cell>
        </row>
        <row r="784">
          <cell r="C784" t="str">
            <v>AB102-1878</v>
          </cell>
          <cell r="D784" t="str">
            <v>G. BRANDT MEAT PACKERS LTD</v>
          </cell>
          <cell r="E784" t="str">
            <v>CO</v>
          </cell>
          <cell r="F784">
            <v>41029</v>
          </cell>
          <cell r="G784">
            <v>41029</v>
          </cell>
          <cell r="H784">
            <v>48333</v>
          </cell>
          <cell r="I784" t="str">
            <v>19 years, 11 months, 30 days</v>
          </cell>
          <cell r="J784" t="str">
            <v>Renewables</v>
          </cell>
          <cell r="K784" t="str">
            <v>Solar (Rooftop)</v>
          </cell>
          <cell r="L784" t="str">
            <v>Solar</v>
          </cell>
          <cell r="M784" t="str">
            <v>Dx</v>
          </cell>
          <cell r="N784" t="str">
            <v>Mississauga</v>
          </cell>
          <cell r="O784" t="str">
            <v>Peel</v>
          </cell>
          <cell r="P784" t="str">
            <v>Toronto</v>
          </cell>
        </row>
        <row r="785">
          <cell r="C785" t="str">
            <v>Dutton Pork</v>
          </cell>
          <cell r="D785" t="str">
            <v>Luyks Holdings Ltd</v>
          </cell>
          <cell r="E785" t="str">
            <v>CO</v>
          </cell>
          <cell r="F785">
            <v>41029</v>
          </cell>
          <cell r="G785">
            <v>40899</v>
          </cell>
          <cell r="H785">
            <v>48203</v>
          </cell>
          <cell r="I785" t="str">
            <v>19 years, 11 months, 29 days</v>
          </cell>
          <cell r="J785" t="str">
            <v>Renewables</v>
          </cell>
          <cell r="K785" t="str">
            <v>Solar (Rooftop)</v>
          </cell>
          <cell r="L785" t="str">
            <v>Solar</v>
          </cell>
          <cell r="M785" t="str">
            <v>Dx</v>
          </cell>
          <cell r="N785" t="str">
            <v>Dutton</v>
          </cell>
          <cell r="O785" t="str">
            <v>Elgin</v>
          </cell>
          <cell r="P785" t="str">
            <v>West</v>
          </cell>
        </row>
        <row r="786">
          <cell r="C786" t="str">
            <v>H06-100 GATEWAY</v>
          </cell>
          <cell r="D786" t="str">
            <v>PSI Solar Finance 1 Limited Partnership</v>
          </cell>
          <cell r="E786" t="str">
            <v>CO</v>
          </cell>
          <cell r="F786">
            <v>41854</v>
          </cell>
          <cell r="G786">
            <v>41794</v>
          </cell>
          <cell r="H786">
            <v>49098</v>
          </cell>
          <cell r="I786" t="str">
            <v>19 years, 11 months, 30 days</v>
          </cell>
          <cell r="J786" t="str">
            <v>Renewables</v>
          </cell>
          <cell r="K786" t="str">
            <v>Solar (Rooftop)</v>
          </cell>
          <cell r="L786" t="str">
            <v>Solar</v>
          </cell>
          <cell r="M786" t="str">
            <v>Dx</v>
          </cell>
          <cell r="N786" t="str">
            <v>Kitchener</v>
          </cell>
          <cell r="O786" t="str">
            <v>Waterloo</v>
          </cell>
          <cell r="P786" t="str">
            <v>Southwest</v>
          </cell>
        </row>
        <row r="787">
          <cell r="C787" t="str">
            <v>Canadian Opera Company</v>
          </cell>
          <cell r="D787" t="str">
            <v>Canadian Opera Company</v>
          </cell>
          <cell r="E787" t="str">
            <v>CO</v>
          </cell>
          <cell r="F787">
            <v>40663</v>
          </cell>
          <cell r="G787">
            <v>40663</v>
          </cell>
          <cell r="H787">
            <v>47967</v>
          </cell>
          <cell r="I787" t="str">
            <v>19 years, 11 months, 30 days</v>
          </cell>
          <cell r="J787" t="str">
            <v>Renewables</v>
          </cell>
          <cell r="K787" t="str">
            <v>Solar (Rooftop)</v>
          </cell>
          <cell r="L787" t="str">
            <v>Solar</v>
          </cell>
          <cell r="M787" t="str">
            <v>Dx</v>
          </cell>
          <cell r="N787" t="str">
            <v>Toronto</v>
          </cell>
          <cell r="O787" t="str">
            <v>Toronto</v>
          </cell>
          <cell r="P787" t="str">
            <v>Toronto</v>
          </cell>
        </row>
        <row r="788">
          <cell r="C788" t="str">
            <v>Menkes-30 Mural Street</v>
          </cell>
          <cell r="D788" t="str">
            <v>Castleberry Investments Limited</v>
          </cell>
          <cell r="E788" t="str">
            <v>CO</v>
          </cell>
          <cell r="F788">
            <v>41825</v>
          </cell>
          <cell r="G788">
            <v>41201</v>
          </cell>
          <cell r="H788">
            <v>48505</v>
          </cell>
          <cell r="I788" t="str">
            <v>19 years, 11 months, 29 days</v>
          </cell>
          <cell r="J788" t="str">
            <v>Renewables</v>
          </cell>
          <cell r="K788" t="str">
            <v>Solar (Rooftop)</v>
          </cell>
          <cell r="L788" t="str">
            <v>Solar</v>
          </cell>
          <cell r="M788" t="str">
            <v>Dx</v>
          </cell>
          <cell r="N788" t="str">
            <v>Richmond Hill</v>
          </cell>
          <cell r="O788" t="str">
            <v>York</v>
          </cell>
          <cell r="P788" t="str">
            <v>Toronto</v>
          </cell>
        </row>
        <row r="789">
          <cell r="C789" t="str">
            <v>588 Glengarry Cres, Rowe Electric</v>
          </cell>
          <cell r="D789" t="str">
            <v>2249122 Ont Ltd</v>
          </cell>
          <cell r="E789" t="str">
            <v>CO</v>
          </cell>
          <cell r="F789">
            <v>41799</v>
          </cell>
          <cell r="G789">
            <v>41187</v>
          </cell>
          <cell r="H789">
            <v>48491</v>
          </cell>
          <cell r="I789" t="str">
            <v>19 years, 11 months, 29 days</v>
          </cell>
          <cell r="J789" t="str">
            <v>Renewables</v>
          </cell>
          <cell r="K789" t="str">
            <v>Solar (Rooftop)</v>
          </cell>
          <cell r="L789" t="str">
            <v>Solar</v>
          </cell>
          <cell r="M789" t="str">
            <v>Dx</v>
          </cell>
          <cell r="N789" t="str">
            <v>Fergus</v>
          </cell>
          <cell r="O789" t="str">
            <v>Wellington</v>
          </cell>
          <cell r="P789" t="str">
            <v>Southwest</v>
          </cell>
        </row>
        <row r="790">
          <cell r="C790" t="str">
            <v>Nigig Power Corporation</v>
          </cell>
          <cell r="D790" t="str">
            <v>Henvey Inlet Wind LP</v>
          </cell>
          <cell r="E790" t="str">
            <v>CO</v>
          </cell>
          <cell r="F790">
            <v>43156</v>
          </cell>
          <cell r="G790">
            <v>43717</v>
          </cell>
          <cell r="H790">
            <v>51021</v>
          </cell>
          <cell r="I790" t="str">
            <v>19 years, 11 months, 30 days</v>
          </cell>
          <cell r="J790" t="str">
            <v>Renewables</v>
          </cell>
          <cell r="K790" t="str">
            <v>Wind (On-Shore)</v>
          </cell>
          <cell r="L790" t="str">
            <v>Wind</v>
          </cell>
          <cell r="M790" t="str">
            <v>Tx</v>
          </cell>
          <cell r="N790" t="str">
            <v>Pickerel</v>
          </cell>
          <cell r="O790" t="str">
            <v>Parry Sound</v>
          </cell>
          <cell r="P790" t="str">
            <v>Essa</v>
          </cell>
        </row>
        <row r="791">
          <cell r="C791" t="str">
            <v>Ferme Geranik Solar</v>
          </cell>
          <cell r="D791" t="str">
            <v>Ferme Geranik Inc.</v>
          </cell>
          <cell r="E791" t="str">
            <v>CO</v>
          </cell>
          <cell r="F791">
            <v>41510</v>
          </cell>
          <cell r="G791">
            <v>41099</v>
          </cell>
          <cell r="H791">
            <v>48403</v>
          </cell>
          <cell r="I791" t="str">
            <v>19 years, 11 months, 29 days</v>
          </cell>
          <cell r="J791" t="str">
            <v>Renewables</v>
          </cell>
          <cell r="K791" t="str">
            <v>Solar (Rooftop)</v>
          </cell>
          <cell r="L791" t="str">
            <v>Solar</v>
          </cell>
          <cell r="M791" t="str">
            <v>Dx</v>
          </cell>
          <cell r="N791" t="str">
            <v>St. Albert</v>
          </cell>
          <cell r="O791" t="str">
            <v>Prescott and Russell</v>
          </cell>
          <cell r="P791" t="str">
            <v>Ottawa</v>
          </cell>
        </row>
        <row r="792">
          <cell r="C792" t="str">
            <v>329 Stirling Avenue South RT</v>
          </cell>
          <cell r="D792" t="str">
            <v>Brightroof Solar Limited Partnership</v>
          </cell>
          <cell r="E792" t="str">
            <v>CO</v>
          </cell>
          <cell r="F792">
            <v>41818</v>
          </cell>
          <cell r="G792">
            <v>41331</v>
          </cell>
          <cell r="H792">
            <v>48635</v>
          </cell>
          <cell r="I792" t="str">
            <v>19 years, 11 months, 30 days</v>
          </cell>
          <cell r="J792" t="str">
            <v>Renewables</v>
          </cell>
          <cell r="K792" t="str">
            <v>Solar (Rooftop)</v>
          </cell>
          <cell r="L792" t="str">
            <v>Solar</v>
          </cell>
          <cell r="M792" t="str">
            <v>Dx</v>
          </cell>
          <cell r="N792" t="str">
            <v>Kitchener</v>
          </cell>
          <cell r="O792" t="str">
            <v>Waterloo</v>
          </cell>
          <cell r="P792" t="str">
            <v>Southwest</v>
          </cell>
        </row>
        <row r="793">
          <cell r="C793" t="str">
            <v>Brockville Solar Inc.</v>
          </cell>
          <cell r="D793" t="str">
            <v>Brockville Solar Inc.</v>
          </cell>
          <cell r="E793" t="str">
            <v>CO</v>
          </cell>
          <cell r="F793">
            <v>41416</v>
          </cell>
          <cell r="G793">
            <v>41333</v>
          </cell>
          <cell r="H793">
            <v>48637</v>
          </cell>
          <cell r="I793" t="str">
            <v>19 years, 11 months, 30 days</v>
          </cell>
          <cell r="J793" t="str">
            <v>Renewables</v>
          </cell>
          <cell r="K793" t="str">
            <v>Solar (Ground Mounted)</v>
          </cell>
          <cell r="L793" t="str">
            <v>Solar</v>
          </cell>
          <cell r="M793" t="str">
            <v>Dx</v>
          </cell>
          <cell r="N793" t="str">
            <v>Lyn</v>
          </cell>
          <cell r="O793" t="str">
            <v>Leeds and Grenville</v>
          </cell>
          <cell r="P793" t="str">
            <v>East</v>
          </cell>
        </row>
        <row r="794">
          <cell r="C794" t="str">
            <v>City of Hamilton Facility #3 (Operations Centre)</v>
          </cell>
          <cell r="D794" t="str">
            <v>Solar Sunbelt General Partnership</v>
          </cell>
          <cell r="E794" t="str">
            <v>CO</v>
          </cell>
          <cell r="F794">
            <v>41804</v>
          </cell>
          <cell r="G794">
            <v>41576</v>
          </cell>
          <cell r="H794">
            <v>48880</v>
          </cell>
          <cell r="I794" t="str">
            <v>19 years, 11 months, 29 days</v>
          </cell>
          <cell r="J794" t="str">
            <v>Renewables</v>
          </cell>
          <cell r="K794" t="str">
            <v>Solar (Rooftop)</v>
          </cell>
          <cell r="L794" t="str">
            <v>Solar</v>
          </cell>
          <cell r="M794" t="str">
            <v>Dx</v>
          </cell>
          <cell r="N794" t="str">
            <v>Hamilton</v>
          </cell>
          <cell r="O794" t="str">
            <v>Hamilton</v>
          </cell>
          <cell r="P794" t="str">
            <v>Southwest</v>
          </cell>
        </row>
        <row r="795">
          <cell r="C795" t="str">
            <v>Folkens # 1</v>
          </cell>
          <cell r="D795" t="str">
            <v>Brightroof Solar Limited Partnership</v>
          </cell>
          <cell r="E795" t="str">
            <v>CO</v>
          </cell>
          <cell r="F795">
            <v>41799</v>
          </cell>
          <cell r="G795">
            <v>41887</v>
          </cell>
          <cell r="H795">
            <v>49191</v>
          </cell>
          <cell r="I795" t="str">
            <v>19 years, 11 months, 30 days</v>
          </cell>
          <cell r="J795" t="str">
            <v>Renewables</v>
          </cell>
          <cell r="K795" t="str">
            <v>Solar (Rooftop)</v>
          </cell>
          <cell r="L795" t="str">
            <v>Solar</v>
          </cell>
          <cell r="M795" t="str">
            <v>Dx</v>
          </cell>
          <cell r="N795" t="str">
            <v>Hamilton</v>
          </cell>
          <cell r="O795" t="str">
            <v>Hamilton</v>
          </cell>
          <cell r="P795" t="str">
            <v>Southwest</v>
          </cell>
        </row>
        <row r="796">
          <cell r="C796" t="str">
            <v>Rybak Solar II</v>
          </cell>
          <cell r="D796" t="str">
            <v>CFW M6M SOLAR I</v>
          </cell>
          <cell r="E796" t="str">
            <v>CO</v>
          </cell>
          <cell r="F796">
            <v>41820</v>
          </cell>
          <cell r="G796">
            <v>40977</v>
          </cell>
          <cell r="H796">
            <v>48281</v>
          </cell>
          <cell r="I796" t="str">
            <v>19 years, 11 months, 28 days</v>
          </cell>
          <cell r="J796" t="str">
            <v>Renewables</v>
          </cell>
          <cell r="K796" t="str">
            <v>Solar (Rooftop)</v>
          </cell>
          <cell r="L796" t="str">
            <v>Solar</v>
          </cell>
          <cell r="M796" t="str">
            <v>Dx</v>
          </cell>
          <cell r="N796" t="str">
            <v>Toronto</v>
          </cell>
          <cell r="O796" t="str">
            <v>Toronto</v>
          </cell>
          <cell r="P796" t="str">
            <v>Toronto</v>
          </cell>
        </row>
        <row r="797">
          <cell r="C797" t="str">
            <v>2465 Tedlo St</v>
          </cell>
          <cell r="D797" t="str">
            <v>PSI Solar Finance 1 Limited Partnership</v>
          </cell>
          <cell r="E797" t="str">
            <v>CO</v>
          </cell>
          <cell r="F797">
            <v>41029</v>
          </cell>
          <cell r="G797">
            <v>40690</v>
          </cell>
          <cell r="H797">
            <v>47994</v>
          </cell>
          <cell r="I797" t="str">
            <v>19 years, 11 months, 29 days</v>
          </cell>
          <cell r="J797" t="str">
            <v>Renewables</v>
          </cell>
          <cell r="K797" t="str">
            <v>Solar (Rooftop)</v>
          </cell>
          <cell r="L797" t="str">
            <v>Solar</v>
          </cell>
          <cell r="M797" t="str">
            <v>Dx</v>
          </cell>
          <cell r="N797" t="str">
            <v>Mississauga</v>
          </cell>
          <cell r="O797" t="str">
            <v>Peel</v>
          </cell>
          <cell r="P797" t="str">
            <v>Toronto</v>
          </cell>
        </row>
        <row r="798">
          <cell r="C798" t="str">
            <v>Niagara College</v>
          </cell>
          <cell r="D798" t="str">
            <v>The Board of Governors of the Niagara College of Applied Arts and Technology</v>
          </cell>
          <cell r="E798" t="str">
            <v>CO</v>
          </cell>
          <cell r="F798">
            <v>41832</v>
          </cell>
          <cell r="G798">
            <v>41675</v>
          </cell>
          <cell r="H798">
            <v>48979</v>
          </cell>
          <cell r="I798" t="str">
            <v>19 years, 11 months, 30 days</v>
          </cell>
          <cell r="J798" t="str">
            <v>Renewables</v>
          </cell>
          <cell r="K798" t="str">
            <v>Solar (Rooftop)</v>
          </cell>
          <cell r="L798" t="str">
            <v>Solar</v>
          </cell>
          <cell r="M798" t="str">
            <v>Dx</v>
          </cell>
          <cell r="N798" t="str">
            <v>Welland</v>
          </cell>
          <cell r="O798" t="str">
            <v>Niagara</v>
          </cell>
          <cell r="P798" t="str">
            <v>Niagara</v>
          </cell>
        </row>
        <row r="799">
          <cell r="C799" t="str">
            <v>Strobele Rooftop Solar</v>
          </cell>
          <cell r="D799" t="str">
            <v>Strobele Investments Limited</v>
          </cell>
          <cell r="E799" t="str">
            <v>CO</v>
          </cell>
          <cell r="F799">
            <v>41811</v>
          </cell>
          <cell r="G799">
            <v>41320</v>
          </cell>
          <cell r="H799">
            <v>48624</v>
          </cell>
          <cell r="I799" t="str">
            <v>19 years, 11 months, 30 days</v>
          </cell>
          <cell r="J799" t="str">
            <v>Renewables</v>
          </cell>
          <cell r="K799" t="str">
            <v>Solar (Rooftop)</v>
          </cell>
          <cell r="L799" t="str">
            <v>Solar</v>
          </cell>
          <cell r="M799" t="str">
            <v>Dx</v>
          </cell>
          <cell r="N799" t="str">
            <v>Campbellville</v>
          </cell>
          <cell r="O799" t="str">
            <v>Halton</v>
          </cell>
          <cell r="P799" t="str">
            <v>Southwest</v>
          </cell>
        </row>
        <row r="800">
          <cell r="C800" t="str">
            <v>Van Osch Farms A</v>
          </cell>
          <cell r="D800" t="str">
            <v>SE 2011 LP</v>
          </cell>
          <cell r="E800" t="str">
            <v>CO</v>
          </cell>
          <cell r="F800">
            <v>41029</v>
          </cell>
          <cell r="G800">
            <v>41071</v>
          </cell>
          <cell r="H800">
            <v>48375</v>
          </cell>
          <cell r="I800" t="str">
            <v>19 years, 11 months, 30 days</v>
          </cell>
          <cell r="J800" t="str">
            <v>Renewables</v>
          </cell>
          <cell r="K800" t="str">
            <v>Solar (Rooftop)</v>
          </cell>
          <cell r="L800" t="str">
            <v>Solar</v>
          </cell>
          <cell r="M800" t="str">
            <v>Dx</v>
          </cell>
          <cell r="N800" t="str">
            <v>Ailsa Craig</v>
          </cell>
          <cell r="O800" t="str">
            <v>Middlesex</v>
          </cell>
          <cell r="P800" t="str">
            <v>Southwest</v>
          </cell>
        </row>
        <row r="801">
          <cell r="C801" t="str">
            <v>Misener Farms Shop</v>
          </cell>
          <cell r="D801" t="str">
            <v>Weyburn Farms Inc</v>
          </cell>
          <cell r="E801" t="str">
            <v>CO</v>
          </cell>
          <cell r="F801">
            <v>41825</v>
          </cell>
          <cell r="G801">
            <v>41124</v>
          </cell>
          <cell r="H801">
            <v>48428</v>
          </cell>
          <cell r="I801" t="str">
            <v>19 years, 11 months, 30 days</v>
          </cell>
          <cell r="J801" t="str">
            <v>Renewables</v>
          </cell>
          <cell r="K801" t="str">
            <v>Solar (Rooftop)</v>
          </cell>
          <cell r="L801" t="str">
            <v>Solar</v>
          </cell>
          <cell r="M801" t="str">
            <v>Dx</v>
          </cell>
          <cell r="N801" t="str">
            <v>Acton</v>
          </cell>
          <cell r="O801" t="str">
            <v>Halton</v>
          </cell>
          <cell r="P801" t="str">
            <v>Southwest</v>
          </cell>
        </row>
        <row r="802">
          <cell r="C802" t="str">
            <v>RE Waubaushene 5</v>
          </cell>
          <cell r="D802" t="str">
            <v>Aurora Waubaushene 5 Limited Partnership</v>
          </cell>
          <cell r="E802" t="str">
            <v>CO</v>
          </cell>
          <cell r="F802">
            <v>41395</v>
          </cell>
          <cell r="G802">
            <v>41383</v>
          </cell>
          <cell r="H802">
            <v>48687</v>
          </cell>
          <cell r="I802" t="str">
            <v>19 years, 11 months, 30 days</v>
          </cell>
          <cell r="J802" t="str">
            <v>Renewables</v>
          </cell>
          <cell r="K802" t="str">
            <v>Solar (Ground Mounted)</v>
          </cell>
          <cell r="L802" t="str">
            <v>Solar</v>
          </cell>
          <cell r="M802" t="str">
            <v>Dx</v>
          </cell>
          <cell r="N802" t="str">
            <v>Coldwater</v>
          </cell>
          <cell r="O802" t="str">
            <v>Simcoe</v>
          </cell>
          <cell r="P802" t="str">
            <v>Essa</v>
          </cell>
        </row>
        <row r="803">
          <cell r="C803" t="str">
            <v>18 Melanie</v>
          </cell>
          <cell r="D803" t="str">
            <v>Ontario Solar PVR 4 Limited Partnership</v>
          </cell>
          <cell r="E803" t="str">
            <v>CO</v>
          </cell>
          <cell r="F803">
            <v>41806</v>
          </cell>
          <cell r="G803">
            <v>41394</v>
          </cell>
          <cell r="H803">
            <v>48698</v>
          </cell>
          <cell r="I803" t="str">
            <v>19 years, 11 months, 30 days</v>
          </cell>
          <cell r="J803" t="str">
            <v>Renewables</v>
          </cell>
          <cell r="K803" t="str">
            <v>Solar (Rooftop)</v>
          </cell>
          <cell r="L803" t="str">
            <v>Solar</v>
          </cell>
          <cell r="M803" t="str">
            <v>Dx</v>
          </cell>
          <cell r="N803" t="str">
            <v>Brampton</v>
          </cell>
          <cell r="O803" t="str">
            <v>Peel</v>
          </cell>
          <cell r="P803" t="str">
            <v>Toronto</v>
          </cell>
        </row>
        <row r="804">
          <cell r="C804" t="str">
            <v>Canadian Solar Developers Ltd. L.P.#9</v>
          </cell>
          <cell r="D804" t="str">
            <v>Mann Ground Mount Solar Ltd.</v>
          </cell>
          <cell r="E804" t="str">
            <v>CO</v>
          </cell>
          <cell r="F804">
            <v>41489</v>
          </cell>
          <cell r="G804">
            <v>41675</v>
          </cell>
          <cell r="H804">
            <v>48793</v>
          </cell>
          <cell r="I804" t="str">
            <v>19 years, 5 months, 28 days</v>
          </cell>
          <cell r="J804" t="str">
            <v>Renewables</v>
          </cell>
          <cell r="K804" t="str">
            <v>Solar (Ground Mounted)</v>
          </cell>
          <cell r="L804" t="str">
            <v>Solar</v>
          </cell>
          <cell r="M804" t="str">
            <v>Dx</v>
          </cell>
          <cell r="N804" t="str">
            <v>Midhurst</v>
          </cell>
          <cell r="O804" t="str">
            <v>Simcoe</v>
          </cell>
          <cell r="P804" t="str">
            <v>Essa</v>
          </cell>
        </row>
        <row r="805">
          <cell r="C805" t="str">
            <v>C010-280 Aviva Park</v>
          </cell>
          <cell r="D805" t="str">
            <v>Skyline Clean Energy Holdings Inc.</v>
          </cell>
          <cell r="E805" t="str">
            <v>CO</v>
          </cell>
          <cell r="F805">
            <v>41737</v>
          </cell>
          <cell r="G805">
            <v>41920</v>
          </cell>
          <cell r="H805">
            <v>49224</v>
          </cell>
          <cell r="I805" t="str">
            <v>19 years, 11 months, 29 days</v>
          </cell>
          <cell r="J805" t="str">
            <v>Renewables</v>
          </cell>
          <cell r="K805" t="str">
            <v>Solar (Rooftop)</v>
          </cell>
          <cell r="L805" t="str">
            <v>Solar</v>
          </cell>
          <cell r="M805" t="str">
            <v>Dx</v>
          </cell>
          <cell r="N805" t="str">
            <v>Woodbridge</v>
          </cell>
          <cell r="O805" t="str">
            <v>York</v>
          </cell>
          <cell r="P805" t="str">
            <v>Toronto</v>
          </cell>
        </row>
        <row r="806">
          <cell r="C806" t="str">
            <v>BRC-Building-Rooftop-PV</v>
          </cell>
          <cell r="D806" t="str">
            <v>Hammer Investments Inc.</v>
          </cell>
          <cell r="E806" t="str">
            <v>CO</v>
          </cell>
          <cell r="F806">
            <v>41029</v>
          </cell>
          <cell r="G806">
            <v>40745</v>
          </cell>
          <cell r="H806">
            <v>48049</v>
          </cell>
          <cell r="I806" t="str">
            <v>19 years, 11 months, 29 days</v>
          </cell>
          <cell r="J806" t="str">
            <v>Renewables</v>
          </cell>
          <cell r="K806" t="str">
            <v>Solar (Rooftop)</v>
          </cell>
          <cell r="L806" t="str">
            <v>Solar</v>
          </cell>
          <cell r="M806" t="str">
            <v>Dx</v>
          </cell>
          <cell r="N806" t="str">
            <v>Halton Hills</v>
          </cell>
          <cell r="O806" t="str">
            <v>Halton</v>
          </cell>
          <cell r="P806" t="str">
            <v>Toronto</v>
          </cell>
        </row>
        <row r="807">
          <cell r="C807" t="str">
            <v>Liskeard 3</v>
          </cell>
          <cell r="D807" t="str">
            <v>Axium Infinity Solar LP</v>
          </cell>
          <cell r="E807" t="str">
            <v>CO</v>
          </cell>
          <cell r="F807">
            <v>41887</v>
          </cell>
          <cell r="G807">
            <v>41837</v>
          </cell>
          <cell r="H807">
            <v>49141</v>
          </cell>
          <cell r="I807" t="str">
            <v>19 years, 11 months, 29 days</v>
          </cell>
          <cell r="J807" t="str">
            <v>Renewables</v>
          </cell>
          <cell r="K807" t="str">
            <v>Solar (Ground Mounted)</v>
          </cell>
          <cell r="L807" t="str">
            <v>Solar</v>
          </cell>
          <cell r="M807" t="str">
            <v>Tx</v>
          </cell>
          <cell r="N807" t="str">
            <v>New Liskeard</v>
          </cell>
          <cell r="O807" t="str">
            <v>Timiskaming</v>
          </cell>
          <cell r="P807" t="str">
            <v>Northeast</v>
          </cell>
        </row>
        <row r="808">
          <cell r="C808" t="str">
            <v>Western Fair</v>
          </cell>
          <cell r="D808" t="str">
            <v>Fair-City Joint Venture</v>
          </cell>
          <cell r="E808" t="str">
            <v>CO</v>
          </cell>
          <cell r="F808">
            <v>41825</v>
          </cell>
          <cell r="G808">
            <v>41324</v>
          </cell>
          <cell r="H808">
            <v>48628</v>
          </cell>
          <cell r="I808" t="str">
            <v>19 years, 11 months, 30 days</v>
          </cell>
          <cell r="J808" t="str">
            <v>Renewables</v>
          </cell>
          <cell r="K808" t="str">
            <v>Solar (Rooftop)</v>
          </cell>
          <cell r="L808" t="str">
            <v>Solar</v>
          </cell>
          <cell r="M808" t="str">
            <v>Dx</v>
          </cell>
          <cell r="N808" t="str">
            <v>London</v>
          </cell>
          <cell r="O808" t="str">
            <v>Middlesex</v>
          </cell>
          <cell r="P808" t="str">
            <v>West</v>
          </cell>
        </row>
        <row r="809">
          <cell r="C809" t="str">
            <v>Folkens # 8</v>
          </cell>
          <cell r="D809" t="str">
            <v>2 4 6 0 8 8 2 O N T A R I O L I M I T E D</v>
          </cell>
          <cell r="E809" t="str">
            <v>CO</v>
          </cell>
          <cell r="F809">
            <v>41799</v>
          </cell>
          <cell r="G809">
            <v>41981</v>
          </cell>
          <cell r="H809">
            <v>49103</v>
          </cell>
          <cell r="I809" t="str">
            <v>19 years, 6 months, 0 days</v>
          </cell>
          <cell r="J809" t="str">
            <v>Renewables</v>
          </cell>
          <cell r="K809" t="str">
            <v>Solar (Rooftop)</v>
          </cell>
          <cell r="L809" t="str">
            <v>Solar</v>
          </cell>
          <cell r="M809" t="str">
            <v>Dx</v>
          </cell>
          <cell r="N809" t="str">
            <v>Hamilton</v>
          </cell>
          <cell r="O809" t="str">
            <v>Hamilton</v>
          </cell>
          <cell r="P809" t="str">
            <v>Southwest</v>
          </cell>
        </row>
        <row r="810">
          <cell r="C810" t="str">
            <v>(C55) Zehrs Weber Street East</v>
          </cell>
          <cell r="D810" t="str">
            <v>Firelight Solar LP</v>
          </cell>
          <cell r="E810" t="str">
            <v>CO</v>
          </cell>
          <cell r="F810">
            <v>41723</v>
          </cell>
          <cell r="G810">
            <v>41666</v>
          </cell>
          <cell r="H810">
            <v>48970</v>
          </cell>
          <cell r="I810" t="str">
            <v>19 years, 11 months, 30 days</v>
          </cell>
          <cell r="J810" t="str">
            <v>Renewables</v>
          </cell>
          <cell r="K810" t="str">
            <v>Solar (Rooftop)</v>
          </cell>
          <cell r="L810" t="str">
            <v>Solar</v>
          </cell>
          <cell r="M810" t="str">
            <v>Dx</v>
          </cell>
          <cell r="N810" t="str">
            <v>Kitchener</v>
          </cell>
          <cell r="O810" t="str">
            <v>Waterloo</v>
          </cell>
          <cell r="P810" t="str">
            <v>Southwest</v>
          </cell>
        </row>
        <row r="811">
          <cell r="C811" t="str">
            <v>(F38) No Frills Highway 17</v>
          </cell>
          <cell r="D811" t="str">
            <v>Firelight Solar LP</v>
          </cell>
          <cell r="E811" t="str">
            <v>CO</v>
          </cell>
          <cell r="F811">
            <v>41729</v>
          </cell>
          <cell r="G811">
            <v>41844</v>
          </cell>
          <cell r="H811">
            <v>49148</v>
          </cell>
          <cell r="I811" t="str">
            <v>19 years, 11 months, 29 days</v>
          </cell>
          <cell r="J811" t="str">
            <v>Renewables</v>
          </cell>
          <cell r="K811" t="str">
            <v>Solar (Rooftop)</v>
          </cell>
          <cell r="L811" t="str">
            <v>Solar</v>
          </cell>
          <cell r="M811" t="str">
            <v>Dx</v>
          </cell>
          <cell r="N811" t="str">
            <v>Sturgeon Falls</v>
          </cell>
          <cell r="O811" t="str">
            <v>Nipissing</v>
          </cell>
          <cell r="P811" t="str">
            <v>Northeast</v>
          </cell>
        </row>
        <row r="812">
          <cell r="C812" t="str">
            <v>CCS 100kWe Anaerobic Digester</v>
          </cell>
          <cell r="D812" t="str">
            <v>Carbon Control Systems Inc.</v>
          </cell>
          <cell r="E812" t="str">
            <v>CO</v>
          </cell>
          <cell r="F812">
            <v>41440</v>
          </cell>
          <cell r="G812">
            <v>41040</v>
          </cell>
          <cell r="H812">
            <v>48344</v>
          </cell>
          <cell r="I812" t="str">
            <v>19 years, 11 months, 29 days</v>
          </cell>
          <cell r="J812" t="str">
            <v>Renewables</v>
          </cell>
          <cell r="K812" t="str">
            <v>Bioenergy</v>
          </cell>
          <cell r="L812" t="str">
            <v>Biogas (On-Farm)</v>
          </cell>
          <cell r="M812" t="str">
            <v>Dx</v>
          </cell>
          <cell r="N812" t="str">
            <v>Millbrook</v>
          </cell>
          <cell r="O812" t="str">
            <v>Peterborough</v>
          </cell>
          <cell r="P812" t="str">
            <v>East</v>
          </cell>
        </row>
        <row r="813">
          <cell r="C813" t="str">
            <v>SunE Newboro 1</v>
          </cell>
          <cell r="D813" t="str">
            <v>SunE Ray LP</v>
          </cell>
          <cell r="E813" t="str">
            <v>CO</v>
          </cell>
          <cell r="F813">
            <v>41695</v>
          </cell>
          <cell r="G813">
            <v>41932</v>
          </cell>
          <cell r="H813">
            <v>49236</v>
          </cell>
          <cell r="I813" t="str">
            <v>19 years, 11 months, 29 days</v>
          </cell>
          <cell r="J813" t="str">
            <v>Renewables</v>
          </cell>
          <cell r="K813" t="str">
            <v>Solar (Ground Mounted)</v>
          </cell>
          <cell r="L813" t="str">
            <v>Solar</v>
          </cell>
          <cell r="M813" t="str">
            <v>Dx</v>
          </cell>
          <cell r="N813" t="str">
            <v>Westport</v>
          </cell>
          <cell r="O813" t="str">
            <v>Leeds and Grenville</v>
          </cell>
          <cell r="P813" t="str">
            <v>East</v>
          </cell>
        </row>
        <row r="814">
          <cell r="C814" t="str">
            <v>Shedden Farm</v>
          </cell>
          <cell r="D814" t="str">
            <v>J + G Luyks Farms Ltd</v>
          </cell>
          <cell r="E814" t="str">
            <v>CO</v>
          </cell>
          <cell r="F814">
            <v>41827</v>
          </cell>
          <cell r="G814">
            <v>41434</v>
          </cell>
          <cell r="H814">
            <v>48738</v>
          </cell>
          <cell r="I814" t="str">
            <v>19 years, 11 months, 30 days</v>
          </cell>
          <cell r="J814" t="str">
            <v>Renewables</v>
          </cell>
          <cell r="K814" t="str">
            <v>Solar (Rooftop)</v>
          </cell>
          <cell r="L814" t="str">
            <v>Solar</v>
          </cell>
          <cell r="M814" t="str">
            <v>Dx</v>
          </cell>
          <cell r="N814" t="str">
            <v>Southwold</v>
          </cell>
          <cell r="O814" t="str">
            <v>Elgin</v>
          </cell>
          <cell r="P814" t="str">
            <v>West</v>
          </cell>
        </row>
        <row r="815">
          <cell r="C815" t="str">
            <v>Dykstra Farm</v>
          </cell>
          <cell r="D815" t="str">
            <v>Lammert Dykstra</v>
          </cell>
          <cell r="E815" t="str">
            <v>CO</v>
          </cell>
          <cell r="F815">
            <v>41910</v>
          </cell>
          <cell r="G815">
            <v>41393</v>
          </cell>
          <cell r="H815">
            <v>48697</v>
          </cell>
          <cell r="I815" t="str">
            <v>19 years, 11 months, 30 days</v>
          </cell>
          <cell r="J815" t="str">
            <v>Renewables</v>
          </cell>
          <cell r="K815" t="str">
            <v>Solar (Rooftop)</v>
          </cell>
          <cell r="L815" t="str">
            <v>Solar</v>
          </cell>
          <cell r="M815" t="str">
            <v>Dx</v>
          </cell>
          <cell r="N815" t="str">
            <v>Canfield</v>
          </cell>
          <cell r="O815" t="str">
            <v>Haldimand</v>
          </cell>
          <cell r="P815" t="str">
            <v>Southwest</v>
          </cell>
        </row>
        <row r="816">
          <cell r="C816" t="str">
            <v>Laverne Bauman Solar</v>
          </cell>
          <cell r="D816" t="str">
            <v>Laverne Bauman and Elsie Bauman</v>
          </cell>
          <cell r="E816" t="str">
            <v>CO</v>
          </cell>
          <cell r="F816">
            <v>41029</v>
          </cell>
          <cell r="G816">
            <v>40840</v>
          </cell>
          <cell r="H816">
            <v>48144</v>
          </cell>
          <cell r="I816" t="str">
            <v>19 years, 11 months, 29 days</v>
          </cell>
          <cell r="J816" t="str">
            <v>Renewables</v>
          </cell>
          <cell r="K816" t="str">
            <v>Solar (Rooftop)</v>
          </cell>
          <cell r="L816" t="str">
            <v>Solar</v>
          </cell>
          <cell r="M816" t="str">
            <v>Dx</v>
          </cell>
          <cell r="N816" t="str">
            <v>Belleville</v>
          </cell>
          <cell r="O816" t="str">
            <v>Hastings</v>
          </cell>
          <cell r="P816" t="str">
            <v>East</v>
          </cell>
        </row>
        <row r="817">
          <cell r="C817" t="str">
            <v>M09-73 Ward</v>
          </cell>
          <cell r="D817" t="str">
            <v>1796210 Ontario Inc.</v>
          </cell>
          <cell r="E817" t="str">
            <v>CO</v>
          </cell>
          <cell r="F817">
            <v>41724</v>
          </cell>
          <cell r="G817">
            <v>41894</v>
          </cell>
          <cell r="H817">
            <v>49198</v>
          </cell>
          <cell r="I817" t="str">
            <v>19 years, 11 months, 30 days</v>
          </cell>
          <cell r="J817" t="str">
            <v>Renewables</v>
          </cell>
          <cell r="K817" t="str">
            <v>Solar (Rooftop)</v>
          </cell>
          <cell r="L817" t="str">
            <v>Solar</v>
          </cell>
          <cell r="M817" t="str">
            <v>Dx</v>
          </cell>
          <cell r="N817" t="str">
            <v>Brampton</v>
          </cell>
          <cell r="O817" t="str">
            <v>Peel</v>
          </cell>
          <cell r="P817" t="str">
            <v>Toronto</v>
          </cell>
        </row>
        <row r="818">
          <cell r="C818" t="str">
            <v>RBC Woodstock</v>
          </cell>
          <cell r="D818" t="str">
            <v>Amp Canada Inc.</v>
          </cell>
          <cell r="E818" t="str">
            <v>CO</v>
          </cell>
          <cell r="F818">
            <v>41820</v>
          </cell>
          <cell r="G818">
            <v>41904</v>
          </cell>
          <cell r="H818">
            <v>49208</v>
          </cell>
          <cell r="I818" t="str">
            <v>19 years, 11 months, 30 days</v>
          </cell>
          <cell r="J818" t="str">
            <v>Renewables</v>
          </cell>
          <cell r="K818" t="str">
            <v>Solar (Rooftop)</v>
          </cell>
          <cell r="L818" t="str">
            <v>Solar</v>
          </cell>
          <cell r="M818" t="str">
            <v>Dx</v>
          </cell>
          <cell r="N818" t="str">
            <v>Woodstock</v>
          </cell>
          <cell r="O818" t="str">
            <v>Oxford</v>
          </cell>
          <cell r="P818" t="str">
            <v>Southwest</v>
          </cell>
        </row>
        <row r="819">
          <cell r="C819" t="str">
            <v>(C28) Zehrs Conestoga Boulevard</v>
          </cell>
          <cell r="D819" t="str">
            <v>Firelight Solar LP</v>
          </cell>
          <cell r="E819" t="str">
            <v>CO</v>
          </cell>
          <cell r="F819">
            <v>41720</v>
          </cell>
          <cell r="G819">
            <v>41626</v>
          </cell>
          <cell r="H819">
            <v>48930</v>
          </cell>
          <cell r="I819" t="str">
            <v>19 years, 11 months, 29 days</v>
          </cell>
          <cell r="J819" t="str">
            <v>Renewables</v>
          </cell>
          <cell r="K819" t="str">
            <v>Solar (Rooftop)</v>
          </cell>
          <cell r="L819" t="str">
            <v>Solar</v>
          </cell>
          <cell r="M819" t="str">
            <v>Dx</v>
          </cell>
          <cell r="N819" t="str">
            <v>Cambridge</v>
          </cell>
          <cell r="O819" t="str">
            <v>Waterloo</v>
          </cell>
          <cell r="P819" t="str">
            <v>Southwest</v>
          </cell>
        </row>
        <row r="820">
          <cell r="C820" t="str">
            <v>Reko Intl. Group (481 Silver Creek Industrial Dr)</v>
          </cell>
          <cell r="D820" t="str">
            <v>Alectra Utilities Corporation</v>
          </cell>
          <cell r="E820" t="str">
            <v>CO</v>
          </cell>
          <cell r="F820">
            <v>41813</v>
          </cell>
          <cell r="G820">
            <v>41233</v>
          </cell>
          <cell r="H820">
            <v>48537</v>
          </cell>
          <cell r="I820" t="str">
            <v>19 years, 11 months, 30 days</v>
          </cell>
          <cell r="J820" t="str">
            <v>Renewables</v>
          </cell>
          <cell r="K820" t="str">
            <v>Solar (Rooftop)</v>
          </cell>
          <cell r="L820" t="str">
            <v>Solar</v>
          </cell>
          <cell r="M820" t="str">
            <v>Dx</v>
          </cell>
          <cell r="N820" t="str">
            <v>Oldcastle</v>
          </cell>
          <cell r="O820" t="str">
            <v>Essex</v>
          </cell>
          <cell r="P820" t="str">
            <v>West</v>
          </cell>
        </row>
        <row r="821">
          <cell r="C821" t="str">
            <v>Brook Rd</v>
          </cell>
          <cell r="D821" t="str">
            <v>Kwendill Holdings Limited</v>
          </cell>
          <cell r="E821" t="str">
            <v>CO</v>
          </cell>
          <cell r="F821">
            <v>41825</v>
          </cell>
          <cell r="G821">
            <v>41142</v>
          </cell>
          <cell r="H821">
            <v>48446</v>
          </cell>
          <cell r="I821" t="str">
            <v>19 years, 11 months, 30 days</v>
          </cell>
          <cell r="J821" t="str">
            <v>Renewables</v>
          </cell>
          <cell r="K821" t="str">
            <v>Solar (Rooftop)</v>
          </cell>
          <cell r="L821" t="str">
            <v>Solar</v>
          </cell>
          <cell r="M821" t="str">
            <v>Dx</v>
          </cell>
          <cell r="N821" t="str">
            <v>Cobourg</v>
          </cell>
          <cell r="O821" t="str">
            <v>Northumberland</v>
          </cell>
          <cell r="P821" t="str">
            <v>East</v>
          </cell>
        </row>
        <row r="822">
          <cell r="C822" t="str">
            <v>H06-7 CURITY</v>
          </cell>
          <cell r="D822" t="str">
            <v>MOM Solar Limited Partnership</v>
          </cell>
          <cell r="E822" t="str">
            <v>CO</v>
          </cell>
          <cell r="F822">
            <v>41029</v>
          </cell>
          <cell r="G822">
            <v>41121</v>
          </cell>
          <cell r="H822">
            <v>48333</v>
          </cell>
          <cell r="I822" t="str">
            <v>19 years, 8 months, 29 days</v>
          </cell>
          <cell r="J822" t="str">
            <v>Renewables</v>
          </cell>
          <cell r="K822" t="str">
            <v>Solar (Rooftop)</v>
          </cell>
          <cell r="L822" t="str">
            <v>Solar</v>
          </cell>
          <cell r="M822" t="str">
            <v>Dx</v>
          </cell>
          <cell r="N822" t="str">
            <v>Toronto</v>
          </cell>
          <cell r="O822" t="str">
            <v>Toronto</v>
          </cell>
          <cell r="P822" t="str">
            <v>Toronto</v>
          </cell>
        </row>
        <row r="823">
          <cell r="C823" t="str">
            <v>A10-137 Queens Plate</v>
          </cell>
          <cell r="D823" t="str">
            <v>Fengate (FGDI) Limited Partnership</v>
          </cell>
          <cell r="E823" t="str">
            <v>CO</v>
          </cell>
          <cell r="F823">
            <v>41818</v>
          </cell>
          <cell r="G823">
            <v>42044</v>
          </cell>
          <cell r="H823">
            <v>49348</v>
          </cell>
          <cell r="I823" t="str">
            <v>19 years, 11 months, 30 days</v>
          </cell>
          <cell r="J823" t="str">
            <v>Renewables</v>
          </cell>
          <cell r="K823" t="str">
            <v>Solar (Rooftop)</v>
          </cell>
          <cell r="L823" t="str">
            <v>Solar</v>
          </cell>
          <cell r="M823" t="str">
            <v>Dx</v>
          </cell>
          <cell r="N823" t="str">
            <v>Toronto</v>
          </cell>
          <cell r="O823" t="str">
            <v>Toronto</v>
          </cell>
          <cell r="P823" t="str">
            <v>Toronto</v>
          </cell>
        </row>
        <row r="824">
          <cell r="C824" t="str">
            <v>Autocom Manufacturing</v>
          </cell>
          <cell r="D824" t="str">
            <v>Linamar Corporation</v>
          </cell>
          <cell r="E824" t="str">
            <v>CO</v>
          </cell>
          <cell r="F824">
            <v>41029</v>
          </cell>
          <cell r="G824">
            <v>41192</v>
          </cell>
          <cell r="H824">
            <v>48496</v>
          </cell>
          <cell r="I824" t="str">
            <v>19 years, 11 months, 29 days</v>
          </cell>
          <cell r="J824" t="str">
            <v>Renewables</v>
          </cell>
          <cell r="K824" t="str">
            <v>Solar (Rooftop)</v>
          </cell>
          <cell r="L824" t="str">
            <v>Solar</v>
          </cell>
          <cell r="M824" t="str">
            <v>Dx</v>
          </cell>
          <cell r="N824" t="str">
            <v>Guelph</v>
          </cell>
          <cell r="O824" t="str">
            <v>Wellington</v>
          </cell>
          <cell r="P824" t="str">
            <v>Southwest</v>
          </cell>
        </row>
        <row r="825">
          <cell r="C825" t="str">
            <v>Moulinette Road</v>
          </cell>
          <cell r="D825" t="str">
            <v>1786172 Ontario Limited</v>
          </cell>
          <cell r="E825" t="str">
            <v>CO</v>
          </cell>
          <cell r="F825">
            <v>41454</v>
          </cell>
          <cell r="G825">
            <v>40807</v>
          </cell>
          <cell r="H825">
            <v>48111</v>
          </cell>
          <cell r="I825" t="str">
            <v>19 years, 11 months, 30 days</v>
          </cell>
          <cell r="J825" t="str">
            <v>Renewables</v>
          </cell>
          <cell r="K825" t="str">
            <v>Solar (Rooftop)</v>
          </cell>
          <cell r="L825" t="str">
            <v>Solar</v>
          </cell>
          <cell r="M825" t="str">
            <v>Dx</v>
          </cell>
          <cell r="N825" t="str">
            <v>Long Sault</v>
          </cell>
          <cell r="O825" t="str">
            <v>Stormont, Dundas and Glengarry</v>
          </cell>
          <cell r="P825" t="str">
            <v>East</v>
          </cell>
        </row>
        <row r="826">
          <cell r="C826" t="str">
            <v>H06-1350 QUINN</v>
          </cell>
          <cell r="D826" t="str">
            <v>PSI Solar Finance 1 Limited Partnership</v>
          </cell>
          <cell r="E826" t="str">
            <v>CO</v>
          </cell>
          <cell r="F826">
            <v>41729</v>
          </cell>
          <cell r="G826">
            <v>41865</v>
          </cell>
          <cell r="H826">
            <v>49169</v>
          </cell>
          <cell r="I826" t="str">
            <v>19 years, 11 months, 30 days</v>
          </cell>
          <cell r="J826" t="str">
            <v>Renewables</v>
          </cell>
          <cell r="K826" t="str">
            <v>Solar (Rooftop)</v>
          </cell>
          <cell r="L826" t="str">
            <v>Solar</v>
          </cell>
          <cell r="M826" t="str">
            <v>Dx</v>
          </cell>
          <cell r="N826" t="str">
            <v>Sarnia</v>
          </cell>
          <cell r="O826" t="str">
            <v>Lambton</v>
          </cell>
          <cell r="P826" t="str">
            <v>West</v>
          </cell>
        </row>
        <row r="827">
          <cell r="C827" t="str">
            <v>240 Racco Parkway (Solar)</v>
          </cell>
          <cell r="D827" t="str">
            <v>Anatolia Tile Inc.</v>
          </cell>
          <cell r="E827" t="str">
            <v>CO</v>
          </cell>
          <cell r="F827">
            <v>40663</v>
          </cell>
          <cell r="G827">
            <v>40646</v>
          </cell>
          <cell r="H827">
            <v>47950</v>
          </cell>
          <cell r="I827" t="str">
            <v>19 years, 11 months, 30 days</v>
          </cell>
          <cell r="J827" t="str">
            <v>Renewables</v>
          </cell>
          <cell r="K827" t="str">
            <v>Solar (Rooftop)</v>
          </cell>
          <cell r="L827" t="str">
            <v>Solar</v>
          </cell>
          <cell r="M827" t="str">
            <v>Dx</v>
          </cell>
          <cell r="N827" t="str">
            <v>Thornhill</v>
          </cell>
          <cell r="O827" t="str">
            <v>York</v>
          </cell>
          <cell r="P827" t="str">
            <v>Toronto</v>
          </cell>
        </row>
        <row r="828">
          <cell r="C828" t="str">
            <v>Malvern C.R.C. Solar PV</v>
          </cell>
          <cell r="D828" t="str">
            <v>Toronto Hydro-Electric System Limited</v>
          </cell>
          <cell r="E828" t="str">
            <v>CO</v>
          </cell>
          <cell r="F828">
            <v>41804</v>
          </cell>
          <cell r="G828">
            <v>41810</v>
          </cell>
          <cell r="H828">
            <v>49114</v>
          </cell>
          <cell r="I828" t="str">
            <v>19 years, 11 months, 30 days</v>
          </cell>
          <cell r="J828" t="str">
            <v>Renewables</v>
          </cell>
          <cell r="K828" t="str">
            <v>Solar (Rooftop)</v>
          </cell>
          <cell r="L828" t="str">
            <v>Solar</v>
          </cell>
          <cell r="M828" t="str">
            <v>Dx</v>
          </cell>
          <cell r="N828" t="str">
            <v>Toronto</v>
          </cell>
          <cell r="O828" t="str">
            <v>Toronto</v>
          </cell>
          <cell r="P828" t="str">
            <v>Toronto</v>
          </cell>
        </row>
        <row r="829">
          <cell r="C829" t="str">
            <v>215 Gilbert</v>
          </cell>
          <cell r="D829" t="str">
            <v>SunEdison DG Operating Holdings-2, LLC</v>
          </cell>
          <cell r="E829" t="str">
            <v>CO</v>
          </cell>
          <cell r="F829">
            <v>41029</v>
          </cell>
          <cell r="G829">
            <v>40872</v>
          </cell>
          <cell r="H829">
            <v>48176</v>
          </cell>
          <cell r="I829" t="str">
            <v>19 years, 11 months, 30 days</v>
          </cell>
          <cell r="J829" t="str">
            <v>Renewables</v>
          </cell>
          <cell r="K829" t="str">
            <v>Solar (Rooftop)</v>
          </cell>
          <cell r="L829" t="str">
            <v>Solar</v>
          </cell>
          <cell r="M829" t="str">
            <v>Dx</v>
          </cell>
          <cell r="N829" t="str">
            <v>West Lorne</v>
          </cell>
          <cell r="O829" t="str">
            <v>Elgin</v>
          </cell>
          <cell r="P829" t="str">
            <v>West</v>
          </cell>
        </row>
        <row r="830">
          <cell r="C830" t="str">
            <v>FotoLight</v>
          </cell>
          <cell r="D830" t="str">
            <v>Axium Foto Light LP</v>
          </cell>
          <cell r="E830" t="str">
            <v>CO</v>
          </cell>
          <cell r="F830">
            <v>41835</v>
          </cell>
          <cell r="G830">
            <v>41960</v>
          </cell>
          <cell r="H830">
            <v>49264</v>
          </cell>
          <cell r="I830" t="str">
            <v>19 years, 11 months, 30 days</v>
          </cell>
          <cell r="J830" t="str">
            <v>Renewables</v>
          </cell>
          <cell r="K830" t="str">
            <v>Solar (Ground Mounted)</v>
          </cell>
          <cell r="L830" t="str">
            <v>Solar</v>
          </cell>
          <cell r="M830" t="str">
            <v>Dx</v>
          </cell>
          <cell r="N830" t="str">
            <v>Picton</v>
          </cell>
          <cell r="O830" t="str">
            <v>Prince Edward</v>
          </cell>
          <cell r="P830" t="str">
            <v>East</v>
          </cell>
        </row>
        <row r="831">
          <cell r="C831" t="str">
            <v>CEPEO Elementary Gabrielle-Roy</v>
          </cell>
          <cell r="D831" t="str">
            <v>Ameresco CEPEO Solar Inc.</v>
          </cell>
          <cell r="E831" t="str">
            <v>CO</v>
          </cell>
          <cell r="F831">
            <v>41029</v>
          </cell>
          <cell r="G831">
            <v>41141</v>
          </cell>
          <cell r="H831">
            <v>48445</v>
          </cell>
          <cell r="I831" t="str">
            <v>19 years, 11 months, 30 days</v>
          </cell>
          <cell r="J831" t="str">
            <v>Renewables</v>
          </cell>
          <cell r="K831" t="str">
            <v>Solar (Rooftop)</v>
          </cell>
          <cell r="L831" t="str">
            <v>Solar</v>
          </cell>
          <cell r="M831" t="str">
            <v>Dx</v>
          </cell>
          <cell r="N831" t="str">
            <v>Ottawa</v>
          </cell>
          <cell r="O831" t="str">
            <v>Ottawa</v>
          </cell>
          <cell r="P831" t="str">
            <v>Ottawa</v>
          </cell>
        </row>
        <row r="832">
          <cell r="C832" t="str">
            <v>Mattawishkwia Solar Park</v>
          </cell>
          <cell r="D832" t="str">
            <v>New OSPVF 10 Limited Partnership</v>
          </cell>
          <cell r="E832" t="str">
            <v>CO</v>
          </cell>
          <cell r="F832">
            <v>41406</v>
          </cell>
          <cell r="G832">
            <v>41912</v>
          </cell>
          <cell r="H832">
            <v>49216</v>
          </cell>
          <cell r="I832" t="str">
            <v>19 years, 11 months, 30 days</v>
          </cell>
          <cell r="J832" t="str">
            <v>Renewables</v>
          </cell>
          <cell r="K832" t="str">
            <v>Solar (Ground Mounted)</v>
          </cell>
          <cell r="L832" t="str">
            <v>Solar</v>
          </cell>
          <cell r="M832" t="str">
            <v>Dx</v>
          </cell>
          <cell r="N832" t="str">
            <v>Hearst</v>
          </cell>
          <cell r="O832" t="str">
            <v>Cochrane</v>
          </cell>
          <cell r="P832" t="str">
            <v>Northeast</v>
          </cell>
        </row>
        <row r="833">
          <cell r="C833" t="str">
            <v>Solar@7</v>
          </cell>
          <cell r="D833" t="str">
            <v>Underwriters Laboratories of Canada Inc.</v>
          </cell>
          <cell r="E833" t="str">
            <v>CO</v>
          </cell>
          <cell r="F833">
            <v>41797</v>
          </cell>
          <cell r="G833">
            <v>40952</v>
          </cell>
          <cell r="H833">
            <v>48256</v>
          </cell>
          <cell r="I833" t="str">
            <v>19 years, 11 months, 30 days</v>
          </cell>
          <cell r="J833" t="str">
            <v>Renewables</v>
          </cell>
          <cell r="K833" t="str">
            <v>Solar (Rooftop)</v>
          </cell>
          <cell r="L833" t="str">
            <v>Solar</v>
          </cell>
          <cell r="M833" t="str">
            <v>Dx</v>
          </cell>
          <cell r="N833" t="str">
            <v>Toronto</v>
          </cell>
          <cell r="O833" t="str">
            <v>Toronto</v>
          </cell>
          <cell r="P833" t="str">
            <v>Toronto</v>
          </cell>
        </row>
        <row r="834">
          <cell r="C834" t="str">
            <v>Nature Farms Inc.</v>
          </cell>
          <cell r="D834" t="str">
            <v>Nature Farms Inc.</v>
          </cell>
          <cell r="E834" t="str">
            <v>CO</v>
          </cell>
          <cell r="F834">
            <v>41029</v>
          </cell>
          <cell r="G834">
            <v>41065</v>
          </cell>
          <cell r="H834">
            <v>48333</v>
          </cell>
          <cell r="I834" t="str">
            <v>19 years, 10 months, 24 days</v>
          </cell>
          <cell r="J834" t="str">
            <v>Renewables</v>
          </cell>
          <cell r="K834" t="str">
            <v>Solar (Rooftop)</v>
          </cell>
          <cell r="L834" t="str">
            <v>Solar</v>
          </cell>
          <cell r="M834" t="str">
            <v>Dx</v>
          </cell>
          <cell r="N834" t="str">
            <v>Burgessville</v>
          </cell>
          <cell r="O834" t="str">
            <v>Oxford</v>
          </cell>
          <cell r="P834" t="str">
            <v>Southwest</v>
          </cell>
        </row>
        <row r="835">
          <cell r="C835" t="str">
            <v>34Kern</v>
          </cell>
          <cell r="D835" t="str">
            <v>PSI Solar Finance 1 Limited Partnership</v>
          </cell>
          <cell r="E835" t="str">
            <v>CO</v>
          </cell>
          <cell r="F835">
            <v>41029</v>
          </cell>
          <cell r="G835">
            <v>40893</v>
          </cell>
          <cell r="H835">
            <v>48197</v>
          </cell>
          <cell r="I835" t="str">
            <v>19 years, 11 months, 29 days</v>
          </cell>
          <cell r="J835" t="str">
            <v>Renewables</v>
          </cell>
          <cell r="K835" t="str">
            <v>Solar (Rooftop)</v>
          </cell>
          <cell r="L835" t="str">
            <v>Solar</v>
          </cell>
          <cell r="M835" t="str">
            <v>Dx</v>
          </cell>
          <cell r="N835" t="str">
            <v>Toronto</v>
          </cell>
          <cell r="O835" t="str">
            <v>Toronto</v>
          </cell>
          <cell r="P835" t="str">
            <v>Toronto</v>
          </cell>
        </row>
        <row r="836">
          <cell r="C836" t="str">
            <v>SA2</v>
          </cell>
          <cell r="D836" t="str">
            <v>2245073 Ontario Inc.</v>
          </cell>
          <cell r="E836" t="str">
            <v>CO</v>
          </cell>
          <cell r="F836">
            <v>41669</v>
          </cell>
          <cell r="G836">
            <v>41669</v>
          </cell>
          <cell r="H836">
            <v>48973</v>
          </cell>
          <cell r="I836" t="str">
            <v>19 years, 11 months, 30 days</v>
          </cell>
          <cell r="J836" t="str">
            <v>Renewables</v>
          </cell>
          <cell r="K836" t="str">
            <v>Solar (Ground Mounted)</v>
          </cell>
          <cell r="L836" t="str">
            <v>Solar</v>
          </cell>
          <cell r="M836" t="str">
            <v>Dx</v>
          </cell>
          <cell r="N836" t="str">
            <v>Port Robinson</v>
          </cell>
          <cell r="O836" t="str">
            <v>Niagara</v>
          </cell>
          <cell r="P836" t="str">
            <v>Niagara</v>
          </cell>
        </row>
        <row r="837">
          <cell r="C837" t="str">
            <v>56398 CALTON LINE</v>
          </cell>
          <cell r="D837" t="str">
            <v>CORNELIUS REIMER HELENA REIMER</v>
          </cell>
          <cell r="E837" t="str">
            <v>CO</v>
          </cell>
          <cell r="F837">
            <v>41820</v>
          </cell>
          <cell r="G837">
            <v>41120</v>
          </cell>
          <cell r="H837">
            <v>48424</v>
          </cell>
          <cell r="I837" t="str">
            <v>19 years, 11 months, 29 days</v>
          </cell>
          <cell r="J837" t="str">
            <v>Renewables</v>
          </cell>
          <cell r="K837" t="str">
            <v>Solar (Rooftop)</v>
          </cell>
          <cell r="L837" t="str">
            <v>Solar</v>
          </cell>
          <cell r="M837" t="str">
            <v>Dx</v>
          </cell>
          <cell r="N837" t="str">
            <v>Vienna</v>
          </cell>
          <cell r="O837" t="str">
            <v>Elgin</v>
          </cell>
          <cell r="P837" t="str">
            <v>West</v>
          </cell>
        </row>
        <row r="838">
          <cell r="C838" t="str">
            <v>Gleaners PV Project</v>
          </cell>
          <cell r="D838" t="str">
            <v>Gleaners Food Bank Quinte Inc.</v>
          </cell>
          <cell r="E838" t="str">
            <v>CO</v>
          </cell>
          <cell r="F838">
            <v>41029</v>
          </cell>
          <cell r="G838">
            <v>40843</v>
          </cell>
          <cell r="H838">
            <v>48147</v>
          </cell>
          <cell r="I838" t="str">
            <v>19 years, 11 months, 29 days</v>
          </cell>
          <cell r="J838" t="str">
            <v>Renewables</v>
          </cell>
          <cell r="K838" t="str">
            <v>Solar (Rooftop)</v>
          </cell>
          <cell r="L838" t="str">
            <v>Solar</v>
          </cell>
          <cell r="M838" t="str">
            <v>Dx</v>
          </cell>
          <cell r="N838" t="str">
            <v>Belleville</v>
          </cell>
          <cell r="O838" t="str">
            <v>Hastings</v>
          </cell>
          <cell r="P838" t="str">
            <v>East</v>
          </cell>
        </row>
        <row r="839">
          <cell r="C839" t="str">
            <v>Endura Energy 3080 Haldimand Road</v>
          </cell>
          <cell r="D839" t="str">
            <v>William John Vanderheide</v>
          </cell>
          <cell r="E839" t="str">
            <v>CO</v>
          </cell>
          <cell r="F839">
            <v>41841</v>
          </cell>
          <cell r="G839">
            <v>41326</v>
          </cell>
          <cell r="H839">
            <v>48630</v>
          </cell>
          <cell r="I839" t="str">
            <v>19 years, 11 months, 30 days</v>
          </cell>
          <cell r="J839" t="str">
            <v>Renewables</v>
          </cell>
          <cell r="K839" t="str">
            <v>Solar (Rooftop)</v>
          </cell>
          <cell r="L839" t="str">
            <v>Solar</v>
          </cell>
          <cell r="M839" t="str">
            <v>Dx</v>
          </cell>
          <cell r="N839" t="str">
            <v>Cayuga</v>
          </cell>
          <cell r="O839" t="str">
            <v>Haldimand</v>
          </cell>
          <cell r="P839" t="str">
            <v>Southwest</v>
          </cell>
        </row>
        <row r="840">
          <cell r="C840" t="str">
            <v>Woolcott's project</v>
          </cell>
          <cell r="D840" t="str">
            <v>DM Solar Inc.</v>
          </cell>
          <cell r="E840" t="str">
            <v>CO</v>
          </cell>
          <cell r="F840">
            <v>41804</v>
          </cell>
          <cell r="G840">
            <v>41782</v>
          </cell>
          <cell r="H840">
            <v>49086</v>
          </cell>
          <cell r="I840" t="str">
            <v>19 years, 11 months, 29 days</v>
          </cell>
          <cell r="J840" t="str">
            <v>Renewables</v>
          </cell>
          <cell r="K840" t="str">
            <v>Solar (Rooftop)</v>
          </cell>
          <cell r="L840" t="str">
            <v>Solar</v>
          </cell>
          <cell r="M840" t="str">
            <v>Dx</v>
          </cell>
          <cell r="N840" t="str">
            <v>Waterdown</v>
          </cell>
          <cell r="O840" t="str">
            <v>Hamilton</v>
          </cell>
          <cell r="P840" t="str">
            <v>Southwest</v>
          </cell>
        </row>
        <row r="841">
          <cell r="C841" t="str">
            <v>Warkentin Solar</v>
          </cell>
          <cell r="D841" t="str">
            <v>Randall Warkentin Lois Warkentin</v>
          </cell>
          <cell r="E841" t="str">
            <v>CO</v>
          </cell>
          <cell r="F841">
            <v>41832</v>
          </cell>
          <cell r="G841">
            <v>41158</v>
          </cell>
          <cell r="H841">
            <v>48462</v>
          </cell>
          <cell r="I841" t="str">
            <v>19 years, 11 months, 30 days</v>
          </cell>
          <cell r="J841" t="str">
            <v>Renewables</v>
          </cell>
          <cell r="K841" t="str">
            <v>Solar (Rooftop)</v>
          </cell>
          <cell r="L841" t="str">
            <v>Solar</v>
          </cell>
          <cell r="M841" t="str">
            <v>Dx</v>
          </cell>
          <cell r="N841" t="str">
            <v>Fullarton</v>
          </cell>
          <cell r="O841" t="str">
            <v>Perth</v>
          </cell>
          <cell r="P841" t="str">
            <v>Southwest</v>
          </cell>
        </row>
        <row r="842">
          <cell r="C842" t="str">
            <v>T04-110 Bell Farm</v>
          </cell>
          <cell r="D842" t="str">
            <v>Alectra Utilities Corporation</v>
          </cell>
          <cell r="E842" t="str">
            <v>CO</v>
          </cell>
          <cell r="F842">
            <v>41797</v>
          </cell>
          <cell r="G842">
            <v>41780</v>
          </cell>
          <cell r="H842">
            <v>49084</v>
          </cell>
          <cell r="I842" t="str">
            <v>19 years, 11 months, 29 days</v>
          </cell>
          <cell r="J842" t="str">
            <v>Renewables</v>
          </cell>
          <cell r="K842" t="str">
            <v>Solar (Rooftop)</v>
          </cell>
          <cell r="L842" t="str">
            <v>Solar</v>
          </cell>
          <cell r="M842" t="str">
            <v>Dx</v>
          </cell>
          <cell r="N842" t="str">
            <v>Barrie</v>
          </cell>
          <cell r="O842" t="str">
            <v>Simcoe</v>
          </cell>
          <cell r="P842" t="str">
            <v>Essa</v>
          </cell>
        </row>
        <row r="843">
          <cell r="C843" t="str">
            <v>Cecil's rooftop FIT</v>
          </cell>
          <cell r="D843" t="str">
            <v>2357438 Ontario Inc.</v>
          </cell>
          <cell r="E843" t="str">
            <v>CO</v>
          </cell>
          <cell r="F843">
            <v>41826</v>
          </cell>
          <cell r="G843">
            <v>41607</v>
          </cell>
          <cell r="H843">
            <v>48911</v>
          </cell>
          <cell r="I843" t="str">
            <v>19 years, 11 months, 30 days</v>
          </cell>
          <cell r="J843" t="str">
            <v>Renewables</v>
          </cell>
          <cell r="K843" t="str">
            <v>Solar (Rooftop)</v>
          </cell>
          <cell r="L843" t="str">
            <v>Solar</v>
          </cell>
          <cell r="M843" t="str">
            <v>Dx</v>
          </cell>
          <cell r="N843" t="str">
            <v>Waterdown</v>
          </cell>
          <cell r="O843" t="str">
            <v>Hamilton</v>
          </cell>
          <cell r="P843" t="str">
            <v>Southwest</v>
          </cell>
        </row>
        <row r="844">
          <cell r="C844" t="str">
            <v>1703 Winhara</v>
          </cell>
          <cell r="D844" t="str">
            <v>2323953 Ontario Inc.</v>
          </cell>
          <cell r="E844" t="str">
            <v>CO</v>
          </cell>
          <cell r="F844">
            <v>41806</v>
          </cell>
          <cell r="G844">
            <v>41383</v>
          </cell>
          <cell r="H844">
            <v>48687</v>
          </cell>
          <cell r="I844" t="str">
            <v>19 years, 11 months, 30 days</v>
          </cell>
          <cell r="J844" t="str">
            <v>Renewables</v>
          </cell>
          <cell r="K844" t="str">
            <v>Solar (Rooftop)</v>
          </cell>
          <cell r="L844" t="str">
            <v>Solar</v>
          </cell>
          <cell r="M844" t="str">
            <v>Dx</v>
          </cell>
          <cell r="N844" t="str">
            <v>Gravenhurst</v>
          </cell>
          <cell r="O844" t="str">
            <v>Muskoka</v>
          </cell>
          <cell r="P844" t="str">
            <v>Essa</v>
          </cell>
        </row>
        <row r="845">
          <cell r="C845" t="str">
            <v>SunE Bruining 1</v>
          </cell>
          <cell r="D845" t="str">
            <v>SunE South Stormont LP</v>
          </cell>
          <cell r="E845" t="str">
            <v>CO</v>
          </cell>
          <cell r="F845">
            <v>41695</v>
          </cell>
          <cell r="G845">
            <v>42059</v>
          </cell>
          <cell r="H845">
            <v>49363</v>
          </cell>
          <cell r="I845" t="str">
            <v>19 years, 11 months, 30 days</v>
          </cell>
          <cell r="J845" t="str">
            <v>Renewables</v>
          </cell>
          <cell r="K845" t="str">
            <v>Solar (Ground Mounted)</v>
          </cell>
          <cell r="L845" t="str">
            <v>Solar</v>
          </cell>
          <cell r="M845" t="str">
            <v>Dx</v>
          </cell>
          <cell r="N845" t="str">
            <v>Ingleside</v>
          </cell>
          <cell r="O845" t="str">
            <v>Stormont, Dundas and Glengarry</v>
          </cell>
          <cell r="P845" t="str">
            <v>East</v>
          </cell>
        </row>
        <row r="846">
          <cell r="C846" t="str">
            <v>Menkes- Burlington 1175/1185</v>
          </cell>
          <cell r="D846" t="str">
            <v>Menkes Barnett Burlington Inc.</v>
          </cell>
          <cell r="E846" t="str">
            <v>CO</v>
          </cell>
          <cell r="F846">
            <v>41797</v>
          </cell>
          <cell r="G846">
            <v>41290</v>
          </cell>
          <cell r="H846">
            <v>48594</v>
          </cell>
          <cell r="I846" t="str">
            <v>19 years, 11 months, 30 days</v>
          </cell>
          <cell r="J846" t="str">
            <v>Renewables</v>
          </cell>
          <cell r="K846" t="str">
            <v>Solar (Rooftop)</v>
          </cell>
          <cell r="L846" t="str">
            <v>Solar</v>
          </cell>
          <cell r="M846" t="str">
            <v>Dx</v>
          </cell>
          <cell r="N846" t="str">
            <v>Burlington</v>
          </cell>
          <cell r="O846" t="str">
            <v>Halton</v>
          </cell>
          <cell r="P846" t="str">
            <v>Southwest</v>
          </cell>
        </row>
        <row r="847">
          <cell r="C847" t="str">
            <v>Patchell FIT1</v>
          </cell>
          <cell r="D847" t="str">
            <v>Jama Property Management Corp.</v>
          </cell>
          <cell r="E847" t="str">
            <v>CO</v>
          </cell>
          <cell r="F847">
            <v>41029</v>
          </cell>
          <cell r="G847">
            <v>41082</v>
          </cell>
          <cell r="H847">
            <v>48386</v>
          </cell>
          <cell r="I847" t="str">
            <v>19 years, 11 months, 30 days</v>
          </cell>
          <cell r="J847" t="str">
            <v>Renewables</v>
          </cell>
          <cell r="K847" t="str">
            <v>Solar (Rooftop)</v>
          </cell>
          <cell r="L847" t="str">
            <v>Solar</v>
          </cell>
          <cell r="M847" t="str">
            <v>Dx</v>
          </cell>
          <cell r="N847" t="str">
            <v>Coldwater</v>
          </cell>
          <cell r="O847" t="str">
            <v>Simcoe</v>
          </cell>
          <cell r="P847" t="str">
            <v>Essa</v>
          </cell>
        </row>
        <row r="848">
          <cell r="C848" t="str">
            <v>575 Graniteb</v>
          </cell>
          <cell r="D848" t="str">
            <v>Van-Rob Realty Investments Limited</v>
          </cell>
          <cell r="E848" t="str">
            <v>CO</v>
          </cell>
          <cell r="F848">
            <v>41820</v>
          </cell>
          <cell r="G848">
            <v>41885</v>
          </cell>
          <cell r="H848">
            <v>49189</v>
          </cell>
          <cell r="I848" t="str">
            <v>19 years, 11 months, 30 days</v>
          </cell>
          <cell r="J848" t="str">
            <v>Renewables</v>
          </cell>
          <cell r="K848" t="str">
            <v>Solar (Rooftop)</v>
          </cell>
          <cell r="L848" t="str">
            <v>Solar</v>
          </cell>
          <cell r="M848" t="str">
            <v>Dx</v>
          </cell>
          <cell r="N848" t="str">
            <v>Pickering</v>
          </cell>
          <cell r="O848" t="str">
            <v>Durham</v>
          </cell>
          <cell r="P848" t="str">
            <v>Toronto</v>
          </cell>
        </row>
        <row r="849">
          <cell r="C849" t="str">
            <v>GEDSB Cobblestone</v>
          </cell>
          <cell r="D849" t="str">
            <v>Ameresco GEDSB Solar Inc.</v>
          </cell>
          <cell r="E849" t="str">
            <v>CO</v>
          </cell>
          <cell r="F849">
            <v>41029</v>
          </cell>
          <cell r="G849">
            <v>40854</v>
          </cell>
          <cell r="H849">
            <v>48158</v>
          </cell>
          <cell r="I849" t="str">
            <v>19 years, 11 months, 30 days</v>
          </cell>
          <cell r="J849" t="str">
            <v>Renewables</v>
          </cell>
          <cell r="K849" t="str">
            <v>Solar (Rooftop)</v>
          </cell>
          <cell r="L849" t="str">
            <v>Solar</v>
          </cell>
          <cell r="M849" t="str">
            <v>Dx</v>
          </cell>
          <cell r="N849" t="str">
            <v>Paris</v>
          </cell>
          <cell r="O849" t="str">
            <v>Brant</v>
          </cell>
          <cell r="P849" t="str">
            <v>Southwest</v>
          </cell>
        </row>
        <row r="850">
          <cell r="C850" t="str">
            <v>H06-3225 MONARCH</v>
          </cell>
          <cell r="D850" t="str">
            <v>PSI Solar Finance 1 Limited Partnership</v>
          </cell>
          <cell r="E850" t="str">
            <v>CO</v>
          </cell>
          <cell r="F850">
            <v>41805</v>
          </cell>
          <cell r="G850">
            <v>41835</v>
          </cell>
          <cell r="H850">
            <v>49109</v>
          </cell>
          <cell r="I850" t="str">
            <v>19 years, 10 months, 30 days</v>
          </cell>
          <cell r="J850" t="str">
            <v>Renewables</v>
          </cell>
          <cell r="K850" t="str">
            <v>Solar (Rooftop)</v>
          </cell>
          <cell r="L850" t="str">
            <v>Solar</v>
          </cell>
          <cell r="M850" t="str">
            <v>Dx</v>
          </cell>
          <cell r="N850" t="str">
            <v>Orillia</v>
          </cell>
          <cell r="O850" t="str">
            <v>Simcoe</v>
          </cell>
          <cell r="P850" t="str">
            <v>Essa</v>
          </cell>
        </row>
        <row r="851">
          <cell r="C851" t="str">
            <v>Port Dover 100kW</v>
          </cell>
          <cell r="D851" t="str">
            <v>Port Dover Farms Inc.</v>
          </cell>
          <cell r="E851" t="str">
            <v>CO</v>
          </cell>
          <cell r="F851">
            <v>41498</v>
          </cell>
          <cell r="G851">
            <v>41624</v>
          </cell>
          <cell r="H851">
            <v>48928</v>
          </cell>
          <cell r="I851" t="str">
            <v>19 years, 11 months, 29 days</v>
          </cell>
          <cell r="J851" t="str">
            <v>Renewables</v>
          </cell>
          <cell r="K851" t="str">
            <v>Solar (Ground Mounted)</v>
          </cell>
          <cell r="L851" t="str">
            <v>Solar</v>
          </cell>
          <cell r="M851" t="str">
            <v>Dx</v>
          </cell>
          <cell r="N851" t="str">
            <v>Port Dover</v>
          </cell>
          <cell r="O851" t="str">
            <v>Norfolk</v>
          </cell>
          <cell r="P851" t="str">
            <v>Southwest</v>
          </cell>
        </row>
        <row r="852">
          <cell r="C852" t="str">
            <v>30kW Parking Garage</v>
          </cell>
          <cell r="D852" t="str">
            <v>Sunnybrook Health Sciences Centre</v>
          </cell>
          <cell r="E852" t="str">
            <v>CO</v>
          </cell>
          <cell r="F852">
            <v>41029</v>
          </cell>
          <cell r="G852">
            <v>41207</v>
          </cell>
          <cell r="H852">
            <v>48333</v>
          </cell>
          <cell r="I852" t="str">
            <v>19 years, 6 months, 4 days</v>
          </cell>
          <cell r="J852" t="str">
            <v>Renewables</v>
          </cell>
          <cell r="K852" t="str">
            <v>Solar (Rooftop)</v>
          </cell>
          <cell r="L852" t="str">
            <v>Solar</v>
          </cell>
          <cell r="M852" t="str">
            <v>Dx</v>
          </cell>
          <cell r="N852" t="str">
            <v>Toronto</v>
          </cell>
          <cell r="O852" t="str">
            <v>Toronto</v>
          </cell>
          <cell r="P852" t="str">
            <v>Toronto</v>
          </cell>
        </row>
        <row r="853">
          <cell r="C853" t="str">
            <v>RE Ingersoll 1</v>
          </cell>
          <cell r="D853" t="str">
            <v>Axium Solar Ingersoll 1 L.P.</v>
          </cell>
          <cell r="E853" t="str">
            <v>CO</v>
          </cell>
          <cell r="F853">
            <v>41576</v>
          </cell>
          <cell r="G853">
            <v>41701</v>
          </cell>
          <cell r="H853">
            <v>49005</v>
          </cell>
          <cell r="I853" t="str">
            <v>19 years, 11 months, 27 days</v>
          </cell>
          <cell r="J853" t="str">
            <v>Renewables</v>
          </cell>
          <cell r="K853" t="str">
            <v>Solar (Ground Mounted)</v>
          </cell>
          <cell r="L853" t="str">
            <v>Solar</v>
          </cell>
          <cell r="M853" t="str">
            <v>Dx</v>
          </cell>
          <cell r="N853" t="str">
            <v>Ingersoll</v>
          </cell>
          <cell r="O853" t="str">
            <v>Oxford</v>
          </cell>
          <cell r="P853" t="str">
            <v>Southwest</v>
          </cell>
        </row>
        <row r="854">
          <cell r="C854" t="str">
            <v>Blind River Community Center</v>
          </cell>
          <cell r="D854" t="str">
            <v>Town of Blind River</v>
          </cell>
          <cell r="E854" t="str">
            <v>CO</v>
          </cell>
          <cell r="F854">
            <v>41818</v>
          </cell>
          <cell r="G854">
            <v>41261</v>
          </cell>
          <cell r="H854">
            <v>48565</v>
          </cell>
          <cell r="I854" t="str">
            <v>19 years, 11 months, 29 days</v>
          </cell>
          <cell r="J854" t="str">
            <v>Renewables</v>
          </cell>
          <cell r="K854" t="str">
            <v>Solar (Rooftop)</v>
          </cell>
          <cell r="L854" t="str">
            <v>Solar</v>
          </cell>
          <cell r="M854" t="str">
            <v>Dx</v>
          </cell>
          <cell r="N854" t="str">
            <v>Blind River</v>
          </cell>
          <cell r="O854" t="str">
            <v>Algoma</v>
          </cell>
          <cell r="P854" t="str">
            <v>Northeast</v>
          </cell>
        </row>
        <row r="855">
          <cell r="C855" t="str">
            <v>Orfus1</v>
          </cell>
          <cell r="D855" t="str">
            <v>Fit Solar Systems Limited</v>
          </cell>
          <cell r="E855" t="str">
            <v>CO</v>
          </cell>
          <cell r="F855">
            <v>41806</v>
          </cell>
          <cell r="G855">
            <v>41799</v>
          </cell>
          <cell r="H855">
            <v>49103</v>
          </cell>
          <cell r="I855" t="str">
            <v>19 years, 11 months, 30 days</v>
          </cell>
          <cell r="J855" t="str">
            <v>Renewables</v>
          </cell>
          <cell r="K855" t="str">
            <v>Solar (Rooftop)</v>
          </cell>
          <cell r="L855" t="str">
            <v>Solar</v>
          </cell>
          <cell r="M855" t="str">
            <v>Dx</v>
          </cell>
          <cell r="N855" t="str">
            <v>Toronto</v>
          </cell>
          <cell r="O855" t="str">
            <v>Toronto</v>
          </cell>
          <cell r="P855" t="str">
            <v>Toronto</v>
          </cell>
        </row>
        <row r="856">
          <cell r="C856" t="str">
            <v>Traxle Manufacturing</v>
          </cell>
          <cell r="D856" t="str">
            <v>Linamar Corporation</v>
          </cell>
          <cell r="E856" t="str">
            <v>CO</v>
          </cell>
          <cell r="F856">
            <v>41029</v>
          </cell>
          <cell r="G856">
            <v>41135</v>
          </cell>
          <cell r="H856">
            <v>48439</v>
          </cell>
          <cell r="I856" t="str">
            <v>19 years, 11 months, 30 days</v>
          </cell>
          <cell r="J856" t="str">
            <v>Renewables</v>
          </cell>
          <cell r="K856" t="str">
            <v>Solar (Rooftop)</v>
          </cell>
          <cell r="L856" t="str">
            <v>Solar</v>
          </cell>
          <cell r="M856" t="str">
            <v>Dx</v>
          </cell>
          <cell r="N856" t="str">
            <v>Guelph</v>
          </cell>
          <cell r="O856" t="str">
            <v>Wellington</v>
          </cell>
          <cell r="P856" t="str">
            <v>Southwest</v>
          </cell>
        </row>
        <row r="857">
          <cell r="C857" t="str">
            <v>BEG Farm-Solar</v>
          </cell>
          <cell r="D857" t="str">
            <v>Erwin Guyer</v>
          </cell>
          <cell r="E857" t="str">
            <v>CO</v>
          </cell>
          <cell r="F857">
            <v>41454</v>
          </cell>
          <cell r="G857">
            <v>40834</v>
          </cell>
          <cell r="H857">
            <v>48138</v>
          </cell>
          <cell r="I857" t="str">
            <v>19 years, 11 months, 29 days</v>
          </cell>
          <cell r="J857" t="str">
            <v>Renewables</v>
          </cell>
          <cell r="K857" t="str">
            <v>Solar (Rooftop)</v>
          </cell>
          <cell r="L857" t="str">
            <v>Solar</v>
          </cell>
          <cell r="M857" t="str">
            <v>Dx</v>
          </cell>
          <cell r="N857" t="str">
            <v>Goderich</v>
          </cell>
          <cell r="O857" t="str">
            <v>Huron</v>
          </cell>
          <cell r="P857" t="str">
            <v>Southwest</v>
          </cell>
        </row>
        <row r="858">
          <cell r="C858" t="str">
            <v>Camcor Manufacturing</v>
          </cell>
          <cell r="D858" t="str">
            <v>Linamar Corporation</v>
          </cell>
          <cell r="E858" t="str">
            <v>CO</v>
          </cell>
          <cell r="F858">
            <v>41029</v>
          </cell>
          <cell r="G858">
            <v>41068</v>
          </cell>
          <cell r="H858">
            <v>48333</v>
          </cell>
          <cell r="I858" t="str">
            <v>19 years, 10 months, 21 days</v>
          </cell>
          <cell r="J858" t="str">
            <v>Renewables</v>
          </cell>
          <cell r="K858" t="str">
            <v>Solar (Rooftop)</v>
          </cell>
          <cell r="L858" t="str">
            <v>Solar</v>
          </cell>
          <cell r="M858" t="str">
            <v>Dx</v>
          </cell>
          <cell r="N858" t="str">
            <v>Guelph</v>
          </cell>
          <cell r="O858" t="str">
            <v>Wellington</v>
          </cell>
          <cell r="P858" t="str">
            <v>Southwest</v>
          </cell>
        </row>
        <row r="859">
          <cell r="C859" t="str">
            <v>ENS Poultry Biogas</v>
          </cell>
          <cell r="D859" t="str">
            <v>ENS Poultry Inc.</v>
          </cell>
          <cell r="E859" t="str">
            <v>CO</v>
          </cell>
          <cell r="F859">
            <v>41370</v>
          </cell>
          <cell r="G859">
            <v>40932</v>
          </cell>
          <cell r="H859">
            <v>48236</v>
          </cell>
          <cell r="I859" t="str">
            <v>19 years, 11 months, 30 days</v>
          </cell>
          <cell r="J859" t="str">
            <v>Renewables</v>
          </cell>
          <cell r="K859" t="str">
            <v>Bioenergy</v>
          </cell>
          <cell r="L859" t="str">
            <v>Biogas</v>
          </cell>
          <cell r="M859" t="str">
            <v>Dx</v>
          </cell>
          <cell r="N859" t="str">
            <v>Elora</v>
          </cell>
          <cell r="O859" t="str">
            <v>Wellington</v>
          </cell>
          <cell r="P859" t="str">
            <v>Southwest</v>
          </cell>
        </row>
        <row r="860">
          <cell r="C860" t="str">
            <v>Anita's Solar project</v>
          </cell>
          <cell r="D860" t="str">
            <v>Langford Realty Limited Partnership</v>
          </cell>
          <cell r="E860" t="str">
            <v>CO</v>
          </cell>
          <cell r="F860">
            <v>41912</v>
          </cell>
          <cell r="G860">
            <v>41827</v>
          </cell>
          <cell r="H860">
            <v>49131</v>
          </cell>
          <cell r="I860" t="str">
            <v>19 years, 11 months, 29 days</v>
          </cell>
          <cell r="J860" t="str">
            <v>Renewables</v>
          </cell>
          <cell r="K860" t="str">
            <v>Solar (Rooftop)</v>
          </cell>
          <cell r="L860" t="str">
            <v>Solar</v>
          </cell>
          <cell r="M860" t="str">
            <v>Dx</v>
          </cell>
          <cell r="N860" t="str">
            <v>Waterdown</v>
          </cell>
          <cell r="O860" t="str">
            <v>Hamilton</v>
          </cell>
          <cell r="P860" t="str">
            <v>Southwest</v>
          </cell>
        </row>
        <row r="861">
          <cell r="C861" t="str">
            <v>6155 Tomken</v>
          </cell>
          <cell r="D861" t="str">
            <v>Solaire Kapuskasing Solar Inc.</v>
          </cell>
          <cell r="E861" t="str">
            <v>CO</v>
          </cell>
          <cell r="F861">
            <v>41804</v>
          </cell>
          <cell r="G861">
            <v>41982</v>
          </cell>
          <cell r="H861">
            <v>49286</v>
          </cell>
          <cell r="I861" t="str">
            <v>19 years, 11 months, 29 days</v>
          </cell>
          <cell r="J861" t="str">
            <v>Renewables</v>
          </cell>
          <cell r="K861" t="str">
            <v>Solar (Rooftop)</v>
          </cell>
          <cell r="L861" t="str">
            <v>Solar</v>
          </cell>
          <cell r="M861" t="str">
            <v>Dx</v>
          </cell>
          <cell r="N861" t="str">
            <v>Mississauga</v>
          </cell>
          <cell r="O861" t="str">
            <v>Peel</v>
          </cell>
          <cell r="P861" t="str">
            <v>Toronto</v>
          </cell>
        </row>
        <row r="862">
          <cell r="C862" t="str">
            <v>H06-825 CALEDONIA</v>
          </cell>
          <cell r="D862" t="str">
            <v>MOM Solar Limited Partnership</v>
          </cell>
          <cell r="E862" t="str">
            <v>CO</v>
          </cell>
          <cell r="F862">
            <v>41029</v>
          </cell>
          <cell r="G862">
            <v>41183</v>
          </cell>
          <cell r="H862">
            <v>48487</v>
          </cell>
          <cell r="I862" t="str">
            <v>19 years, 11 months, 29 days</v>
          </cell>
          <cell r="J862" t="str">
            <v>Renewables</v>
          </cell>
          <cell r="K862" t="str">
            <v>Solar (Rooftop)</v>
          </cell>
          <cell r="L862" t="str">
            <v>Solar</v>
          </cell>
          <cell r="M862" t="str">
            <v>Dx</v>
          </cell>
          <cell r="N862" t="str">
            <v>Toronto</v>
          </cell>
          <cell r="O862" t="str">
            <v>Toronto</v>
          </cell>
          <cell r="P862" t="str">
            <v>Toronto</v>
          </cell>
        </row>
        <row r="863">
          <cell r="C863" t="str">
            <v>D03-3300 Steeles</v>
          </cell>
          <cell r="D863" t="str">
            <v>Fengate (FGDI) Limited Partnership</v>
          </cell>
          <cell r="E863" t="str">
            <v>CO</v>
          </cell>
          <cell r="F863">
            <v>41800</v>
          </cell>
          <cell r="G863">
            <v>42027</v>
          </cell>
          <cell r="H863">
            <v>49331</v>
          </cell>
          <cell r="I863" t="str">
            <v>19 years, 11 months, 30 days</v>
          </cell>
          <cell r="J863" t="str">
            <v>Renewables</v>
          </cell>
          <cell r="K863" t="str">
            <v>Solar (Rooftop)</v>
          </cell>
          <cell r="L863" t="str">
            <v>Solar</v>
          </cell>
          <cell r="M863" t="str">
            <v>Dx</v>
          </cell>
          <cell r="N863" t="str">
            <v>Toronto</v>
          </cell>
          <cell r="O863" t="str">
            <v>Toronto</v>
          </cell>
          <cell r="P863" t="str">
            <v>Toronto</v>
          </cell>
        </row>
        <row r="864">
          <cell r="C864" t="str">
            <v>Tracey6</v>
          </cell>
          <cell r="D864" t="str">
            <v>Fit Solar Systems Limited</v>
          </cell>
          <cell r="E864" t="str">
            <v>CO</v>
          </cell>
          <cell r="F864">
            <v>41806</v>
          </cell>
          <cell r="G864">
            <v>41450</v>
          </cell>
          <cell r="H864">
            <v>48754</v>
          </cell>
          <cell r="I864" t="str">
            <v>19 years, 11 months, 30 days</v>
          </cell>
          <cell r="J864" t="str">
            <v>Renewables</v>
          </cell>
          <cell r="K864" t="str">
            <v>Solar (Rooftop)</v>
          </cell>
          <cell r="L864" t="str">
            <v>Solar</v>
          </cell>
          <cell r="M864" t="str">
            <v>Dx</v>
          </cell>
          <cell r="N864" t="str">
            <v>Brampton</v>
          </cell>
          <cell r="O864" t="str">
            <v>Peel</v>
          </cell>
          <cell r="P864" t="str">
            <v>Toronto</v>
          </cell>
        </row>
        <row r="865">
          <cell r="C865" t="str">
            <v>KEW BEACH JUNIOR PUBLIC SCHOOL</v>
          </cell>
          <cell r="D865" t="str">
            <v>Toronto District School Board</v>
          </cell>
          <cell r="E865" t="str">
            <v>CO</v>
          </cell>
          <cell r="F865">
            <v>41818</v>
          </cell>
          <cell r="G865">
            <v>40981</v>
          </cell>
          <cell r="H865">
            <v>48285</v>
          </cell>
          <cell r="I865" t="str">
            <v>19 years, 11 months, 28 days</v>
          </cell>
          <cell r="J865" t="str">
            <v>Renewables</v>
          </cell>
          <cell r="K865" t="str">
            <v>Solar (Rooftop)</v>
          </cell>
          <cell r="L865" t="str">
            <v>Solar</v>
          </cell>
          <cell r="M865" t="str">
            <v>Dx</v>
          </cell>
          <cell r="N865" t="str">
            <v>Toronto</v>
          </cell>
          <cell r="O865" t="str">
            <v>Toronto</v>
          </cell>
          <cell r="P865" t="str">
            <v>Toronto</v>
          </cell>
        </row>
        <row r="866">
          <cell r="C866" t="str">
            <v>SPV 1 Value Village</v>
          </cell>
          <cell r="D866" t="str">
            <v>TerraForm MP Solar, LLC</v>
          </cell>
          <cell r="E866" t="str">
            <v>CO</v>
          </cell>
          <cell r="F866">
            <v>41841</v>
          </cell>
          <cell r="G866">
            <v>41995</v>
          </cell>
          <cell r="H866">
            <v>49299</v>
          </cell>
          <cell r="I866" t="str">
            <v>19 years, 11 months, 29 days</v>
          </cell>
          <cell r="J866" t="str">
            <v>Renewables</v>
          </cell>
          <cell r="K866" t="str">
            <v>Solar (Rooftop)</v>
          </cell>
          <cell r="L866" t="str">
            <v>Solar</v>
          </cell>
          <cell r="M866" t="str">
            <v>Dx</v>
          </cell>
          <cell r="N866" t="str">
            <v>Windsor</v>
          </cell>
          <cell r="O866" t="str">
            <v>Essex</v>
          </cell>
          <cell r="P866" t="str">
            <v>West</v>
          </cell>
        </row>
        <row r="867">
          <cell r="C867" t="str">
            <v>Napier Wind Farm</v>
          </cell>
          <cell r="D867" t="str">
            <v>SWNS Wind LP</v>
          </cell>
          <cell r="E867" t="str">
            <v>CO</v>
          </cell>
          <cell r="F867">
            <v>41835</v>
          </cell>
          <cell r="G867">
            <v>42359</v>
          </cell>
          <cell r="H867">
            <v>49139</v>
          </cell>
          <cell r="I867" t="str">
            <v>18 years, 6 months, 23 days</v>
          </cell>
          <cell r="J867" t="str">
            <v>Renewables</v>
          </cell>
          <cell r="K867" t="str">
            <v>Wind (On-Shore)</v>
          </cell>
          <cell r="L867" t="str">
            <v>Wind</v>
          </cell>
          <cell r="M867" t="str">
            <v>Dx</v>
          </cell>
          <cell r="N867" t="str">
            <v>Kerwood</v>
          </cell>
          <cell r="O867" t="str">
            <v>Middlesex</v>
          </cell>
          <cell r="P867" t="str">
            <v>West</v>
          </cell>
        </row>
        <row r="868">
          <cell r="C868" t="str">
            <v>1128686 Ontario Ltd.</v>
          </cell>
          <cell r="D868" t="str">
            <v>Alectra Utilities Corporation</v>
          </cell>
          <cell r="E868" t="str">
            <v>CO</v>
          </cell>
          <cell r="F868">
            <v>41841</v>
          </cell>
          <cell r="G868">
            <v>41796</v>
          </cell>
          <cell r="H868">
            <v>49100</v>
          </cell>
          <cell r="I868" t="str">
            <v>19 years, 11 months, 30 days</v>
          </cell>
          <cell r="J868" t="str">
            <v>Renewables</v>
          </cell>
          <cell r="K868" t="str">
            <v>Solar (Rooftop)</v>
          </cell>
          <cell r="L868" t="str">
            <v>Solar</v>
          </cell>
          <cell r="M868" t="str">
            <v>Dx</v>
          </cell>
          <cell r="N868" t="str">
            <v>Oldcastle</v>
          </cell>
          <cell r="O868" t="str">
            <v>Essex</v>
          </cell>
          <cell r="P868" t="str">
            <v>West</v>
          </cell>
        </row>
        <row r="869">
          <cell r="C869" t="str">
            <v>Steward Six Inc.</v>
          </cell>
          <cell r="D869" t="str">
            <v>Steward Six Inc.</v>
          </cell>
          <cell r="E869" t="str">
            <v>CO</v>
          </cell>
          <cell r="F869">
            <v>41790</v>
          </cell>
          <cell r="G869">
            <v>40854</v>
          </cell>
          <cell r="H869">
            <v>48158</v>
          </cell>
          <cell r="I869" t="str">
            <v>19 years, 11 months, 30 days</v>
          </cell>
          <cell r="J869" t="str">
            <v>Renewables</v>
          </cell>
          <cell r="K869" t="str">
            <v>Solar (Rooftop)</v>
          </cell>
          <cell r="L869" t="str">
            <v>Solar</v>
          </cell>
          <cell r="M869" t="str">
            <v>Dx</v>
          </cell>
          <cell r="N869" t="str">
            <v>Barrie</v>
          </cell>
          <cell r="O869" t="str">
            <v>Simcoe</v>
          </cell>
          <cell r="P869" t="str">
            <v>Essa</v>
          </cell>
        </row>
        <row r="870">
          <cell r="C870" t="str">
            <v>Ontario Windsmith Solar Farm</v>
          </cell>
          <cell r="D870" t="str">
            <v>Ontario Windsmith Incorporated</v>
          </cell>
          <cell r="E870" t="str">
            <v>CO</v>
          </cell>
          <cell r="F870">
            <v>41797</v>
          </cell>
          <cell r="G870">
            <v>41828</v>
          </cell>
          <cell r="H870">
            <v>49101</v>
          </cell>
          <cell r="I870" t="str">
            <v>19 years, 10 months, 29 days</v>
          </cell>
          <cell r="J870" t="str">
            <v>Renewables</v>
          </cell>
          <cell r="K870" t="str">
            <v>Solar (Rooftop)</v>
          </cell>
          <cell r="L870" t="str">
            <v>Solar</v>
          </cell>
          <cell r="M870" t="str">
            <v>Dx</v>
          </cell>
          <cell r="N870" t="str">
            <v>Lucknow</v>
          </cell>
          <cell r="O870" t="str">
            <v>Bruce</v>
          </cell>
          <cell r="P870" t="str">
            <v>Bruce</v>
          </cell>
        </row>
        <row r="871">
          <cell r="C871" t="str">
            <v>H06-1983 KIPLING</v>
          </cell>
          <cell r="D871" t="str">
            <v>MOM Solar Limited Partnership</v>
          </cell>
          <cell r="E871" t="str">
            <v>CO</v>
          </cell>
          <cell r="F871">
            <v>41029</v>
          </cell>
          <cell r="G871">
            <v>41121</v>
          </cell>
          <cell r="H871">
            <v>48333</v>
          </cell>
          <cell r="I871" t="str">
            <v>19 years, 8 months, 29 days</v>
          </cell>
          <cell r="J871" t="str">
            <v>Renewables</v>
          </cell>
          <cell r="K871" t="str">
            <v>Solar (Rooftop)</v>
          </cell>
          <cell r="L871" t="str">
            <v>Solar</v>
          </cell>
          <cell r="M871" t="str">
            <v>Dx</v>
          </cell>
          <cell r="N871" t="str">
            <v>Toronto</v>
          </cell>
          <cell r="O871" t="str">
            <v>Toronto</v>
          </cell>
          <cell r="P871" t="str">
            <v>Toronto</v>
          </cell>
        </row>
        <row r="872">
          <cell r="C872" t="str">
            <v>Vanestra Two</v>
          </cell>
          <cell r="D872" t="str">
            <v>1820877 ONTARIO LTD</v>
          </cell>
          <cell r="E872" t="str">
            <v>CO</v>
          </cell>
          <cell r="F872">
            <v>41827</v>
          </cell>
          <cell r="G872">
            <v>41975</v>
          </cell>
          <cell r="H872">
            <v>49279</v>
          </cell>
          <cell r="I872" t="str">
            <v>19 years, 11 months, 29 days</v>
          </cell>
          <cell r="J872" t="str">
            <v>Renewables</v>
          </cell>
          <cell r="K872" t="str">
            <v>Solar (Rooftop)</v>
          </cell>
          <cell r="L872" t="str">
            <v>Solar</v>
          </cell>
          <cell r="M872" t="str">
            <v>Dx</v>
          </cell>
          <cell r="N872" t="str">
            <v>Goderich</v>
          </cell>
          <cell r="O872" t="str">
            <v>Huron</v>
          </cell>
          <cell r="P872" t="str">
            <v>Southwest</v>
          </cell>
        </row>
        <row r="873">
          <cell r="C873" t="str">
            <v>Nine Mile Farms Inc.</v>
          </cell>
          <cell r="D873" t="str">
            <v>Carleton Corner Farms Ltd.</v>
          </cell>
          <cell r="E873" t="str">
            <v>CO</v>
          </cell>
          <cell r="F873">
            <v>41790</v>
          </cell>
          <cell r="G873">
            <v>42335</v>
          </cell>
          <cell r="H873">
            <v>49094</v>
          </cell>
          <cell r="I873" t="str">
            <v>18 years, 6 months, 3 days</v>
          </cell>
          <cell r="J873" t="str">
            <v>Renewables</v>
          </cell>
          <cell r="K873" t="str">
            <v>Bioenergy</v>
          </cell>
          <cell r="L873" t="str">
            <v>Biogas (On-Farm)</v>
          </cell>
          <cell r="M873" t="str">
            <v>Dx</v>
          </cell>
          <cell r="N873" t="str">
            <v>Crysler</v>
          </cell>
          <cell r="O873" t="str">
            <v>Stormont, Dundas and Glengarry</v>
          </cell>
          <cell r="P873" t="str">
            <v>East</v>
          </cell>
        </row>
        <row r="874">
          <cell r="C874" t="str">
            <v>A07-5485 Tomken</v>
          </cell>
          <cell r="D874" t="str">
            <v>1166836 Ontario Inc.</v>
          </cell>
          <cell r="E874" t="str">
            <v>CO</v>
          </cell>
          <cell r="F874">
            <v>41854</v>
          </cell>
          <cell r="G874">
            <v>42080</v>
          </cell>
          <cell r="H874">
            <v>49158</v>
          </cell>
          <cell r="I874" t="str">
            <v>19 years, 4 months, 16 days</v>
          </cell>
          <cell r="J874" t="str">
            <v>Renewables</v>
          </cell>
          <cell r="K874" t="str">
            <v>Solar (Rooftop)</v>
          </cell>
          <cell r="L874" t="str">
            <v>Solar</v>
          </cell>
          <cell r="M874" t="str">
            <v>Dx</v>
          </cell>
          <cell r="N874" t="str">
            <v>Mississauga</v>
          </cell>
          <cell r="O874" t="str">
            <v>Peel</v>
          </cell>
          <cell r="P874" t="str">
            <v>Toronto</v>
          </cell>
        </row>
        <row r="875">
          <cell r="C875" t="str">
            <v>1100 Gorham</v>
          </cell>
          <cell r="D875" t="str">
            <v>PSI Solar Finance 1 Limited Partnership</v>
          </cell>
          <cell r="E875" t="str">
            <v>CO</v>
          </cell>
          <cell r="F875">
            <v>41345</v>
          </cell>
          <cell r="G875">
            <v>41297</v>
          </cell>
          <cell r="H875">
            <v>48601</v>
          </cell>
          <cell r="I875" t="str">
            <v>19 years, 11 months, 30 days</v>
          </cell>
          <cell r="J875" t="str">
            <v>Renewables</v>
          </cell>
          <cell r="K875" t="str">
            <v>Solar (Rooftop)</v>
          </cell>
          <cell r="L875" t="str">
            <v>Solar</v>
          </cell>
          <cell r="M875" t="str">
            <v>Dx</v>
          </cell>
          <cell r="N875" t="str">
            <v>Newmarket</v>
          </cell>
          <cell r="O875" t="str">
            <v>York</v>
          </cell>
          <cell r="P875" t="str">
            <v>Essa</v>
          </cell>
        </row>
        <row r="876">
          <cell r="C876" t="str">
            <v>Canadian Auto Workers Clean Wind Energy Project</v>
          </cell>
          <cell r="D876" t="str">
            <v>Union Building Corporation of Canada</v>
          </cell>
          <cell r="E876" t="str">
            <v>CO</v>
          </cell>
          <cell r="F876">
            <v>41394</v>
          </cell>
          <cell r="G876">
            <v>41571</v>
          </cell>
          <cell r="H876">
            <v>48875</v>
          </cell>
          <cell r="I876" t="str">
            <v>19 years, 11 months, 29 days</v>
          </cell>
          <cell r="J876" t="str">
            <v>Renewables</v>
          </cell>
          <cell r="K876" t="str">
            <v>Wind (On-Shore)</v>
          </cell>
          <cell r="L876" t="str">
            <v>Wind</v>
          </cell>
          <cell r="M876" t="str">
            <v>Dx</v>
          </cell>
          <cell r="N876" t="str">
            <v>Port Elgin</v>
          </cell>
          <cell r="O876" t="str">
            <v>Bruce</v>
          </cell>
          <cell r="P876" t="str">
            <v>Bruce</v>
          </cell>
        </row>
        <row r="877">
          <cell r="C877" t="str">
            <v>GEDSB Pauline Johnson Collegiate</v>
          </cell>
          <cell r="D877" t="str">
            <v>Ameresco GEDSB Solar Inc.</v>
          </cell>
          <cell r="E877" t="str">
            <v>CO</v>
          </cell>
          <cell r="F877">
            <v>41029</v>
          </cell>
          <cell r="G877">
            <v>41094</v>
          </cell>
          <cell r="H877">
            <v>48333</v>
          </cell>
          <cell r="I877" t="str">
            <v>19 years, 9 months, 25 days</v>
          </cell>
          <cell r="J877" t="str">
            <v>Renewables</v>
          </cell>
          <cell r="K877" t="str">
            <v>Solar (Rooftop)</v>
          </cell>
          <cell r="L877" t="str">
            <v>Solar</v>
          </cell>
          <cell r="M877" t="str">
            <v>Dx</v>
          </cell>
          <cell r="N877" t="str">
            <v>Brantford</v>
          </cell>
          <cell r="O877" t="str">
            <v>Brant</v>
          </cell>
          <cell r="P877" t="str">
            <v>Southwest</v>
          </cell>
        </row>
        <row r="878">
          <cell r="C878" t="str">
            <v>BramKal Rooftop</v>
          </cell>
          <cell r="D878" t="str">
            <v>2395410 Ontario Inc.</v>
          </cell>
          <cell r="E878" t="str">
            <v>CO</v>
          </cell>
          <cell r="F878">
            <v>41897</v>
          </cell>
          <cell r="G878">
            <v>41780</v>
          </cell>
          <cell r="H878">
            <v>49084</v>
          </cell>
          <cell r="I878" t="str">
            <v>19 years, 11 months, 29 days</v>
          </cell>
          <cell r="J878" t="str">
            <v>Renewables</v>
          </cell>
          <cell r="K878" t="str">
            <v>Solar (Rooftop)</v>
          </cell>
          <cell r="L878" t="str">
            <v>Solar</v>
          </cell>
          <cell r="M878" t="str">
            <v>Dx</v>
          </cell>
          <cell r="N878" t="str">
            <v>Burlington</v>
          </cell>
          <cell r="O878" t="str">
            <v>Halton</v>
          </cell>
          <cell r="P878" t="str">
            <v>Southwest</v>
          </cell>
        </row>
        <row r="879">
          <cell r="C879" t="str">
            <v>Comber West - C23Z Wind Project</v>
          </cell>
          <cell r="D879" t="str">
            <v>2016 Comber Wind Limited Partnership</v>
          </cell>
          <cell r="E879" t="str">
            <v>CO</v>
          </cell>
          <cell r="F879">
            <v>41107</v>
          </cell>
          <cell r="G879">
            <v>40855</v>
          </cell>
          <cell r="H879">
            <v>48159</v>
          </cell>
          <cell r="I879" t="str">
            <v>19 years, 11 months, 30 days</v>
          </cell>
          <cell r="J879" t="str">
            <v>Renewables</v>
          </cell>
          <cell r="K879" t="str">
            <v>Wind (On-Shore)</v>
          </cell>
          <cell r="L879" t="str">
            <v>Wind</v>
          </cell>
          <cell r="M879" t="str">
            <v>Tx</v>
          </cell>
          <cell r="N879" t="str">
            <v>Comber</v>
          </cell>
          <cell r="O879" t="str">
            <v>Chatham-Kent</v>
          </cell>
          <cell r="P879" t="str">
            <v>West</v>
          </cell>
        </row>
        <row r="880">
          <cell r="C880" t="str">
            <v>GEDSB Simcoe Composite</v>
          </cell>
          <cell r="D880" t="str">
            <v>Ameresco GEDSB Solar Inc.</v>
          </cell>
          <cell r="E880" t="str">
            <v>CO</v>
          </cell>
          <cell r="F880">
            <v>41709</v>
          </cell>
          <cell r="G880">
            <v>41675</v>
          </cell>
          <cell r="H880">
            <v>48979</v>
          </cell>
          <cell r="I880" t="str">
            <v>19 years, 11 months, 30 days</v>
          </cell>
          <cell r="J880" t="str">
            <v>Renewables</v>
          </cell>
          <cell r="K880" t="str">
            <v>Solar (Rooftop)</v>
          </cell>
          <cell r="L880" t="str">
            <v>Solar</v>
          </cell>
          <cell r="M880" t="str">
            <v>Dx</v>
          </cell>
          <cell r="N880" t="str">
            <v>Simcoe</v>
          </cell>
          <cell r="O880" t="str">
            <v>Norfolk</v>
          </cell>
          <cell r="P880" t="str">
            <v>Southwest</v>
          </cell>
        </row>
        <row r="881">
          <cell r="C881" t="str">
            <v>PowerStream 2010-059</v>
          </cell>
          <cell r="D881" t="str">
            <v>Alectra Utilities Corporation</v>
          </cell>
          <cell r="E881" t="str">
            <v>CO</v>
          </cell>
          <cell r="F881">
            <v>41029</v>
          </cell>
          <cell r="G881">
            <v>40800</v>
          </cell>
          <cell r="H881">
            <v>48104</v>
          </cell>
          <cell r="I881" t="str">
            <v>19 years, 11 months, 30 days</v>
          </cell>
          <cell r="J881" t="str">
            <v>Renewables</v>
          </cell>
          <cell r="K881" t="str">
            <v>Solar (Rooftop)</v>
          </cell>
          <cell r="L881" t="str">
            <v>Solar</v>
          </cell>
          <cell r="M881" t="str">
            <v>Dx</v>
          </cell>
          <cell r="N881" t="str">
            <v>Barrie</v>
          </cell>
          <cell r="O881" t="str">
            <v>Simcoe</v>
          </cell>
          <cell r="P881" t="str">
            <v>Essa</v>
          </cell>
        </row>
        <row r="882">
          <cell r="C882" t="str">
            <v>Community Centre</v>
          </cell>
          <cell r="D882" t="str">
            <v>Solar Income Fund LP (#5)</v>
          </cell>
          <cell r="E882" t="str">
            <v>CO</v>
          </cell>
          <cell r="F882">
            <v>41820</v>
          </cell>
          <cell r="G882">
            <v>41655</v>
          </cell>
          <cell r="H882">
            <v>48959</v>
          </cell>
          <cell r="I882" t="str">
            <v>19 years, 11 months, 30 days</v>
          </cell>
          <cell r="J882" t="str">
            <v>Renewables</v>
          </cell>
          <cell r="K882" t="str">
            <v>Solar (Rooftop)</v>
          </cell>
          <cell r="L882" t="str">
            <v>Solar</v>
          </cell>
          <cell r="M882" t="str">
            <v>Dx</v>
          </cell>
          <cell r="N882" t="str">
            <v>Cobourg</v>
          </cell>
          <cell r="O882" t="str">
            <v>Northumberland</v>
          </cell>
          <cell r="P882" t="str">
            <v>East</v>
          </cell>
        </row>
        <row r="883">
          <cell r="C883" t="str">
            <v>CBSF- 170 Sharer</v>
          </cell>
          <cell r="D883" t="str">
            <v>Mibooba Inc.</v>
          </cell>
          <cell r="E883" t="str">
            <v>CO</v>
          </cell>
          <cell r="F883">
            <v>41029</v>
          </cell>
          <cell r="G883">
            <v>40710</v>
          </cell>
          <cell r="H883">
            <v>48014</v>
          </cell>
          <cell r="I883" t="str">
            <v>19 years, 11 months, 30 days</v>
          </cell>
          <cell r="J883" t="str">
            <v>Renewables</v>
          </cell>
          <cell r="K883" t="str">
            <v>Solar (Rooftop)</v>
          </cell>
          <cell r="L883" t="str">
            <v>Solar</v>
          </cell>
          <cell r="M883" t="str">
            <v>Dx</v>
          </cell>
          <cell r="N883" t="str">
            <v>Woodbridge</v>
          </cell>
          <cell r="O883" t="str">
            <v>York</v>
          </cell>
          <cell r="P883" t="str">
            <v>Toronto</v>
          </cell>
        </row>
        <row r="884">
          <cell r="C884" t="str">
            <v>1233910 Ontario Limited.</v>
          </cell>
          <cell r="D884" t="str">
            <v>Alectra Utilities Corporation</v>
          </cell>
          <cell r="E884" t="str">
            <v>CO</v>
          </cell>
          <cell r="F884">
            <v>41818</v>
          </cell>
          <cell r="G884">
            <v>41122</v>
          </cell>
          <cell r="H884">
            <v>48426</v>
          </cell>
          <cell r="I884" t="str">
            <v>19 years, 11 months, 30 days</v>
          </cell>
          <cell r="J884" t="str">
            <v>Renewables</v>
          </cell>
          <cell r="K884" t="str">
            <v>Solar (Rooftop)</v>
          </cell>
          <cell r="L884" t="str">
            <v>Solar</v>
          </cell>
          <cell r="M884" t="str">
            <v>Dx</v>
          </cell>
          <cell r="N884" t="str">
            <v>Windsor</v>
          </cell>
          <cell r="O884" t="str">
            <v>Essex</v>
          </cell>
          <cell r="P884" t="str">
            <v>West</v>
          </cell>
        </row>
        <row r="885">
          <cell r="C885" t="str">
            <v>Oosterhof Robertson Road</v>
          </cell>
          <cell r="D885" t="str">
            <v>Timothy Henry Oosterhof</v>
          </cell>
          <cell r="E885" t="str">
            <v>CO</v>
          </cell>
          <cell r="F885">
            <v>41818</v>
          </cell>
          <cell r="G885">
            <v>41359</v>
          </cell>
          <cell r="H885">
            <v>48663</v>
          </cell>
          <cell r="I885" t="str">
            <v>19 years, 11 months, 27 days</v>
          </cell>
          <cell r="J885" t="str">
            <v>Renewables</v>
          </cell>
          <cell r="K885" t="str">
            <v>Solar (Rooftop)</v>
          </cell>
          <cell r="L885" t="str">
            <v>Solar</v>
          </cell>
          <cell r="M885" t="str">
            <v>Dx</v>
          </cell>
          <cell r="N885" t="str">
            <v>Wellandport</v>
          </cell>
          <cell r="O885" t="str">
            <v>Niagara</v>
          </cell>
          <cell r="P885" t="str">
            <v>Niagara</v>
          </cell>
        </row>
        <row r="886">
          <cell r="C886" t="str">
            <v>T04-4780 Sheppard</v>
          </cell>
          <cell r="D886" t="str">
            <v>OSP Solar Development, Inc.</v>
          </cell>
          <cell r="E886" t="str">
            <v>CO</v>
          </cell>
          <cell r="F886">
            <v>41862</v>
          </cell>
          <cell r="G886">
            <v>42040</v>
          </cell>
          <cell r="H886">
            <v>49344</v>
          </cell>
          <cell r="I886" t="str">
            <v>19 years, 11 months, 30 days</v>
          </cell>
          <cell r="J886" t="str">
            <v>Renewables</v>
          </cell>
          <cell r="K886" t="str">
            <v>Solar (Rooftop)</v>
          </cell>
          <cell r="L886" t="str">
            <v>Solar</v>
          </cell>
          <cell r="M886" t="str">
            <v>Dx</v>
          </cell>
          <cell r="N886" t="str">
            <v>Toronto</v>
          </cell>
          <cell r="O886" t="str">
            <v>Toronto</v>
          </cell>
          <cell r="P886" t="str">
            <v>Toronto</v>
          </cell>
        </row>
        <row r="887">
          <cell r="C887" t="str">
            <v>ROW-339 Bishop St N</v>
          </cell>
          <cell r="D887" t="str">
            <v>The Regional Municipality of Waterloo</v>
          </cell>
          <cell r="E887" t="str">
            <v>CO</v>
          </cell>
          <cell r="F887">
            <v>41825</v>
          </cell>
          <cell r="G887">
            <v>40934</v>
          </cell>
          <cell r="H887">
            <v>48238</v>
          </cell>
          <cell r="I887" t="str">
            <v>19 years, 11 months, 30 days</v>
          </cell>
          <cell r="J887" t="str">
            <v>Renewables</v>
          </cell>
          <cell r="K887" t="str">
            <v>Solar (Rooftop)</v>
          </cell>
          <cell r="L887" t="str">
            <v>Solar</v>
          </cell>
          <cell r="M887" t="str">
            <v>Dx</v>
          </cell>
          <cell r="N887" t="str">
            <v>Cambridge</v>
          </cell>
          <cell r="O887" t="str">
            <v>Waterloo</v>
          </cell>
          <cell r="P887" t="str">
            <v>Southwest</v>
          </cell>
        </row>
        <row r="888">
          <cell r="C888" t="str">
            <v>Centrum Self Storage Corporation</v>
          </cell>
          <cell r="D888" t="str">
            <v>Dymon Storage (Ottawa) Corporation</v>
          </cell>
          <cell r="E888" t="str">
            <v>CO</v>
          </cell>
          <cell r="F888">
            <v>41822</v>
          </cell>
          <cell r="G888">
            <v>41963</v>
          </cell>
          <cell r="H888">
            <v>49267</v>
          </cell>
          <cell r="I888" t="str">
            <v>19 years, 11 months, 30 days</v>
          </cell>
          <cell r="J888" t="str">
            <v>Renewables</v>
          </cell>
          <cell r="K888" t="str">
            <v>Solar (Rooftop)</v>
          </cell>
          <cell r="L888" t="str">
            <v>Solar</v>
          </cell>
          <cell r="M888" t="str">
            <v>Dx</v>
          </cell>
          <cell r="N888" t="str">
            <v>Ottawa</v>
          </cell>
          <cell r="O888" t="str">
            <v>Ottawa</v>
          </cell>
          <cell r="P888" t="str">
            <v>Ottawa</v>
          </cell>
        </row>
        <row r="889">
          <cell r="C889" t="str">
            <v>Burnham Equine Arena</v>
          </cell>
          <cell r="D889" t="str">
            <v>Paul Burnham</v>
          </cell>
          <cell r="E889" t="str">
            <v>CO</v>
          </cell>
          <cell r="F889">
            <v>41029</v>
          </cell>
          <cell r="G889">
            <v>40898</v>
          </cell>
          <cell r="H889">
            <v>48202</v>
          </cell>
          <cell r="I889" t="str">
            <v>19 years, 11 months, 29 days</v>
          </cell>
          <cell r="J889" t="str">
            <v>Renewables</v>
          </cell>
          <cell r="K889" t="str">
            <v>Solar (Rooftop)</v>
          </cell>
          <cell r="L889" t="str">
            <v>Solar</v>
          </cell>
          <cell r="M889" t="str">
            <v>Dx</v>
          </cell>
          <cell r="N889" t="str">
            <v>Cobourg</v>
          </cell>
          <cell r="O889" t="str">
            <v>Northumberland</v>
          </cell>
          <cell r="P889" t="str">
            <v>East</v>
          </cell>
        </row>
        <row r="890">
          <cell r="C890" t="str">
            <v>ISS Solar</v>
          </cell>
          <cell r="D890" t="str">
            <v>Innisfil Self Storage</v>
          </cell>
          <cell r="E890" t="str">
            <v>CO</v>
          </cell>
          <cell r="F890">
            <v>41029</v>
          </cell>
          <cell r="G890">
            <v>40854</v>
          </cell>
          <cell r="H890">
            <v>48158</v>
          </cell>
          <cell r="I890" t="str">
            <v>19 years, 11 months, 30 days</v>
          </cell>
          <cell r="J890" t="str">
            <v>Renewables</v>
          </cell>
          <cell r="K890" t="str">
            <v>Solar (Rooftop)</v>
          </cell>
          <cell r="L890" t="str">
            <v>Solar</v>
          </cell>
          <cell r="M890" t="str">
            <v>Dx</v>
          </cell>
          <cell r="N890" t="str">
            <v>Innisfil</v>
          </cell>
          <cell r="O890" t="str">
            <v>Simcoe</v>
          </cell>
          <cell r="P890" t="str">
            <v>Essa</v>
          </cell>
        </row>
        <row r="891">
          <cell r="C891" t="str">
            <v>Endura Energy - Szucs Ginseng</v>
          </cell>
          <cell r="D891" t="str">
            <v>Szucs Ginseng Inc.</v>
          </cell>
          <cell r="E891" t="str">
            <v>CO</v>
          </cell>
          <cell r="F891">
            <v>41818</v>
          </cell>
          <cell r="G891">
            <v>41558</v>
          </cell>
          <cell r="H891">
            <v>48862</v>
          </cell>
          <cell r="I891" t="str">
            <v>19 years, 11 months, 29 days</v>
          </cell>
          <cell r="J891" t="str">
            <v>Renewables</v>
          </cell>
          <cell r="K891" t="str">
            <v>Solar (Rooftop)</v>
          </cell>
          <cell r="L891" t="str">
            <v>Solar</v>
          </cell>
          <cell r="M891" t="str">
            <v>Dx</v>
          </cell>
          <cell r="N891" t="str">
            <v>Simcoe</v>
          </cell>
          <cell r="O891" t="str">
            <v>Norfolk</v>
          </cell>
          <cell r="P891" t="str">
            <v>Southwest</v>
          </cell>
        </row>
        <row r="892">
          <cell r="C892" t="str">
            <v>T04-375 Middlefield</v>
          </cell>
          <cell r="D892" t="str">
            <v>Alectra Utilities Corporation</v>
          </cell>
          <cell r="E892" t="str">
            <v>CO</v>
          </cell>
          <cell r="F892">
            <v>41720</v>
          </cell>
          <cell r="G892">
            <v>41943</v>
          </cell>
          <cell r="H892">
            <v>49247</v>
          </cell>
          <cell r="I892" t="str">
            <v>19 years, 11 months, 29 days</v>
          </cell>
          <cell r="J892" t="str">
            <v>Renewables</v>
          </cell>
          <cell r="K892" t="str">
            <v>Solar (Rooftop)</v>
          </cell>
          <cell r="L892" t="str">
            <v>Solar</v>
          </cell>
          <cell r="M892" t="str">
            <v>Dx</v>
          </cell>
          <cell r="N892" t="str">
            <v>Toronto</v>
          </cell>
          <cell r="O892" t="str">
            <v>Toronto</v>
          </cell>
          <cell r="P892" t="str">
            <v>Toronto</v>
          </cell>
        </row>
        <row r="893">
          <cell r="C893" t="str">
            <v>New Dr. David Suzuki Public School</v>
          </cell>
          <cell r="D893" t="str">
            <v>Greater Essex County District School Board</v>
          </cell>
          <cell r="E893" t="str">
            <v>CO</v>
          </cell>
          <cell r="F893">
            <v>41371</v>
          </cell>
          <cell r="G893">
            <v>41045</v>
          </cell>
          <cell r="H893">
            <v>48349</v>
          </cell>
          <cell r="I893" t="str">
            <v>19 years, 11 months, 29 days</v>
          </cell>
          <cell r="J893" t="str">
            <v>Renewables</v>
          </cell>
          <cell r="K893" t="str">
            <v>Solar (Rooftop)</v>
          </cell>
          <cell r="L893" t="str">
            <v>Solar</v>
          </cell>
          <cell r="M893" t="str">
            <v>Dx</v>
          </cell>
          <cell r="N893" t="str">
            <v>Windsor</v>
          </cell>
          <cell r="O893" t="str">
            <v>Essex</v>
          </cell>
          <cell r="P893" t="str">
            <v>West</v>
          </cell>
        </row>
        <row r="894">
          <cell r="C894" t="str">
            <v>6800 Base Line</v>
          </cell>
          <cell r="D894" t="str">
            <v>Whyte's Foods Inc.</v>
          </cell>
          <cell r="E894" t="str">
            <v>CO</v>
          </cell>
          <cell r="F894">
            <v>41806</v>
          </cell>
          <cell r="G894">
            <v>41348</v>
          </cell>
          <cell r="H894">
            <v>48652</v>
          </cell>
          <cell r="I894" t="str">
            <v>19 years, 11 months, 27 days</v>
          </cell>
          <cell r="J894" t="str">
            <v>Renewables</v>
          </cell>
          <cell r="K894" t="str">
            <v>Solar (Rooftop)</v>
          </cell>
          <cell r="L894" t="str">
            <v>Solar</v>
          </cell>
          <cell r="M894" t="str">
            <v>Dx</v>
          </cell>
          <cell r="N894" t="str">
            <v>Wallaceburg</v>
          </cell>
          <cell r="O894" t="str">
            <v>Chatham-Kent</v>
          </cell>
          <cell r="P894" t="str">
            <v>West</v>
          </cell>
        </row>
        <row r="895">
          <cell r="C895" t="str">
            <v>Menkes-50 Mural Street</v>
          </cell>
          <cell r="D895" t="str">
            <v>Menkes Properties Inc.</v>
          </cell>
          <cell r="E895" t="str">
            <v>CO</v>
          </cell>
          <cell r="F895">
            <v>41825</v>
          </cell>
          <cell r="G895">
            <v>41197</v>
          </cell>
          <cell r="H895">
            <v>48501</v>
          </cell>
          <cell r="I895" t="str">
            <v>19 years, 11 months, 29 days</v>
          </cell>
          <cell r="J895" t="str">
            <v>Renewables</v>
          </cell>
          <cell r="K895" t="str">
            <v>Solar (Rooftop)</v>
          </cell>
          <cell r="L895" t="str">
            <v>Solar</v>
          </cell>
          <cell r="M895" t="str">
            <v>Dx</v>
          </cell>
          <cell r="N895" t="str">
            <v>Richmond Hill</v>
          </cell>
          <cell r="O895" t="str">
            <v>York</v>
          </cell>
          <cell r="P895" t="str">
            <v>Toronto</v>
          </cell>
        </row>
        <row r="896">
          <cell r="C896" t="str">
            <v>Kleen-flo - 250 kW</v>
          </cell>
          <cell r="D896" t="str">
            <v>Kleen-flo Tumbler Industries Limited</v>
          </cell>
          <cell r="E896" t="str">
            <v>CO</v>
          </cell>
          <cell r="F896">
            <v>41820</v>
          </cell>
          <cell r="G896">
            <v>41220</v>
          </cell>
          <cell r="H896">
            <v>48524</v>
          </cell>
          <cell r="I896" t="str">
            <v>19 years, 11 months, 30 days</v>
          </cell>
          <cell r="J896" t="str">
            <v>Renewables</v>
          </cell>
          <cell r="K896" t="str">
            <v>Solar (Rooftop)</v>
          </cell>
          <cell r="L896" t="str">
            <v>Solar</v>
          </cell>
          <cell r="M896" t="str">
            <v>Dx</v>
          </cell>
          <cell r="N896" t="str">
            <v>Brampton</v>
          </cell>
          <cell r="O896" t="str">
            <v>Peel</v>
          </cell>
          <cell r="P896" t="str">
            <v>Toronto</v>
          </cell>
        </row>
        <row r="897">
          <cell r="C897" t="str">
            <v>Pontes Energy</v>
          </cell>
          <cell r="D897" t="str">
            <v>Margal Properties Inc.</v>
          </cell>
          <cell r="E897" t="str">
            <v>CO</v>
          </cell>
          <cell r="F897">
            <v>41813</v>
          </cell>
          <cell r="G897">
            <v>41995</v>
          </cell>
          <cell r="H897">
            <v>49117</v>
          </cell>
          <cell r="I897" t="str">
            <v>19 years, 6 months, 0 days</v>
          </cell>
          <cell r="J897" t="str">
            <v>Renewables</v>
          </cell>
          <cell r="K897" t="str">
            <v>Solar (Rooftop)</v>
          </cell>
          <cell r="L897" t="str">
            <v>Solar</v>
          </cell>
          <cell r="M897" t="str">
            <v>Dx</v>
          </cell>
          <cell r="N897" t="str">
            <v>Erin</v>
          </cell>
          <cell r="O897" t="str">
            <v>Wellington</v>
          </cell>
          <cell r="P897" t="str">
            <v>Southwest</v>
          </cell>
        </row>
        <row r="898">
          <cell r="C898" t="str">
            <v>Vermeer Solar</v>
          </cell>
          <cell r="D898" t="str">
            <v>Johannes G Vermeer</v>
          </cell>
          <cell r="E898" t="str">
            <v>CO</v>
          </cell>
          <cell r="F898">
            <v>41029</v>
          </cell>
          <cell r="G898">
            <v>40814</v>
          </cell>
          <cell r="H898">
            <v>48118</v>
          </cell>
          <cell r="I898" t="str">
            <v>19 years, 11 months, 30 days</v>
          </cell>
          <cell r="J898" t="str">
            <v>Renewables</v>
          </cell>
          <cell r="K898" t="str">
            <v>Solar (Rooftop)</v>
          </cell>
          <cell r="L898" t="str">
            <v>Solar</v>
          </cell>
          <cell r="M898" t="str">
            <v>Dx</v>
          </cell>
          <cell r="N898" t="str">
            <v>Forest</v>
          </cell>
          <cell r="O898" t="str">
            <v>Lambton</v>
          </cell>
          <cell r="P898" t="str">
            <v>West</v>
          </cell>
        </row>
        <row r="899">
          <cell r="C899" t="str">
            <v>Gordon Yacht Harbour Marina</v>
          </cell>
          <cell r="D899" t="str">
            <v>1978368 Ontario Limited</v>
          </cell>
          <cell r="E899" t="str">
            <v>CO</v>
          </cell>
          <cell r="F899">
            <v>41804</v>
          </cell>
          <cell r="G899">
            <v>41040</v>
          </cell>
          <cell r="H899">
            <v>48344</v>
          </cell>
          <cell r="I899" t="str">
            <v>19 years, 11 months, 29 days</v>
          </cell>
          <cell r="J899" t="str">
            <v>Renewables</v>
          </cell>
          <cell r="K899" t="str">
            <v>Solar (Rooftop)</v>
          </cell>
          <cell r="L899" t="str">
            <v>Solar</v>
          </cell>
          <cell r="M899" t="str">
            <v>Dx</v>
          </cell>
          <cell r="N899" t="str">
            <v>Bobcaygeon</v>
          </cell>
          <cell r="O899" t="str">
            <v>Kawartha Lakes</v>
          </cell>
          <cell r="P899" t="str">
            <v>Essa</v>
          </cell>
        </row>
        <row r="900">
          <cell r="C900" t="str">
            <v>Dalts FIT</v>
          </cell>
          <cell r="D900" t="str">
            <v>Solar Income Fund LP (#2)</v>
          </cell>
          <cell r="E900" t="str">
            <v>CO</v>
          </cell>
          <cell r="F900">
            <v>41834</v>
          </cell>
          <cell r="G900">
            <v>41309</v>
          </cell>
          <cell r="H900">
            <v>48613</v>
          </cell>
          <cell r="I900" t="str">
            <v>19 years, 11 months, 30 days</v>
          </cell>
          <cell r="J900" t="str">
            <v>Renewables</v>
          </cell>
          <cell r="K900" t="str">
            <v>Solar (Rooftop)</v>
          </cell>
          <cell r="L900" t="str">
            <v>Solar</v>
          </cell>
          <cell r="M900" t="str">
            <v>Dx</v>
          </cell>
          <cell r="N900" t="str">
            <v>Orillia</v>
          </cell>
          <cell r="O900" t="str">
            <v>Simcoe</v>
          </cell>
          <cell r="P900" t="str">
            <v>Essa</v>
          </cell>
        </row>
        <row r="901">
          <cell r="C901" t="str">
            <v>General Motors Centre Solar</v>
          </cell>
          <cell r="D901" t="str">
            <v>2252112 Ontario Inc.</v>
          </cell>
          <cell r="E901" t="str">
            <v>CO</v>
          </cell>
          <cell r="F901">
            <v>41827</v>
          </cell>
          <cell r="G901">
            <v>41320</v>
          </cell>
          <cell r="H901">
            <v>48624</v>
          </cell>
          <cell r="I901" t="str">
            <v>19 years, 11 months, 30 days</v>
          </cell>
          <cell r="J901" t="str">
            <v>Renewables</v>
          </cell>
          <cell r="K901" t="str">
            <v>Solar (Rooftop)</v>
          </cell>
          <cell r="L901" t="str">
            <v>Solar</v>
          </cell>
          <cell r="M901" t="str">
            <v>Dx</v>
          </cell>
          <cell r="N901" t="str">
            <v>Oshawa</v>
          </cell>
          <cell r="O901" t="str">
            <v>Durham</v>
          </cell>
          <cell r="P901" t="str">
            <v>Toronto</v>
          </cell>
        </row>
        <row r="902">
          <cell r="C902" t="str">
            <v>1388319 265 Massey Rd</v>
          </cell>
          <cell r="D902" t="str">
            <v>St. Regis Solar Power Corporation</v>
          </cell>
          <cell r="E902" t="str">
            <v>CO</v>
          </cell>
          <cell r="F902">
            <v>41834</v>
          </cell>
          <cell r="G902">
            <v>41347</v>
          </cell>
          <cell r="H902">
            <v>48651</v>
          </cell>
          <cell r="I902" t="str">
            <v>19 years, 11 months, 27 days</v>
          </cell>
          <cell r="J902" t="str">
            <v>Renewables</v>
          </cell>
          <cell r="K902" t="str">
            <v>Solar (Rooftop)</v>
          </cell>
          <cell r="L902" t="str">
            <v>Solar</v>
          </cell>
          <cell r="M902" t="str">
            <v>Dx</v>
          </cell>
          <cell r="N902" t="str">
            <v>Guelph</v>
          </cell>
          <cell r="O902" t="str">
            <v>Wellington</v>
          </cell>
          <cell r="P902" t="str">
            <v>Southwest</v>
          </cell>
        </row>
        <row r="903">
          <cell r="C903" t="str">
            <v>8 Riverside Drive, Trenton</v>
          </cell>
          <cell r="D903" t="str">
            <v>Solar Income Fund LP (#5)</v>
          </cell>
          <cell r="E903" t="str">
            <v>CO</v>
          </cell>
          <cell r="F903">
            <v>41811</v>
          </cell>
          <cell r="G903">
            <v>41570</v>
          </cell>
          <cell r="H903">
            <v>48874</v>
          </cell>
          <cell r="I903" t="str">
            <v>19 years, 11 months, 29 days</v>
          </cell>
          <cell r="J903" t="str">
            <v>Renewables</v>
          </cell>
          <cell r="K903" t="str">
            <v>Solar (Rooftop)</v>
          </cell>
          <cell r="L903" t="str">
            <v>Solar</v>
          </cell>
          <cell r="M903" t="str">
            <v>Dx</v>
          </cell>
          <cell r="N903" t="str">
            <v>Astra</v>
          </cell>
          <cell r="O903" t="str">
            <v>Hastings</v>
          </cell>
          <cell r="P903" t="str">
            <v>East</v>
          </cell>
        </row>
        <row r="904">
          <cell r="C904" t="str">
            <v>Merrick Landfill Project</v>
          </cell>
          <cell r="D904" t="str">
            <v>North Bay Hydro Services Inc.</v>
          </cell>
          <cell r="E904" t="str">
            <v>CO</v>
          </cell>
          <cell r="F904">
            <v>41392</v>
          </cell>
          <cell r="G904">
            <v>41074</v>
          </cell>
          <cell r="H904">
            <v>48378</v>
          </cell>
          <cell r="I904" t="str">
            <v>19 years, 11 months, 30 days</v>
          </cell>
          <cell r="J904" t="str">
            <v>Renewables</v>
          </cell>
          <cell r="K904" t="str">
            <v>Bioenergy</v>
          </cell>
          <cell r="L904" t="str">
            <v>Landfill Gas</v>
          </cell>
          <cell r="M904" t="str">
            <v>Dx</v>
          </cell>
          <cell r="N904" t="str">
            <v>North Bay</v>
          </cell>
          <cell r="O904" t="str">
            <v>Nipissing</v>
          </cell>
          <cell r="P904" t="str">
            <v>Northeast</v>
          </cell>
        </row>
        <row r="905">
          <cell r="C905" t="str">
            <v>M12-1040 Meyerside</v>
          </cell>
          <cell r="D905" t="str">
            <v>Solar Income Fund LP (#5)</v>
          </cell>
          <cell r="E905" t="str">
            <v>CO</v>
          </cell>
          <cell r="F905">
            <v>41813</v>
          </cell>
          <cell r="G905">
            <v>41985</v>
          </cell>
          <cell r="H905">
            <v>49117</v>
          </cell>
          <cell r="I905" t="str">
            <v>19 years, 6 months, 10 days</v>
          </cell>
          <cell r="J905" t="str">
            <v>Renewables</v>
          </cell>
          <cell r="K905" t="str">
            <v>Solar (Rooftop)</v>
          </cell>
          <cell r="L905" t="str">
            <v>Solar</v>
          </cell>
          <cell r="M905" t="str">
            <v>Dx</v>
          </cell>
          <cell r="N905" t="str">
            <v>Mississauga</v>
          </cell>
          <cell r="O905" t="str">
            <v>Peel</v>
          </cell>
          <cell r="P905" t="str">
            <v>Toronto</v>
          </cell>
        </row>
        <row r="906">
          <cell r="C906" t="str">
            <v>240 Nebo Rd</v>
          </cell>
          <cell r="D906" t="str">
            <v>Sunnyside Up Investments Inc.</v>
          </cell>
          <cell r="E906" t="str">
            <v>CO</v>
          </cell>
          <cell r="F906">
            <v>41029</v>
          </cell>
          <cell r="G906">
            <v>41198</v>
          </cell>
          <cell r="H906">
            <v>48502</v>
          </cell>
          <cell r="I906" t="str">
            <v>19 years, 11 months, 29 days</v>
          </cell>
          <cell r="J906" t="str">
            <v>Renewables</v>
          </cell>
          <cell r="K906" t="str">
            <v>Solar (Rooftop)</v>
          </cell>
          <cell r="L906" t="str">
            <v>Solar</v>
          </cell>
          <cell r="M906" t="str">
            <v>Dx</v>
          </cell>
          <cell r="N906" t="str">
            <v>Hamilton</v>
          </cell>
          <cell r="O906" t="str">
            <v>Hamilton</v>
          </cell>
          <cell r="P906" t="str">
            <v>Southwest</v>
          </cell>
        </row>
        <row r="907">
          <cell r="C907" t="str">
            <v>Penn Energy - Ridgefield</v>
          </cell>
          <cell r="D907" t="str">
            <v>Ridgefield Solar Farm Partnership</v>
          </cell>
          <cell r="E907" t="str">
            <v>CO</v>
          </cell>
          <cell r="F907">
            <v>41821</v>
          </cell>
          <cell r="G907">
            <v>42213</v>
          </cell>
          <cell r="H907">
            <v>49125</v>
          </cell>
          <cell r="I907" t="str">
            <v>18 years, 11 months, 2 days</v>
          </cell>
          <cell r="J907" t="str">
            <v>Renewables</v>
          </cell>
          <cell r="K907" t="str">
            <v>Solar (Ground Mounted)</v>
          </cell>
          <cell r="L907" t="str">
            <v>Solar</v>
          </cell>
          <cell r="M907" t="str">
            <v>Dx</v>
          </cell>
          <cell r="N907" t="str">
            <v>Dunsford</v>
          </cell>
          <cell r="O907" t="str">
            <v>Kawartha Lakes</v>
          </cell>
          <cell r="P907" t="str">
            <v>Essa</v>
          </cell>
        </row>
        <row r="908">
          <cell r="C908" t="str">
            <v>401 &amp; Dixon Properties - 250 kW</v>
          </cell>
          <cell r="D908" t="str">
            <v>401 &amp; Dixon Solar Inc.</v>
          </cell>
          <cell r="E908" t="str">
            <v>CO</v>
          </cell>
          <cell r="F908">
            <v>41806</v>
          </cell>
          <cell r="G908">
            <v>41435</v>
          </cell>
          <cell r="H908">
            <v>48739</v>
          </cell>
          <cell r="I908" t="str">
            <v>19 years, 11 months, 30 days</v>
          </cell>
          <cell r="J908" t="str">
            <v>Renewables</v>
          </cell>
          <cell r="K908" t="str">
            <v>Solar (Rooftop)</v>
          </cell>
          <cell r="L908" t="str">
            <v>Solar</v>
          </cell>
          <cell r="M908" t="str">
            <v>Dx</v>
          </cell>
          <cell r="N908" t="str">
            <v>Toronto</v>
          </cell>
          <cell r="O908" t="str">
            <v>Toronto</v>
          </cell>
          <cell r="P908" t="str">
            <v>Toronto</v>
          </cell>
        </row>
        <row r="909">
          <cell r="C909" t="str">
            <v>PowerStream 2010-066</v>
          </cell>
          <cell r="D909" t="str">
            <v>Alectra Utilities Corporation</v>
          </cell>
          <cell r="E909" t="str">
            <v>CO</v>
          </cell>
          <cell r="F909">
            <v>41799</v>
          </cell>
          <cell r="G909">
            <v>41264</v>
          </cell>
          <cell r="H909">
            <v>48568</v>
          </cell>
          <cell r="I909" t="str">
            <v>19 years, 11 months, 29 days</v>
          </cell>
          <cell r="J909" t="str">
            <v>Renewables</v>
          </cell>
          <cell r="K909" t="str">
            <v>Solar (Rooftop)</v>
          </cell>
          <cell r="L909" t="str">
            <v>Solar</v>
          </cell>
          <cell r="M909" t="str">
            <v>Dx</v>
          </cell>
          <cell r="N909" t="str">
            <v>Barrie</v>
          </cell>
          <cell r="O909" t="str">
            <v>Simcoe</v>
          </cell>
          <cell r="P909" t="str">
            <v>Essa</v>
          </cell>
        </row>
        <row r="910">
          <cell r="C910" t="str">
            <v>Folkens # 5</v>
          </cell>
          <cell r="D910" t="str">
            <v>2 4 6 0 8 8 2 O N T A R I O L I M I T E D</v>
          </cell>
          <cell r="E910" t="str">
            <v>CO</v>
          </cell>
          <cell r="F910">
            <v>41799</v>
          </cell>
          <cell r="G910">
            <v>41981</v>
          </cell>
          <cell r="H910">
            <v>49103</v>
          </cell>
          <cell r="I910" t="str">
            <v>19 years, 6 months, 0 days</v>
          </cell>
          <cell r="J910" t="str">
            <v>Renewables</v>
          </cell>
          <cell r="K910" t="str">
            <v>Solar (Rooftop)</v>
          </cell>
          <cell r="L910" t="str">
            <v>Solar</v>
          </cell>
          <cell r="M910" t="str">
            <v>Dx</v>
          </cell>
          <cell r="N910" t="str">
            <v>Hamilton</v>
          </cell>
          <cell r="O910" t="str">
            <v>Hamilton</v>
          </cell>
          <cell r="P910" t="str">
            <v>Southwest</v>
          </cell>
        </row>
        <row r="911">
          <cell r="C911" t="str">
            <v>Simcoe Farm</v>
          </cell>
          <cell r="D911" t="str">
            <v>Standard Power Corporation</v>
          </cell>
          <cell r="E911" t="str">
            <v>CO</v>
          </cell>
          <cell r="F911">
            <v>41807</v>
          </cell>
          <cell r="G911">
            <v>41481</v>
          </cell>
          <cell r="H911">
            <v>48785</v>
          </cell>
          <cell r="I911" t="str">
            <v>19 years, 11 months, 29 days</v>
          </cell>
          <cell r="J911" t="str">
            <v>Renewables</v>
          </cell>
          <cell r="K911" t="str">
            <v>Solar (Rooftop)</v>
          </cell>
          <cell r="L911" t="str">
            <v>Solar</v>
          </cell>
          <cell r="M911" t="str">
            <v>Dx</v>
          </cell>
          <cell r="N911" t="str">
            <v>Port Perry</v>
          </cell>
          <cell r="O911" t="str">
            <v>Simcoe</v>
          </cell>
          <cell r="P911" t="str">
            <v>Toronto</v>
          </cell>
        </row>
        <row r="912">
          <cell r="C912" t="str">
            <v>Rajason Associates Inc.</v>
          </cell>
          <cell r="D912" t="str">
            <v>Alectra Utilities Corporation</v>
          </cell>
          <cell r="E912" t="str">
            <v>CO</v>
          </cell>
          <cell r="F912">
            <v>41825</v>
          </cell>
          <cell r="G912">
            <v>41967</v>
          </cell>
          <cell r="H912">
            <v>49271</v>
          </cell>
          <cell r="I912" t="str">
            <v>19 years, 11 months, 30 days</v>
          </cell>
          <cell r="J912" t="str">
            <v>Renewables</v>
          </cell>
          <cell r="K912" t="str">
            <v>Solar (Rooftop)</v>
          </cell>
          <cell r="L912" t="str">
            <v>Solar</v>
          </cell>
          <cell r="M912" t="str">
            <v>Dx</v>
          </cell>
          <cell r="N912" t="str">
            <v>Oldcastle</v>
          </cell>
          <cell r="O912" t="str">
            <v>Essex</v>
          </cell>
          <cell r="P912" t="str">
            <v>West</v>
          </cell>
        </row>
        <row r="913">
          <cell r="C913" t="str">
            <v>Endura Energy - 140 Wendell</v>
          </cell>
          <cell r="D913" t="str">
            <v>NCAP Nicola (Wendell) Ltd.</v>
          </cell>
          <cell r="E913" t="str">
            <v>CO</v>
          </cell>
          <cell r="F913">
            <v>41799</v>
          </cell>
          <cell r="G913">
            <v>41808</v>
          </cell>
          <cell r="H913">
            <v>49103</v>
          </cell>
          <cell r="I913" t="str">
            <v>19 years, 11 months, 21 days</v>
          </cell>
          <cell r="J913" t="str">
            <v>Renewables</v>
          </cell>
          <cell r="K913" t="str">
            <v>Solar (Rooftop)</v>
          </cell>
          <cell r="L913" t="str">
            <v>Solar</v>
          </cell>
          <cell r="M913" t="str">
            <v>Dx</v>
          </cell>
          <cell r="N913" t="str">
            <v>Toronto</v>
          </cell>
          <cell r="O913" t="str">
            <v>Toronto</v>
          </cell>
          <cell r="P913" t="str">
            <v>Toronto</v>
          </cell>
        </row>
        <row r="914">
          <cell r="C914" t="str">
            <v>Scarsdale</v>
          </cell>
          <cell r="D914" t="str">
            <v>Scarsdale Business Centre</v>
          </cell>
          <cell r="E914" t="str">
            <v>CO</v>
          </cell>
          <cell r="F914">
            <v>41029</v>
          </cell>
          <cell r="G914">
            <v>40974</v>
          </cell>
          <cell r="H914">
            <v>48278</v>
          </cell>
          <cell r="I914" t="str">
            <v>19 years, 11 months, 28 days</v>
          </cell>
          <cell r="J914" t="str">
            <v>Renewables</v>
          </cell>
          <cell r="K914" t="str">
            <v>Solar (Rooftop)</v>
          </cell>
          <cell r="L914" t="str">
            <v>Solar</v>
          </cell>
          <cell r="M914" t="str">
            <v>Dx</v>
          </cell>
          <cell r="N914" t="str">
            <v>Toronto</v>
          </cell>
          <cell r="O914" t="str">
            <v>Toronto</v>
          </cell>
          <cell r="P914" t="str">
            <v>Toronto</v>
          </cell>
        </row>
        <row r="915">
          <cell r="C915" t="str">
            <v>East York Civic Centre PV System</v>
          </cell>
          <cell r="D915" t="str">
            <v>City of Toronto</v>
          </cell>
          <cell r="E915" t="str">
            <v>CO</v>
          </cell>
          <cell r="F915">
            <v>41797</v>
          </cell>
          <cell r="G915">
            <v>40925</v>
          </cell>
          <cell r="H915">
            <v>48229</v>
          </cell>
          <cell r="I915" t="str">
            <v>19 years, 11 months, 30 days</v>
          </cell>
          <cell r="J915" t="str">
            <v>Renewables</v>
          </cell>
          <cell r="K915" t="str">
            <v>Solar (Rooftop)</v>
          </cell>
          <cell r="L915" t="str">
            <v>Solar</v>
          </cell>
          <cell r="M915" t="str">
            <v>Dx</v>
          </cell>
          <cell r="N915" t="str">
            <v>Toronto</v>
          </cell>
          <cell r="O915" t="str">
            <v>Toronto</v>
          </cell>
          <cell r="P915" t="str">
            <v>Toronto</v>
          </cell>
        </row>
        <row r="916">
          <cell r="C916" t="str">
            <v>2900 St. Etienne Inc.</v>
          </cell>
          <cell r="D916" t="str">
            <v>Alectra Utilities Corporation</v>
          </cell>
          <cell r="E916" t="str">
            <v>CO</v>
          </cell>
          <cell r="F916">
            <v>41818</v>
          </cell>
          <cell r="G916">
            <v>41103</v>
          </cell>
          <cell r="H916">
            <v>48407</v>
          </cell>
          <cell r="I916" t="str">
            <v>19 years, 11 months, 29 days</v>
          </cell>
          <cell r="J916" t="str">
            <v>Renewables</v>
          </cell>
          <cell r="K916" t="str">
            <v>Solar (Rooftop)</v>
          </cell>
          <cell r="L916" t="str">
            <v>Solar</v>
          </cell>
          <cell r="M916" t="str">
            <v>Dx</v>
          </cell>
          <cell r="N916" t="str">
            <v>Windsor</v>
          </cell>
          <cell r="O916" t="str">
            <v>Essex</v>
          </cell>
          <cell r="P916" t="str">
            <v>West</v>
          </cell>
        </row>
        <row r="917">
          <cell r="C917" t="str">
            <v>Frook Biogas Facility 1</v>
          </cell>
          <cell r="D917" t="str">
            <v>Marl Creek Renewables Inc.</v>
          </cell>
          <cell r="E917" t="str">
            <v>CO</v>
          </cell>
          <cell r="F917">
            <v>41442</v>
          </cell>
          <cell r="G917">
            <v>41254</v>
          </cell>
          <cell r="H917">
            <v>48558</v>
          </cell>
          <cell r="I917" t="str">
            <v>19 years, 11 months, 29 days</v>
          </cell>
          <cell r="J917" t="str">
            <v>Renewables</v>
          </cell>
          <cell r="K917" t="str">
            <v>Bioenergy</v>
          </cell>
          <cell r="L917" t="str">
            <v>Biogas (On-Farm)</v>
          </cell>
          <cell r="M917" t="str">
            <v>Dx</v>
          </cell>
          <cell r="N917" t="str">
            <v>Elmwood</v>
          </cell>
          <cell r="O917" t="str">
            <v>Bruce</v>
          </cell>
          <cell r="P917" t="str">
            <v>Southwest</v>
          </cell>
        </row>
        <row r="918">
          <cell r="C918" t="str">
            <v>GREY HIGHLANDS CLEAN ENERGY</v>
          </cell>
          <cell r="D918" t="str">
            <v>GREY HIGHLANDS CLEAN ENERGY DEVELOPMENT LP</v>
          </cell>
          <cell r="E918" t="str">
            <v>CO</v>
          </cell>
          <cell r="F918">
            <v>41743</v>
          </cell>
          <cell r="G918">
            <v>42634</v>
          </cell>
          <cell r="H918">
            <v>49938</v>
          </cell>
          <cell r="I918" t="str">
            <v>19 years, 11 months, 30 days</v>
          </cell>
          <cell r="J918" t="str">
            <v>Renewables</v>
          </cell>
          <cell r="K918" t="str">
            <v>Wind (On-Shore)</v>
          </cell>
          <cell r="L918" t="str">
            <v>Wind</v>
          </cell>
          <cell r="M918" t="str">
            <v>Dx</v>
          </cell>
          <cell r="N918" t="str">
            <v>Singhampton</v>
          </cell>
          <cell r="O918" t="str">
            <v>Grey</v>
          </cell>
          <cell r="P918" t="str">
            <v>Essa</v>
          </cell>
        </row>
        <row r="919">
          <cell r="C919" t="str">
            <v>Cookstown Outlet Mall</v>
          </cell>
          <cell r="D919" t="str">
            <v>TerraForm MP Solar, LLC</v>
          </cell>
          <cell r="E919" t="str">
            <v>CO</v>
          </cell>
          <cell r="F919">
            <v>41818</v>
          </cell>
          <cell r="G919">
            <v>41991</v>
          </cell>
          <cell r="H919">
            <v>49295</v>
          </cell>
          <cell r="I919" t="str">
            <v>19 years, 11 months, 29 days</v>
          </cell>
          <cell r="J919" t="str">
            <v>Renewables</v>
          </cell>
          <cell r="K919" t="str">
            <v>Solar (Rooftop)</v>
          </cell>
          <cell r="L919" t="str">
            <v>Solar</v>
          </cell>
          <cell r="M919" t="str">
            <v>Dx</v>
          </cell>
          <cell r="N919" t="str">
            <v>Cookstown</v>
          </cell>
          <cell r="O919" t="str">
            <v>Simcoe</v>
          </cell>
          <cell r="P919" t="str">
            <v>Southwest</v>
          </cell>
        </row>
        <row r="920">
          <cell r="C920" t="str">
            <v>Field Farms Solar</v>
          </cell>
          <cell r="D920" t="str">
            <v>Fields Farms Ltd.</v>
          </cell>
          <cell r="E920" t="str">
            <v>CO</v>
          </cell>
          <cell r="F920">
            <v>41790</v>
          </cell>
          <cell r="G920">
            <v>41071</v>
          </cell>
          <cell r="H920">
            <v>48375</v>
          </cell>
          <cell r="I920" t="str">
            <v>19 years, 11 months, 30 days</v>
          </cell>
          <cell r="J920" t="str">
            <v>Renewables</v>
          </cell>
          <cell r="K920" t="str">
            <v>Solar (Rooftop)</v>
          </cell>
          <cell r="L920" t="str">
            <v>Solar</v>
          </cell>
          <cell r="M920" t="str">
            <v>Dx</v>
          </cell>
          <cell r="N920" t="str">
            <v>Petrolia</v>
          </cell>
          <cell r="O920" t="str">
            <v>Lambton</v>
          </cell>
          <cell r="P920" t="str">
            <v>West</v>
          </cell>
        </row>
        <row r="921">
          <cell r="C921" t="str">
            <v>Riverview1</v>
          </cell>
          <cell r="D921" t="str">
            <v>2097382 Ontario Limited</v>
          </cell>
          <cell r="E921" t="str">
            <v>CO</v>
          </cell>
          <cell r="F921">
            <v>41827</v>
          </cell>
          <cell r="G921">
            <v>41026</v>
          </cell>
          <cell r="H921">
            <v>48330</v>
          </cell>
          <cell r="I921" t="str">
            <v>19 years, 11 months, 30 days</v>
          </cell>
          <cell r="J921" t="str">
            <v>Renewables</v>
          </cell>
          <cell r="K921" t="str">
            <v>Solar (Rooftop)</v>
          </cell>
          <cell r="L921" t="str">
            <v>Solar</v>
          </cell>
          <cell r="M921" t="str">
            <v>Dx</v>
          </cell>
          <cell r="N921" t="str">
            <v>Lakefield</v>
          </cell>
          <cell r="O921" t="str">
            <v>Peterborough</v>
          </cell>
          <cell r="P921" t="str">
            <v>East</v>
          </cell>
        </row>
        <row r="922">
          <cell r="C922" t="str">
            <v>Innes Self Storage Corporation</v>
          </cell>
          <cell r="D922" t="str">
            <v>Dymon Storage (Ottawa) Corporation</v>
          </cell>
          <cell r="E922" t="str">
            <v>CO</v>
          </cell>
          <cell r="F922">
            <v>41822</v>
          </cell>
          <cell r="G922">
            <v>41787</v>
          </cell>
          <cell r="H922">
            <v>49091</v>
          </cell>
          <cell r="I922" t="str">
            <v>19 years, 11 months, 29 days</v>
          </cell>
          <cell r="J922" t="str">
            <v>Renewables</v>
          </cell>
          <cell r="K922" t="str">
            <v>Solar (Rooftop)</v>
          </cell>
          <cell r="L922" t="str">
            <v>Solar</v>
          </cell>
          <cell r="M922" t="str">
            <v>Dx</v>
          </cell>
          <cell r="N922" t="str">
            <v>Ottawa</v>
          </cell>
          <cell r="O922" t="str">
            <v>Ottawa</v>
          </cell>
          <cell r="P922" t="str">
            <v>Ottawa</v>
          </cell>
        </row>
        <row r="923">
          <cell r="C923" t="str">
            <v>757182 Ontario Ltd.</v>
          </cell>
          <cell r="D923" t="str">
            <v>757182 Ontario Ltd.</v>
          </cell>
          <cell r="E923" t="str">
            <v>CO</v>
          </cell>
          <cell r="F923">
            <v>41974</v>
          </cell>
          <cell r="G923">
            <v>41754</v>
          </cell>
          <cell r="H923">
            <v>49058</v>
          </cell>
          <cell r="I923" t="str">
            <v>19 years, 11 months, 30 days</v>
          </cell>
          <cell r="J923" t="str">
            <v>Renewables</v>
          </cell>
          <cell r="K923" t="str">
            <v>Solar (Rooftop)</v>
          </cell>
          <cell r="L923" t="str">
            <v>Solar</v>
          </cell>
          <cell r="M923" t="str">
            <v>Dx</v>
          </cell>
          <cell r="N923" t="str">
            <v>Ayton</v>
          </cell>
          <cell r="O923" t="str">
            <v>Grey</v>
          </cell>
          <cell r="P923" t="str">
            <v>Southwest</v>
          </cell>
        </row>
        <row r="924">
          <cell r="C924" t="str">
            <v>Boys &amp; Girls Club of London</v>
          </cell>
          <cell r="D924" t="str">
            <v>MEMORIAL BOYS' AND GIRLS' CLUB FOUNDATION INC.</v>
          </cell>
          <cell r="E924" t="str">
            <v>CO</v>
          </cell>
          <cell r="F924">
            <v>42228</v>
          </cell>
          <cell r="G924">
            <v>40735</v>
          </cell>
          <cell r="H924">
            <v>48039</v>
          </cell>
          <cell r="I924" t="str">
            <v>19 years, 11 months, 29 days</v>
          </cell>
          <cell r="J924" t="str">
            <v>Renewables</v>
          </cell>
          <cell r="K924" t="str">
            <v>Solar (Rooftop)</v>
          </cell>
          <cell r="L924" t="str">
            <v>Solar</v>
          </cell>
          <cell r="M924" t="str">
            <v>Dx</v>
          </cell>
          <cell r="N924" t="str">
            <v>London</v>
          </cell>
          <cell r="O924" t="str">
            <v>Middlesex</v>
          </cell>
          <cell r="P924" t="str">
            <v>West</v>
          </cell>
        </row>
        <row r="925">
          <cell r="C925" t="str">
            <v>Norus Solar 1</v>
          </cell>
          <cell r="D925" t="str">
            <v>1505010 Ontario Limited</v>
          </cell>
          <cell r="E925" t="str">
            <v>CO</v>
          </cell>
          <cell r="F925">
            <v>41825</v>
          </cell>
          <cell r="G925">
            <v>41166</v>
          </cell>
          <cell r="H925">
            <v>48470</v>
          </cell>
          <cell r="I925" t="str">
            <v>19 years, 11 months, 30 days</v>
          </cell>
          <cell r="J925" t="str">
            <v>Renewables</v>
          </cell>
          <cell r="K925" t="str">
            <v>Solar (Rooftop)</v>
          </cell>
          <cell r="L925" t="str">
            <v>Solar</v>
          </cell>
          <cell r="M925" t="str">
            <v>Dx</v>
          </cell>
          <cell r="N925" t="str">
            <v>Tottenham</v>
          </cell>
          <cell r="O925" t="str">
            <v>Simcoe</v>
          </cell>
          <cell r="P925" t="str">
            <v>Southwest</v>
          </cell>
        </row>
        <row r="926">
          <cell r="C926" t="str">
            <v>#220 11 Clappison Ave, Waterdown</v>
          </cell>
          <cell r="D926" t="str">
            <v>PSI Solar Finance 1 Limited Partnership</v>
          </cell>
          <cell r="E926" t="str">
            <v>CO</v>
          </cell>
          <cell r="F926">
            <v>41897</v>
          </cell>
          <cell r="G926">
            <v>41765</v>
          </cell>
          <cell r="H926">
            <v>49069</v>
          </cell>
          <cell r="I926" t="str">
            <v>19 years, 11 months, 29 days</v>
          </cell>
          <cell r="J926" t="str">
            <v>Renewables</v>
          </cell>
          <cell r="K926" t="str">
            <v>Solar (Rooftop)</v>
          </cell>
          <cell r="L926" t="str">
            <v>Solar</v>
          </cell>
          <cell r="M926" t="str">
            <v>Dx</v>
          </cell>
          <cell r="N926" t="str">
            <v>Hamilton</v>
          </cell>
          <cell r="O926" t="str">
            <v>Hamilton</v>
          </cell>
          <cell r="P926" t="str">
            <v>Southwest</v>
          </cell>
        </row>
        <row r="927">
          <cell r="C927" t="str">
            <v>Preformed Line Products</v>
          </cell>
          <cell r="D927" t="str">
            <v>PLP Canada Ltd.</v>
          </cell>
          <cell r="E927" t="str">
            <v>CO</v>
          </cell>
          <cell r="F927">
            <v>40663</v>
          </cell>
          <cell r="G927">
            <v>40480</v>
          </cell>
          <cell r="H927">
            <v>47784</v>
          </cell>
          <cell r="I927" t="str">
            <v>19 years, 11 months, 29 days</v>
          </cell>
          <cell r="J927" t="str">
            <v>Renewables</v>
          </cell>
          <cell r="K927" t="str">
            <v>Solar (Rooftop)</v>
          </cell>
          <cell r="L927" t="str">
            <v>Solar</v>
          </cell>
          <cell r="M927" t="str">
            <v>Dx</v>
          </cell>
          <cell r="N927" t="str">
            <v>Cambridge</v>
          </cell>
          <cell r="O927" t="str">
            <v>Waterloo</v>
          </cell>
          <cell r="P927" t="str">
            <v>Southwest</v>
          </cell>
        </row>
        <row r="928">
          <cell r="C928" t="str">
            <v>M. L. Shantz</v>
          </cell>
          <cell r="D928" t="str">
            <v>Mike and Linda Shantz</v>
          </cell>
          <cell r="E928" t="str">
            <v>CO</v>
          </cell>
          <cell r="F928">
            <v>41797</v>
          </cell>
          <cell r="G928">
            <v>41442</v>
          </cell>
          <cell r="H928">
            <v>48746</v>
          </cell>
          <cell r="I928" t="str">
            <v>19 years, 11 months, 30 days</v>
          </cell>
          <cell r="J928" t="str">
            <v>Renewables</v>
          </cell>
          <cell r="K928" t="str">
            <v>Solar (Rooftop)</v>
          </cell>
          <cell r="L928" t="str">
            <v>Solar</v>
          </cell>
          <cell r="M928" t="str">
            <v>Dx</v>
          </cell>
          <cell r="N928" t="str">
            <v>New Hamburg</v>
          </cell>
          <cell r="O928" t="str">
            <v>Waterloo</v>
          </cell>
          <cell r="P928" t="str">
            <v>Southwest</v>
          </cell>
        </row>
        <row r="929">
          <cell r="C929" t="str">
            <v>C13-3020 Hawthorne Buidling 700</v>
          </cell>
          <cell r="D929" t="str">
            <v>PSI Solar Finance 1 Limited Partnership</v>
          </cell>
          <cell r="E929" t="str">
            <v>CO</v>
          </cell>
          <cell r="F929">
            <v>41799</v>
          </cell>
          <cell r="G929">
            <v>41751</v>
          </cell>
          <cell r="H929">
            <v>49055</v>
          </cell>
          <cell r="I929" t="str">
            <v>19 years, 11 months, 30 days</v>
          </cell>
          <cell r="J929" t="str">
            <v>Renewables</v>
          </cell>
          <cell r="K929" t="str">
            <v>Solar (Rooftop)</v>
          </cell>
          <cell r="L929" t="str">
            <v>Solar</v>
          </cell>
          <cell r="M929" t="str">
            <v>Dx</v>
          </cell>
          <cell r="N929" t="str">
            <v>Ottawa</v>
          </cell>
          <cell r="O929" t="str">
            <v>Ottawa</v>
          </cell>
          <cell r="P929" t="str">
            <v>Ottawa</v>
          </cell>
        </row>
        <row r="930">
          <cell r="C930" t="str">
            <v>R05-3141 Mainway</v>
          </cell>
          <cell r="D930" t="str">
            <v>N. Fine Investments Ltd.</v>
          </cell>
          <cell r="E930" t="str">
            <v>CO</v>
          </cell>
          <cell r="F930">
            <v>41029</v>
          </cell>
          <cell r="G930">
            <v>41212</v>
          </cell>
          <cell r="H930">
            <v>48516</v>
          </cell>
          <cell r="I930" t="str">
            <v>19 years, 11 months, 29 days</v>
          </cell>
          <cell r="J930" t="str">
            <v>Renewables</v>
          </cell>
          <cell r="K930" t="str">
            <v>Solar (Rooftop)</v>
          </cell>
          <cell r="L930" t="str">
            <v>Solar</v>
          </cell>
          <cell r="M930" t="str">
            <v>Dx</v>
          </cell>
          <cell r="N930" t="str">
            <v>Burlington</v>
          </cell>
          <cell r="O930" t="str">
            <v>Halton</v>
          </cell>
          <cell r="P930" t="str">
            <v>Southwest</v>
          </cell>
        </row>
        <row r="931">
          <cell r="C931" t="str">
            <v>IKEA Solar PV North York</v>
          </cell>
          <cell r="D931" t="str">
            <v>IKEA Properties Limited</v>
          </cell>
          <cell r="E931" t="str">
            <v>CO</v>
          </cell>
          <cell r="F931">
            <v>40663</v>
          </cell>
          <cell r="G931">
            <v>40624</v>
          </cell>
          <cell r="H931">
            <v>47928</v>
          </cell>
          <cell r="I931" t="str">
            <v>19 years, 11 months, 27 days</v>
          </cell>
          <cell r="J931" t="str">
            <v>Renewables</v>
          </cell>
          <cell r="K931" t="str">
            <v>Solar (Rooftop)</v>
          </cell>
          <cell r="L931" t="str">
            <v>Solar</v>
          </cell>
          <cell r="M931" t="str">
            <v>Dx</v>
          </cell>
          <cell r="N931" t="str">
            <v>Toronto</v>
          </cell>
          <cell r="O931" t="str">
            <v>Toronto</v>
          </cell>
          <cell r="P931" t="str">
            <v>Toronto</v>
          </cell>
        </row>
        <row r="932">
          <cell r="C932" t="str">
            <v>ISPA-Building-Rooftop-PV</v>
          </cell>
          <cell r="D932" t="str">
            <v>114 Solar Project Limited</v>
          </cell>
          <cell r="E932" t="str">
            <v>CO</v>
          </cell>
          <cell r="F932">
            <v>41029</v>
          </cell>
          <cell r="G932">
            <v>40820</v>
          </cell>
          <cell r="H932">
            <v>48124</v>
          </cell>
          <cell r="I932" t="str">
            <v>19 years, 11 months, 29 days</v>
          </cell>
          <cell r="J932" t="str">
            <v>Renewables</v>
          </cell>
          <cell r="K932" t="str">
            <v>Solar (Rooftop)</v>
          </cell>
          <cell r="L932" t="str">
            <v>Solar</v>
          </cell>
          <cell r="M932" t="str">
            <v>Dx</v>
          </cell>
          <cell r="N932" t="str">
            <v>Halton Hills</v>
          </cell>
          <cell r="O932" t="str">
            <v>Halton</v>
          </cell>
          <cell r="P932" t="str">
            <v>Toronto</v>
          </cell>
        </row>
        <row r="933">
          <cell r="C933" t="str">
            <v>Bluewater Wind Energy Centre</v>
          </cell>
          <cell r="D933" t="str">
            <v>Varna Wind, LP</v>
          </cell>
          <cell r="E933" t="str">
            <v>CO</v>
          </cell>
          <cell r="F933">
            <v>42008</v>
          </cell>
          <cell r="G933">
            <v>41839</v>
          </cell>
          <cell r="H933">
            <v>49143</v>
          </cell>
          <cell r="I933" t="str">
            <v>19 years, 11 months, 29 days</v>
          </cell>
          <cell r="J933" t="str">
            <v>Renewables</v>
          </cell>
          <cell r="K933" t="str">
            <v>Wind (On-Shore)</v>
          </cell>
          <cell r="L933" t="str">
            <v>Wind</v>
          </cell>
          <cell r="M933" t="str">
            <v>Tx</v>
          </cell>
          <cell r="N933" t="str">
            <v>Zurich</v>
          </cell>
          <cell r="O933" t="str">
            <v>Huron</v>
          </cell>
          <cell r="P933" t="str">
            <v>Southwest</v>
          </cell>
        </row>
        <row r="934">
          <cell r="C934" t="str">
            <v>PowerStream 2010-064</v>
          </cell>
          <cell r="D934" t="str">
            <v>Alectra Utilities Corporation</v>
          </cell>
          <cell r="E934" t="str">
            <v>CO</v>
          </cell>
          <cell r="F934">
            <v>41799</v>
          </cell>
          <cell r="G934">
            <v>41085</v>
          </cell>
          <cell r="H934">
            <v>48389</v>
          </cell>
          <cell r="I934" t="str">
            <v>19 years, 11 months, 30 days</v>
          </cell>
          <cell r="J934" t="str">
            <v>Renewables</v>
          </cell>
          <cell r="K934" t="str">
            <v>Solar (Rooftop)</v>
          </cell>
          <cell r="L934" t="str">
            <v>Solar</v>
          </cell>
          <cell r="M934" t="str">
            <v>Dx</v>
          </cell>
          <cell r="N934" t="str">
            <v>Barrie</v>
          </cell>
          <cell r="O934" t="str">
            <v>Simcoe</v>
          </cell>
          <cell r="P934" t="str">
            <v>Essa</v>
          </cell>
        </row>
        <row r="935">
          <cell r="C935" t="str">
            <v>RE Orillia 3</v>
          </cell>
          <cell r="D935" t="str">
            <v>Axium Solar Orillia 3 L.P.</v>
          </cell>
          <cell r="E935" t="str">
            <v>CO</v>
          </cell>
          <cell r="F935">
            <v>41405</v>
          </cell>
          <cell r="G935">
            <v>41697</v>
          </cell>
          <cell r="H935">
            <v>49001</v>
          </cell>
          <cell r="I935" t="str">
            <v>19 years, 11 months, 30 days</v>
          </cell>
          <cell r="J935" t="str">
            <v>Renewables</v>
          </cell>
          <cell r="K935" t="str">
            <v>Solar (Ground Mounted)</v>
          </cell>
          <cell r="L935" t="str">
            <v>Solar</v>
          </cell>
          <cell r="M935" t="str">
            <v>Dx</v>
          </cell>
          <cell r="N935" t="str">
            <v>Hawkestone</v>
          </cell>
          <cell r="O935" t="str">
            <v>Simcoe</v>
          </cell>
          <cell r="P935" t="str">
            <v>Essa</v>
          </cell>
        </row>
        <row r="936">
          <cell r="C936" t="str">
            <v>Huron East</v>
          </cell>
          <cell r="D936" t="str">
            <v>Community Solar Assets 1 Ltd.</v>
          </cell>
          <cell r="E936" t="str">
            <v>CO</v>
          </cell>
          <cell r="F936">
            <v>41898</v>
          </cell>
          <cell r="G936">
            <v>41743</v>
          </cell>
          <cell r="H936">
            <v>49047</v>
          </cell>
          <cell r="I936" t="str">
            <v>19 years, 11 months, 30 days</v>
          </cell>
          <cell r="J936" t="str">
            <v>Renewables</v>
          </cell>
          <cell r="K936" t="str">
            <v>Solar (Rooftop)</v>
          </cell>
          <cell r="L936" t="str">
            <v>Solar</v>
          </cell>
          <cell r="M936" t="str">
            <v>Dx</v>
          </cell>
          <cell r="N936" t="str">
            <v>Clinton</v>
          </cell>
          <cell r="O936" t="str">
            <v>Huron</v>
          </cell>
          <cell r="P936" t="str">
            <v>Southwest</v>
          </cell>
        </row>
        <row r="937">
          <cell r="C937" t="str">
            <v>Tirecraft Solar</v>
          </cell>
          <cell r="D937" t="str">
            <v>Barnim Property Holdings Inc.</v>
          </cell>
          <cell r="E937" t="str">
            <v>CO</v>
          </cell>
          <cell r="F937">
            <v>41790</v>
          </cell>
          <cell r="G937">
            <v>41114</v>
          </cell>
          <cell r="H937">
            <v>48418</v>
          </cell>
          <cell r="I937" t="str">
            <v>19 years, 11 months, 29 days</v>
          </cell>
          <cell r="J937" t="str">
            <v>Renewables</v>
          </cell>
          <cell r="K937" t="str">
            <v>Solar (Rooftop)</v>
          </cell>
          <cell r="L937" t="str">
            <v>Solar</v>
          </cell>
          <cell r="M937" t="str">
            <v>Dx</v>
          </cell>
          <cell r="N937" t="str">
            <v>Cambridge</v>
          </cell>
          <cell r="O937" t="str">
            <v>Waterloo</v>
          </cell>
          <cell r="P937" t="str">
            <v>Southwest</v>
          </cell>
        </row>
        <row r="938">
          <cell r="C938" t="str">
            <v>St Isidore Arena</v>
          </cell>
          <cell r="D938" t="str">
            <v>The Corporation of The Nation Municipality</v>
          </cell>
          <cell r="E938" t="str">
            <v>CO</v>
          </cell>
          <cell r="F938">
            <v>41029</v>
          </cell>
          <cell r="G938">
            <v>40752</v>
          </cell>
          <cell r="H938">
            <v>48056</v>
          </cell>
          <cell r="I938" t="str">
            <v>19 years, 11 months, 29 days</v>
          </cell>
          <cell r="J938" t="str">
            <v>Renewables</v>
          </cell>
          <cell r="K938" t="str">
            <v>Solar (Rooftop)</v>
          </cell>
          <cell r="L938" t="str">
            <v>Solar</v>
          </cell>
          <cell r="M938" t="str">
            <v>Dx</v>
          </cell>
          <cell r="N938" t="str">
            <v>St. Isidore</v>
          </cell>
          <cell r="O938" t="str">
            <v>Prescott and Russell</v>
          </cell>
          <cell r="P938" t="str">
            <v>Ottawa</v>
          </cell>
        </row>
        <row r="939">
          <cell r="C939" t="str">
            <v>St. Monica C.S.</v>
          </cell>
          <cell r="D939" t="str">
            <v>York Catholic District School Board</v>
          </cell>
          <cell r="E939" t="str">
            <v>CO</v>
          </cell>
          <cell r="F939">
            <v>41029</v>
          </cell>
          <cell r="G939">
            <v>40875</v>
          </cell>
          <cell r="H939">
            <v>48179</v>
          </cell>
          <cell r="I939" t="str">
            <v>19 years, 11 months, 30 days</v>
          </cell>
          <cell r="J939" t="str">
            <v>Renewables</v>
          </cell>
          <cell r="K939" t="str">
            <v>Solar (Rooftop)</v>
          </cell>
          <cell r="L939" t="str">
            <v>Solar</v>
          </cell>
          <cell r="M939" t="str">
            <v>Dx</v>
          </cell>
          <cell r="N939" t="str">
            <v>Brampton</v>
          </cell>
          <cell r="O939" t="str">
            <v>Peel</v>
          </cell>
          <cell r="P939" t="str">
            <v>Toronto</v>
          </cell>
        </row>
        <row r="940">
          <cell r="C940" t="str">
            <v>Cavanagh Solar 3</v>
          </cell>
          <cell r="D940" t="str">
            <v>Thomas Cavanagh Construction Limited</v>
          </cell>
          <cell r="E940" t="str">
            <v>CO</v>
          </cell>
          <cell r="F940">
            <v>41822</v>
          </cell>
          <cell r="G940">
            <v>41194</v>
          </cell>
          <cell r="H940">
            <v>48498</v>
          </cell>
          <cell r="I940" t="str">
            <v>19 years, 11 months, 29 days</v>
          </cell>
          <cell r="J940" t="str">
            <v>Renewables</v>
          </cell>
          <cell r="K940" t="str">
            <v>Solar (Rooftop)</v>
          </cell>
          <cell r="L940" t="str">
            <v>Solar</v>
          </cell>
          <cell r="M940" t="str">
            <v>Dx</v>
          </cell>
          <cell r="N940" t="str">
            <v>Ashton</v>
          </cell>
          <cell r="O940" t="str">
            <v>Lanark</v>
          </cell>
          <cell r="P940" t="str">
            <v>East</v>
          </cell>
        </row>
        <row r="941">
          <cell r="C941" t="str">
            <v>Hostettler 24.84kW</v>
          </cell>
          <cell r="D941" t="str">
            <v>Adolf Hostettler</v>
          </cell>
          <cell r="E941" t="str">
            <v>CO</v>
          </cell>
          <cell r="F941">
            <v>41825</v>
          </cell>
          <cell r="G941">
            <v>41800</v>
          </cell>
          <cell r="H941">
            <v>49104</v>
          </cell>
          <cell r="I941" t="str">
            <v>19 years, 11 months, 30 days</v>
          </cell>
          <cell r="J941" t="str">
            <v>Renewables</v>
          </cell>
          <cell r="K941" t="str">
            <v>Solar (Rooftop)</v>
          </cell>
          <cell r="L941" t="str">
            <v>Solar</v>
          </cell>
          <cell r="M941" t="str">
            <v>Dx</v>
          </cell>
          <cell r="N941" t="str">
            <v>Atwood</v>
          </cell>
          <cell r="O941" t="str">
            <v>Perth</v>
          </cell>
          <cell r="P941" t="str">
            <v>Southwest</v>
          </cell>
        </row>
        <row r="942">
          <cell r="C942" t="str">
            <v>GSC Muegge</v>
          </cell>
          <cell r="D942" t="str">
            <v>WILLY HUBER INVESTMENTS INC.</v>
          </cell>
          <cell r="E942" t="str">
            <v>CO</v>
          </cell>
          <cell r="F942">
            <v>41827</v>
          </cell>
          <cell r="G942">
            <v>41816</v>
          </cell>
          <cell r="H942">
            <v>49120</v>
          </cell>
          <cell r="I942" t="str">
            <v>19 years, 11 months, 30 days</v>
          </cell>
          <cell r="J942" t="str">
            <v>Renewables</v>
          </cell>
          <cell r="K942" t="str">
            <v>Solar (Rooftop)</v>
          </cell>
          <cell r="L942" t="str">
            <v>Solar</v>
          </cell>
          <cell r="M942" t="str">
            <v>Dx</v>
          </cell>
          <cell r="N942" t="str">
            <v>Conestogo</v>
          </cell>
          <cell r="O942" t="str">
            <v>Waterloo</v>
          </cell>
          <cell r="P942" t="str">
            <v>Southwest</v>
          </cell>
        </row>
        <row r="943">
          <cell r="C943" t="str">
            <v>30 Pinewood Dr. - 50kW Rooftop</v>
          </cell>
          <cell r="D943" t="str">
            <v>1691802 Ontario Ltd.</v>
          </cell>
          <cell r="E943" t="str">
            <v>CO</v>
          </cell>
          <cell r="F943">
            <v>41825</v>
          </cell>
          <cell r="G943">
            <v>41116</v>
          </cell>
          <cell r="H943">
            <v>48420</v>
          </cell>
          <cell r="I943" t="str">
            <v>19 years, 11 months, 29 days</v>
          </cell>
          <cell r="J943" t="str">
            <v>Renewables</v>
          </cell>
          <cell r="K943" t="str">
            <v>Solar (Rooftop)</v>
          </cell>
          <cell r="L943" t="str">
            <v>Solar</v>
          </cell>
          <cell r="M943" t="str">
            <v>Dx</v>
          </cell>
          <cell r="N943" t="str">
            <v>Wawa</v>
          </cell>
          <cell r="O943" t="str">
            <v>Algoma</v>
          </cell>
          <cell r="P943" t="str">
            <v>Northeast</v>
          </cell>
        </row>
        <row r="944">
          <cell r="C944" t="str">
            <v>Duke of Devenshire Retirement Residence</v>
          </cell>
          <cell r="D944" t="str">
            <v>Dymon Storage (Ottawa) Corporation</v>
          </cell>
          <cell r="E944" t="str">
            <v>CO</v>
          </cell>
          <cell r="F944">
            <v>41822</v>
          </cell>
          <cell r="G944">
            <v>41970</v>
          </cell>
          <cell r="H944">
            <v>49274</v>
          </cell>
          <cell r="I944" t="str">
            <v>19 years, 11 months, 30 days</v>
          </cell>
          <cell r="J944" t="str">
            <v>Renewables</v>
          </cell>
          <cell r="K944" t="str">
            <v>Solar (Rooftop)</v>
          </cell>
          <cell r="L944" t="str">
            <v>Solar</v>
          </cell>
          <cell r="M944" t="str">
            <v>Dx</v>
          </cell>
          <cell r="N944" t="str">
            <v>Ottawa</v>
          </cell>
          <cell r="O944" t="str">
            <v>Ottawa</v>
          </cell>
          <cell r="P944" t="str">
            <v>Ottawa</v>
          </cell>
        </row>
        <row r="945">
          <cell r="C945" t="str">
            <v>Prince of Wales Self Storage Corporation</v>
          </cell>
          <cell r="D945" t="str">
            <v>Dymon Storage (Ottawa) Corporation</v>
          </cell>
          <cell r="E945" t="str">
            <v>CO</v>
          </cell>
          <cell r="F945">
            <v>41822</v>
          </cell>
          <cell r="G945">
            <v>41954</v>
          </cell>
          <cell r="H945">
            <v>49258</v>
          </cell>
          <cell r="I945" t="str">
            <v>19 years, 11 months, 30 days</v>
          </cell>
          <cell r="J945" t="str">
            <v>Renewables</v>
          </cell>
          <cell r="K945" t="str">
            <v>Solar (Rooftop)</v>
          </cell>
          <cell r="L945" t="str">
            <v>Solar</v>
          </cell>
          <cell r="M945" t="str">
            <v>Dx</v>
          </cell>
          <cell r="N945" t="str">
            <v>Ottawa</v>
          </cell>
          <cell r="O945" t="str">
            <v>Ottawa</v>
          </cell>
          <cell r="P945" t="str">
            <v>Ottawa</v>
          </cell>
        </row>
        <row r="946">
          <cell r="C946" t="str">
            <v>#135 74 McNaughton Ave, Wallaceburg</v>
          </cell>
          <cell r="D946" t="str">
            <v>PSI Solar Finance 1 Limited Partnership</v>
          </cell>
          <cell r="E946" t="str">
            <v>CO</v>
          </cell>
          <cell r="F946">
            <v>41792</v>
          </cell>
          <cell r="G946">
            <v>41471</v>
          </cell>
          <cell r="H946">
            <v>48775</v>
          </cell>
          <cell r="I946" t="str">
            <v>19 years, 11 months, 29 days</v>
          </cell>
          <cell r="J946" t="str">
            <v>Renewables</v>
          </cell>
          <cell r="K946" t="str">
            <v>Solar (Rooftop)</v>
          </cell>
          <cell r="L946" t="str">
            <v>Solar</v>
          </cell>
          <cell r="M946" t="str">
            <v>Dx</v>
          </cell>
          <cell r="N946" t="str">
            <v>Wallaceburg</v>
          </cell>
          <cell r="O946" t="str">
            <v>Chatham-Kent</v>
          </cell>
          <cell r="P946" t="str">
            <v>West</v>
          </cell>
        </row>
        <row r="947">
          <cell r="C947" t="str">
            <v>Athena Automation</v>
          </cell>
          <cell r="D947" t="str">
            <v>2835085 Ontario Ltd</v>
          </cell>
          <cell r="E947" t="str">
            <v>CO</v>
          </cell>
          <cell r="F947">
            <v>40663</v>
          </cell>
          <cell r="G947">
            <v>40634</v>
          </cell>
          <cell r="H947">
            <v>47938</v>
          </cell>
          <cell r="I947" t="str">
            <v>19 years, 11 months, 30 days</v>
          </cell>
          <cell r="J947" t="str">
            <v>Renewables</v>
          </cell>
          <cell r="K947" t="str">
            <v>Solar (Rooftop)</v>
          </cell>
          <cell r="L947" t="str">
            <v>Solar</v>
          </cell>
          <cell r="M947" t="str">
            <v>Dx</v>
          </cell>
          <cell r="N947" t="str">
            <v>Woodbridge</v>
          </cell>
          <cell r="O947" t="str">
            <v>York</v>
          </cell>
          <cell r="P947" t="str">
            <v>Toronto</v>
          </cell>
        </row>
        <row r="948">
          <cell r="C948" t="str">
            <v>L01-8800 Huntington</v>
          </cell>
          <cell r="D948" t="str">
            <v>Longo Power Generation Inc.</v>
          </cell>
          <cell r="E948" t="str">
            <v>CO</v>
          </cell>
          <cell r="F948">
            <v>41029</v>
          </cell>
          <cell r="G948">
            <v>40672</v>
          </cell>
          <cell r="H948">
            <v>47976</v>
          </cell>
          <cell r="I948" t="str">
            <v>19 years, 11 months, 29 days</v>
          </cell>
          <cell r="J948" t="str">
            <v>Renewables</v>
          </cell>
          <cell r="K948" t="str">
            <v>Solar (Rooftop)</v>
          </cell>
          <cell r="L948" t="str">
            <v>Solar</v>
          </cell>
          <cell r="M948" t="str">
            <v>Dx</v>
          </cell>
          <cell r="N948" t="str">
            <v>Kleinburg</v>
          </cell>
          <cell r="O948" t="str">
            <v>York</v>
          </cell>
          <cell r="P948" t="str">
            <v>Toronto</v>
          </cell>
        </row>
        <row r="949">
          <cell r="C949" t="str">
            <v>SNOWY RIDGE WIND PARK</v>
          </cell>
          <cell r="D949" t="str">
            <v>SLGR Wind LP</v>
          </cell>
          <cell r="E949" t="str">
            <v>CO</v>
          </cell>
          <cell r="F949">
            <v>41512</v>
          </cell>
          <cell r="G949">
            <v>42648</v>
          </cell>
          <cell r="H949">
            <v>49952</v>
          </cell>
          <cell r="I949" t="str">
            <v>19 years, 11 months, 29 days</v>
          </cell>
          <cell r="J949" t="str">
            <v>Renewables</v>
          </cell>
          <cell r="K949" t="str">
            <v>Wind (On-Shore)</v>
          </cell>
          <cell r="L949" t="str">
            <v>Wind</v>
          </cell>
          <cell r="M949" t="str">
            <v>Dx</v>
          </cell>
          <cell r="N949" t="str">
            <v>Bethany</v>
          </cell>
          <cell r="O949" t="str">
            <v>Kawartha Lakes</v>
          </cell>
          <cell r="P949" t="str">
            <v>East</v>
          </cell>
        </row>
        <row r="950">
          <cell r="C950" t="str">
            <v>(C72) Real Canadian Superstore Main Street East</v>
          </cell>
          <cell r="D950" t="str">
            <v>Firelight Solar LP</v>
          </cell>
          <cell r="E950" t="str">
            <v>CO</v>
          </cell>
          <cell r="F950">
            <v>41843</v>
          </cell>
          <cell r="G950">
            <v>41365</v>
          </cell>
          <cell r="H950">
            <v>48669</v>
          </cell>
          <cell r="I950" t="str">
            <v>19 years, 11 months, 30 days</v>
          </cell>
          <cell r="J950" t="str">
            <v>Renewables</v>
          </cell>
          <cell r="K950" t="str">
            <v>Solar (Rooftop)</v>
          </cell>
          <cell r="L950" t="str">
            <v>Solar</v>
          </cell>
          <cell r="M950" t="str">
            <v>Dx</v>
          </cell>
          <cell r="N950" t="str">
            <v>Milton</v>
          </cell>
          <cell r="O950" t="str">
            <v>Halton</v>
          </cell>
          <cell r="P950" t="str">
            <v>Southwest</v>
          </cell>
        </row>
        <row r="951">
          <cell r="C951" t="str">
            <v>Endura Energy 6606 Rainham Road</v>
          </cell>
          <cell r="D951" t="str">
            <v>Betty Vanderheide &amp; William John Vanderheide</v>
          </cell>
          <cell r="E951" t="str">
            <v>CO</v>
          </cell>
          <cell r="F951">
            <v>41029</v>
          </cell>
          <cell r="G951">
            <v>40942</v>
          </cell>
          <cell r="H951">
            <v>48246</v>
          </cell>
          <cell r="I951" t="str">
            <v>19 years, 11 months, 30 days</v>
          </cell>
          <cell r="J951" t="str">
            <v>Renewables</v>
          </cell>
          <cell r="K951" t="str">
            <v>Solar (Rooftop)</v>
          </cell>
          <cell r="L951" t="str">
            <v>Solar</v>
          </cell>
          <cell r="M951" t="str">
            <v>Dx</v>
          </cell>
          <cell r="N951" t="str">
            <v>Dunnville</v>
          </cell>
          <cell r="O951" t="str">
            <v>Haldimand</v>
          </cell>
          <cell r="P951" t="str">
            <v>Niagara</v>
          </cell>
        </row>
        <row r="952">
          <cell r="C952" t="str">
            <v>MMFS002PV</v>
          </cell>
          <cell r="D952" t="str">
            <v>1058347 Ontario Limited</v>
          </cell>
          <cell r="E952" t="str">
            <v>CO</v>
          </cell>
          <cell r="F952">
            <v>41029</v>
          </cell>
          <cell r="G952">
            <v>40795</v>
          </cell>
          <cell r="H952">
            <v>48099</v>
          </cell>
          <cell r="I952" t="str">
            <v>19 years, 11 months, 30 days</v>
          </cell>
          <cell r="J952" t="str">
            <v>Renewables</v>
          </cell>
          <cell r="K952" t="str">
            <v>Solar (Rooftop)</v>
          </cell>
          <cell r="L952" t="str">
            <v>Solar</v>
          </cell>
          <cell r="M952" t="str">
            <v>Dx</v>
          </cell>
          <cell r="N952" t="str">
            <v>Tillsonburg</v>
          </cell>
          <cell r="O952" t="str">
            <v>Oxford</v>
          </cell>
          <cell r="P952" t="str">
            <v>West</v>
          </cell>
        </row>
        <row r="953">
          <cell r="C953" t="str">
            <v>Northland Power Solar Belleville South</v>
          </cell>
          <cell r="D953" t="str">
            <v>Northland Power Solar Belleville South L.P.</v>
          </cell>
          <cell r="E953" t="str">
            <v>CO</v>
          </cell>
          <cell r="F953">
            <v>41325</v>
          </cell>
          <cell r="G953">
            <v>41446</v>
          </cell>
          <cell r="H953">
            <v>48750</v>
          </cell>
          <cell r="I953" t="str">
            <v>19 years, 11 months, 30 days</v>
          </cell>
          <cell r="J953" t="str">
            <v>Renewables</v>
          </cell>
          <cell r="K953" t="str">
            <v>Solar (Ground Mounted)</v>
          </cell>
          <cell r="L953" t="str">
            <v>Solar</v>
          </cell>
          <cell r="M953" t="str">
            <v>Dx</v>
          </cell>
          <cell r="N953" t="str">
            <v>Ameliasburgh</v>
          </cell>
          <cell r="O953" t="str">
            <v>Prince Edward</v>
          </cell>
          <cell r="P953" t="str">
            <v>East</v>
          </cell>
        </row>
        <row r="954">
          <cell r="C954" t="str">
            <v>2 Faywood Blvd.</v>
          </cell>
          <cell r="D954" t="str">
            <v>Toronto Community Housing Corporation</v>
          </cell>
          <cell r="E954" t="str">
            <v>CO</v>
          </cell>
          <cell r="F954">
            <v>41029</v>
          </cell>
          <cell r="G954">
            <v>40941</v>
          </cell>
          <cell r="H954">
            <v>48245</v>
          </cell>
          <cell r="I954" t="str">
            <v>19 years, 11 months, 30 days</v>
          </cell>
          <cell r="J954" t="str">
            <v>Renewables</v>
          </cell>
          <cell r="K954" t="str">
            <v>Solar (Rooftop)</v>
          </cell>
          <cell r="L954" t="str">
            <v>Solar</v>
          </cell>
          <cell r="M954" t="str">
            <v>Dx</v>
          </cell>
          <cell r="N954" t="str">
            <v>Toronto</v>
          </cell>
          <cell r="O954" t="str">
            <v>Toronto</v>
          </cell>
          <cell r="P954" t="str">
            <v>Toronto</v>
          </cell>
        </row>
        <row r="955">
          <cell r="C955" t="str">
            <v>1040 South Service Road</v>
          </cell>
          <cell r="D955" t="str">
            <v>1520866 Ontario Limited</v>
          </cell>
          <cell r="E955" t="str">
            <v>CO</v>
          </cell>
          <cell r="F955">
            <v>41811</v>
          </cell>
          <cell r="G955">
            <v>41443</v>
          </cell>
          <cell r="H955">
            <v>48747</v>
          </cell>
          <cell r="I955" t="str">
            <v>19 years, 11 months, 30 days</v>
          </cell>
          <cell r="J955" t="str">
            <v>Renewables</v>
          </cell>
          <cell r="K955" t="str">
            <v>Solar (Rooftop)</v>
          </cell>
          <cell r="L955" t="str">
            <v>Solar</v>
          </cell>
          <cell r="M955" t="str">
            <v>Dx</v>
          </cell>
          <cell r="N955" t="str">
            <v>Hamilton</v>
          </cell>
          <cell r="O955" t="str">
            <v>Hamilton</v>
          </cell>
          <cell r="P955" t="str">
            <v>Niagara</v>
          </cell>
        </row>
        <row r="956">
          <cell r="C956" t="str">
            <v>PowerStream 2010-118</v>
          </cell>
          <cell r="D956" t="str">
            <v>Alectra Utilities Corporation</v>
          </cell>
          <cell r="E956" t="str">
            <v>CO</v>
          </cell>
          <cell r="F956">
            <v>41826</v>
          </cell>
          <cell r="G956">
            <v>41123</v>
          </cell>
          <cell r="H956">
            <v>48427</v>
          </cell>
          <cell r="I956" t="str">
            <v>19 years, 11 months, 30 days</v>
          </cell>
          <cell r="J956" t="str">
            <v>Renewables</v>
          </cell>
          <cell r="K956" t="str">
            <v>Solar (Rooftop)</v>
          </cell>
          <cell r="L956" t="str">
            <v>Solar</v>
          </cell>
          <cell r="M956" t="str">
            <v>Dx</v>
          </cell>
          <cell r="N956" t="str">
            <v>Markham</v>
          </cell>
          <cell r="O956" t="str">
            <v>York</v>
          </cell>
          <cell r="P956" t="str">
            <v>Toronto</v>
          </cell>
        </row>
        <row r="957">
          <cell r="C957" t="str">
            <v>Folkens # 3</v>
          </cell>
          <cell r="D957" t="str">
            <v>Brightroof Solar Limited Partnership</v>
          </cell>
          <cell r="E957" t="str">
            <v>CO</v>
          </cell>
          <cell r="F957">
            <v>41799</v>
          </cell>
          <cell r="G957">
            <v>41943</v>
          </cell>
          <cell r="H957">
            <v>49247</v>
          </cell>
          <cell r="I957" t="str">
            <v>19 years, 11 months, 29 days</v>
          </cell>
          <cell r="J957" t="str">
            <v>Renewables</v>
          </cell>
          <cell r="K957" t="str">
            <v>Solar (Rooftop)</v>
          </cell>
          <cell r="L957" t="str">
            <v>Solar</v>
          </cell>
          <cell r="M957" t="str">
            <v>Dx</v>
          </cell>
          <cell r="N957" t="str">
            <v>Hamilton</v>
          </cell>
          <cell r="O957" t="str">
            <v>Hamilton</v>
          </cell>
          <cell r="P957" t="str">
            <v>Southwest</v>
          </cell>
        </row>
        <row r="958">
          <cell r="C958" t="str">
            <v>Aria</v>
          </cell>
          <cell r="D958" t="str">
            <v>Concord Aria Partnership</v>
          </cell>
          <cell r="E958" t="str">
            <v>CO</v>
          </cell>
          <cell r="F958">
            <v>42012</v>
          </cell>
          <cell r="G958">
            <v>42291</v>
          </cell>
          <cell r="H958">
            <v>49595</v>
          </cell>
          <cell r="I958" t="str">
            <v>19 years, 11 months, 29 days</v>
          </cell>
          <cell r="J958" t="str">
            <v>Renewables</v>
          </cell>
          <cell r="K958" t="str">
            <v>Solar (Ground Mounted)</v>
          </cell>
          <cell r="L958" t="str">
            <v>Solar</v>
          </cell>
          <cell r="M958" t="str">
            <v>Dx</v>
          </cell>
          <cell r="N958" t="str">
            <v>Elmvale</v>
          </cell>
          <cell r="O958" t="str">
            <v>Simcoe</v>
          </cell>
          <cell r="P958" t="str">
            <v>Essa</v>
          </cell>
        </row>
        <row r="959">
          <cell r="C959" t="str">
            <v>T04-81 Arrow</v>
          </cell>
          <cell r="D959" t="str">
            <v>Alectra Utilities Corporation</v>
          </cell>
          <cell r="E959" t="str">
            <v>CO</v>
          </cell>
          <cell r="F959">
            <v>41724</v>
          </cell>
          <cell r="G959">
            <v>41878</v>
          </cell>
          <cell r="H959">
            <v>49182</v>
          </cell>
          <cell r="I959" t="str">
            <v>19 years, 11 months, 30 days</v>
          </cell>
          <cell r="J959" t="str">
            <v>Renewables</v>
          </cell>
          <cell r="K959" t="str">
            <v>Solar (Rooftop)</v>
          </cell>
          <cell r="L959" t="str">
            <v>Solar</v>
          </cell>
          <cell r="M959" t="str">
            <v>Dx</v>
          </cell>
          <cell r="N959" t="str">
            <v>Toronto</v>
          </cell>
          <cell r="O959" t="str">
            <v>Toronto</v>
          </cell>
          <cell r="P959" t="str">
            <v>Toronto</v>
          </cell>
        </row>
        <row r="960">
          <cell r="C960" t="str">
            <v>O02-1310 Pebble</v>
          </cell>
          <cell r="D960" t="str">
            <v>Taggart Leasing Inc.</v>
          </cell>
          <cell r="E960" t="str">
            <v>CO</v>
          </cell>
          <cell r="F960">
            <v>41827</v>
          </cell>
          <cell r="G960">
            <v>42004</v>
          </cell>
          <cell r="H960">
            <v>49308</v>
          </cell>
          <cell r="I960" t="str">
            <v>19 years, 11 months, 29 days</v>
          </cell>
          <cell r="J960" t="str">
            <v>Renewables</v>
          </cell>
          <cell r="K960" t="str">
            <v>Solar (Rooftop)</v>
          </cell>
          <cell r="L960" t="str">
            <v>Solar</v>
          </cell>
          <cell r="M960" t="str">
            <v>Dx</v>
          </cell>
          <cell r="N960" t="str">
            <v>Ottawa</v>
          </cell>
          <cell r="O960" t="str">
            <v>Ottawa</v>
          </cell>
          <cell r="P960" t="str">
            <v>Ottawa</v>
          </cell>
        </row>
        <row r="961">
          <cell r="C961" t="str">
            <v>DougyJoe's Solar Farm</v>
          </cell>
          <cell r="D961" t="str">
            <v>Douglas L. Yager</v>
          </cell>
          <cell r="E961" t="str">
            <v>CO</v>
          </cell>
          <cell r="F961">
            <v>41532</v>
          </cell>
          <cell r="G961">
            <v>41548</v>
          </cell>
          <cell r="H961">
            <v>48852</v>
          </cell>
          <cell r="I961" t="str">
            <v>19 years, 11 months, 29 days</v>
          </cell>
          <cell r="J961" t="str">
            <v>Renewables</v>
          </cell>
          <cell r="K961" t="str">
            <v>Solar (Rooftop)</v>
          </cell>
          <cell r="L961" t="str">
            <v>Solar</v>
          </cell>
          <cell r="M961" t="str">
            <v>Dx</v>
          </cell>
          <cell r="N961" t="str">
            <v>Selkirk</v>
          </cell>
          <cell r="O961" t="str">
            <v>Haldimand</v>
          </cell>
          <cell r="P961" t="str">
            <v>Southwest</v>
          </cell>
        </row>
        <row r="962">
          <cell r="C962" t="str">
            <v>SPIRITO</v>
          </cell>
          <cell r="D962" t="str">
            <v>Alectra Utilities Corporation</v>
          </cell>
          <cell r="E962" t="str">
            <v>CO</v>
          </cell>
          <cell r="F962">
            <v>41818</v>
          </cell>
          <cell r="G962">
            <v>41233</v>
          </cell>
          <cell r="H962">
            <v>48537</v>
          </cell>
          <cell r="I962" t="str">
            <v>19 years, 11 months, 30 days</v>
          </cell>
          <cell r="J962" t="str">
            <v>Renewables</v>
          </cell>
          <cell r="K962" t="str">
            <v>Solar (Rooftop)</v>
          </cell>
          <cell r="L962" t="str">
            <v>Solar</v>
          </cell>
          <cell r="M962" t="str">
            <v>Dx</v>
          </cell>
          <cell r="N962" t="str">
            <v>Mississauga</v>
          </cell>
          <cell r="O962" t="str">
            <v>Peel</v>
          </cell>
          <cell r="P962" t="str">
            <v>Toronto</v>
          </cell>
        </row>
        <row r="963">
          <cell r="C963" t="str">
            <v>L01-1225 Fairview</v>
          </cell>
          <cell r="D963" t="str">
            <v>Longo Power Generation Inc.</v>
          </cell>
          <cell r="E963" t="str">
            <v>CO</v>
          </cell>
          <cell r="F963">
            <v>41826</v>
          </cell>
          <cell r="G963">
            <v>41803</v>
          </cell>
          <cell r="H963">
            <v>49107</v>
          </cell>
          <cell r="I963" t="str">
            <v>19 years, 11 months, 30 days</v>
          </cell>
          <cell r="J963" t="str">
            <v>Renewables</v>
          </cell>
          <cell r="K963" t="str">
            <v>Solar (Rooftop)</v>
          </cell>
          <cell r="L963" t="str">
            <v>Solar</v>
          </cell>
          <cell r="M963" t="str">
            <v>Dx</v>
          </cell>
          <cell r="N963" t="str">
            <v>Burlington</v>
          </cell>
          <cell r="O963" t="str">
            <v>Halton</v>
          </cell>
          <cell r="P963" t="str">
            <v>Southwest</v>
          </cell>
        </row>
        <row r="964">
          <cell r="C964" t="str">
            <v>Northern Sky Solar Farm</v>
          </cell>
          <cell r="D964" t="str">
            <v>Solar Sky Farms Inc.</v>
          </cell>
          <cell r="E964" t="str">
            <v>CO</v>
          </cell>
          <cell r="F964">
            <v>41029</v>
          </cell>
          <cell r="G964">
            <v>40837</v>
          </cell>
          <cell r="H964">
            <v>48141</v>
          </cell>
          <cell r="I964" t="str">
            <v>19 years, 11 months, 29 days</v>
          </cell>
          <cell r="J964" t="str">
            <v>Renewables</v>
          </cell>
          <cell r="K964" t="str">
            <v>Solar (Rooftop)</v>
          </cell>
          <cell r="L964" t="str">
            <v>Solar</v>
          </cell>
          <cell r="M964" t="str">
            <v>Dx</v>
          </cell>
          <cell r="N964" t="str">
            <v>Palmerston</v>
          </cell>
          <cell r="O964" t="str">
            <v>Wellington</v>
          </cell>
          <cell r="P964" t="str">
            <v>Southwest</v>
          </cell>
        </row>
        <row r="965">
          <cell r="C965" t="str">
            <v>Heritage Green</v>
          </cell>
          <cell r="D965" t="str">
            <v>Heritage Green Seniors Centre</v>
          </cell>
          <cell r="E965" t="str">
            <v>CO</v>
          </cell>
          <cell r="F965">
            <v>41841</v>
          </cell>
          <cell r="G965">
            <v>42023</v>
          </cell>
          <cell r="H965">
            <v>49145</v>
          </cell>
          <cell r="I965" t="str">
            <v>19 years, 6 months, 1 days</v>
          </cell>
          <cell r="J965" t="str">
            <v>Renewables</v>
          </cell>
          <cell r="K965" t="str">
            <v>Solar (Rooftop)</v>
          </cell>
          <cell r="L965" t="str">
            <v>Solar</v>
          </cell>
          <cell r="M965" t="str">
            <v>Dx</v>
          </cell>
          <cell r="N965" t="str">
            <v>Hamilton</v>
          </cell>
          <cell r="O965" t="str">
            <v>Hamilton</v>
          </cell>
          <cell r="P965" t="str">
            <v>Southwest</v>
          </cell>
        </row>
        <row r="966">
          <cell r="C966" t="str">
            <v>GLOBAL SOLAR</v>
          </cell>
          <cell r="D966" t="str">
            <v>London Hydro Inc.</v>
          </cell>
          <cell r="E966" t="str">
            <v>CO</v>
          </cell>
          <cell r="F966">
            <v>41841</v>
          </cell>
          <cell r="G966">
            <v>41214</v>
          </cell>
          <cell r="H966">
            <v>48518</v>
          </cell>
          <cell r="I966" t="str">
            <v>19 years, 11 months, 30 days</v>
          </cell>
          <cell r="J966" t="str">
            <v>Renewables</v>
          </cell>
          <cell r="K966" t="str">
            <v>Solar (Rooftop)</v>
          </cell>
          <cell r="L966" t="str">
            <v>Solar</v>
          </cell>
          <cell r="M966" t="str">
            <v>Dx</v>
          </cell>
          <cell r="N966" t="str">
            <v>London</v>
          </cell>
          <cell r="O966" t="str">
            <v>Middlesex</v>
          </cell>
          <cell r="P966" t="str">
            <v>West</v>
          </cell>
        </row>
        <row r="967">
          <cell r="C967" t="str">
            <v>O02-6400 Jeanne D'Arc</v>
          </cell>
          <cell r="D967" t="str">
            <v>PSI Solar Finance 1 Limited Partnership</v>
          </cell>
          <cell r="E967" t="str">
            <v>CO</v>
          </cell>
          <cell r="F967">
            <v>41832</v>
          </cell>
          <cell r="G967">
            <v>41578</v>
          </cell>
          <cell r="H967">
            <v>48882</v>
          </cell>
          <cell r="I967" t="str">
            <v>19 years, 11 months, 29 days</v>
          </cell>
          <cell r="J967" t="str">
            <v>Renewables</v>
          </cell>
          <cell r="K967" t="str">
            <v>Solar (Rooftop)</v>
          </cell>
          <cell r="L967" t="str">
            <v>Solar</v>
          </cell>
          <cell r="M967" t="str">
            <v>Dx</v>
          </cell>
          <cell r="N967" t="str">
            <v>Ottawa</v>
          </cell>
          <cell r="O967" t="str">
            <v>Ottawa</v>
          </cell>
          <cell r="P967" t="str">
            <v>Ottawa</v>
          </cell>
        </row>
        <row r="968">
          <cell r="C968" t="str">
            <v>9Melanie</v>
          </cell>
          <cell r="D968" t="str">
            <v>1396496 Ontario Ltd.</v>
          </cell>
          <cell r="E968" t="str">
            <v>CO</v>
          </cell>
          <cell r="F968">
            <v>41834</v>
          </cell>
          <cell r="G968">
            <v>41722</v>
          </cell>
          <cell r="H968">
            <v>49026</v>
          </cell>
          <cell r="I968" t="str">
            <v>19 years, 11 months, 27 days</v>
          </cell>
          <cell r="J968" t="str">
            <v>Renewables</v>
          </cell>
          <cell r="K968" t="str">
            <v>Solar (Rooftop)</v>
          </cell>
          <cell r="L968" t="str">
            <v>Solar</v>
          </cell>
          <cell r="M968" t="str">
            <v>Dx</v>
          </cell>
          <cell r="N968" t="str">
            <v>Brampton</v>
          </cell>
          <cell r="O968" t="str">
            <v>Peel</v>
          </cell>
          <cell r="P968" t="str">
            <v>Toronto</v>
          </cell>
        </row>
        <row r="969">
          <cell r="C969" t="str">
            <v>85 Lappan's Lane Utilities Kingston Garage</v>
          </cell>
          <cell r="D969" t="str">
            <v>The Corporation of the City of Kingston</v>
          </cell>
          <cell r="E969" t="str">
            <v>CO</v>
          </cell>
          <cell r="F969">
            <v>41832</v>
          </cell>
          <cell r="G969">
            <v>41317</v>
          </cell>
          <cell r="H969">
            <v>48621</v>
          </cell>
          <cell r="I969" t="str">
            <v>19 years, 11 months, 30 days</v>
          </cell>
          <cell r="J969" t="str">
            <v>Renewables</v>
          </cell>
          <cell r="K969" t="str">
            <v>Solar (Rooftop)</v>
          </cell>
          <cell r="L969" t="str">
            <v>Solar</v>
          </cell>
          <cell r="M969" t="str">
            <v>Dx</v>
          </cell>
          <cell r="N969" t="str">
            <v>Kingston</v>
          </cell>
          <cell r="O969" t="str">
            <v>Frontenac</v>
          </cell>
          <cell r="P969" t="str">
            <v>East</v>
          </cell>
        </row>
        <row r="970">
          <cell r="C970" t="str">
            <v>(C40) Zehrs Geneva Street</v>
          </cell>
          <cell r="D970" t="str">
            <v>Firelight Solar LP</v>
          </cell>
          <cell r="E970" t="str">
            <v>CO</v>
          </cell>
          <cell r="F970">
            <v>41720</v>
          </cell>
          <cell r="G970">
            <v>41794</v>
          </cell>
          <cell r="H970">
            <v>49098</v>
          </cell>
          <cell r="I970" t="str">
            <v>19 years, 11 months, 30 days</v>
          </cell>
          <cell r="J970" t="str">
            <v>Renewables</v>
          </cell>
          <cell r="K970" t="str">
            <v>Solar (Rooftop)</v>
          </cell>
          <cell r="L970" t="str">
            <v>Solar</v>
          </cell>
          <cell r="M970" t="str">
            <v>Dx</v>
          </cell>
          <cell r="N970" t="str">
            <v>St. Catharines</v>
          </cell>
          <cell r="O970" t="str">
            <v>Niagara</v>
          </cell>
          <cell r="P970" t="str">
            <v>Niagara</v>
          </cell>
        </row>
        <row r="971">
          <cell r="C971" t="str">
            <v>420 Thompson</v>
          </cell>
          <cell r="D971" t="str">
            <v>MCC-RESENDES LANDS INC.</v>
          </cell>
          <cell r="E971" t="str">
            <v>CO</v>
          </cell>
          <cell r="F971">
            <v>40663</v>
          </cell>
          <cell r="G971">
            <v>40674</v>
          </cell>
          <cell r="H971">
            <v>47967</v>
          </cell>
          <cell r="I971" t="str">
            <v>19 years, 11 months, 18 days</v>
          </cell>
          <cell r="J971" t="str">
            <v>Renewables</v>
          </cell>
          <cell r="K971" t="str">
            <v>Solar (Rooftop)</v>
          </cell>
          <cell r="L971" t="str">
            <v>Solar</v>
          </cell>
          <cell r="M971" t="str">
            <v>Dx</v>
          </cell>
          <cell r="N971" t="str">
            <v>Cambridge</v>
          </cell>
          <cell r="O971" t="str">
            <v>Waterloo</v>
          </cell>
          <cell r="P971" t="str">
            <v>Southwest</v>
          </cell>
        </row>
        <row r="972">
          <cell r="C972" t="str">
            <v>8100 Warden 250kW PV</v>
          </cell>
          <cell r="D972" t="str">
            <v>The Corporation of The Town of Markham</v>
          </cell>
          <cell r="E972" t="str">
            <v>CO</v>
          </cell>
          <cell r="F972">
            <v>40663</v>
          </cell>
          <cell r="G972">
            <v>40535</v>
          </cell>
          <cell r="H972">
            <v>47839</v>
          </cell>
          <cell r="I972" t="str">
            <v>19 years, 11 months, 29 days</v>
          </cell>
          <cell r="J972" t="str">
            <v>Renewables</v>
          </cell>
          <cell r="K972" t="str">
            <v>Solar (Rooftop)</v>
          </cell>
          <cell r="L972" t="str">
            <v>Solar</v>
          </cell>
          <cell r="M972" t="str">
            <v>Dx</v>
          </cell>
          <cell r="N972" t="str">
            <v>Markham</v>
          </cell>
          <cell r="O972" t="str">
            <v>York</v>
          </cell>
          <cell r="P972" t="str">
            <v>Toronto</v>
          </cell>
        </row>
        <row r="973">
          <cell r="C973" t="str">
            <v>H06-17850 YONGE</v>
          </cell>
          <cell r="D973" t="str">
            <v>PSI Solar Finance 1 Limited Partnership</v>
          </cell>
          <cell r="E973" t="str">
            <v>CO</v>
          </cell>
          <cell r="F973">
            <v>41849</v>
          </cell>
          <cell r="G973">
            <v>41612</v>
          </cell>
          <cell r="H973">
            <v>48916</v>
          </cell>
          <cell r="I973" t="str">
            <v>19 years, 11 months, 29 days</v>
          </cell>
          <cell r="J973" t="str">
            <v>Renewables</v>
          </cell>
          <cell r="K973" t="str">
            <v>Solar (Rooftop)</v>
          </cell>
          <cell r="L973" t="str">
            <v>Solar</v>
          </cell>
          <cell r="M973" t="str">
            <v>Dx</v>
          </cell>
          <cell r="N973" t="str">
            <v>Newmarket</v>
          </cell>
          <cell r="O973" t="str">
            <v>York</v>
          </cell>
          <cell r="P973" t="str">
            <v>Essa</v>
          </cell>
        </row>
        <row r="974">
          <cell r="C974" t="str">
            <v>Endura Energy - 450 Dobbie</v>
          </cell>
          <cell r="D974" t="str">
            <v>Highroad Estates Inc.</v>
          </cell>
          <cell r="E974" t="str">
            <v>CO</v>
          </cell>
          <cell r="F974">
            <v>41799</v>
          </cell>
          <cell r="G974">
            <v>41869</v>
          </cell>
          <cell r="H974">
            <v>49173</v>
          </cell>
          <cell r="I974" t="str">
            <v>19 years, 11 months, 30 days</v>
          </cell>
          <cell r="J974" t="str">
            <v>Renewables</v>
          </cell>
          <cell r="K974" t="str">
            <v>Solar (Rooftop)</v>
          </cell>
          <cell r="L974" t="str">
            <v>Solar</v>
          </cell>
          <cell r="M974" t="str">
            <v>Dx</v>
          </cell>
          <cell r="N974" t="str">
            <v>Cambridge</v>
          </cell>
          <cell r="O974" t="str">
            <v>Waterloo</v>
          </cell>
          <cell r="P974" t="str">
            <v>Southwest</v>
          </cell>
        </row>
        <row r="975">
          <cell r="C975" t="str">
            <v>Coventry Self Storage Corporation</v>
          </cell>
          <cell r="D975" t="str">
            <v>Dymon Storage (Ottawa) Corporation</v>
          </cell>
          <cell r="E975" t="str">
            <v>CO</v>
          </cell>
          <cell r="F975">
            <v>41822</v>
          </cell>
          <cell r="G975">
            <v>41788</v>
          </cell>
          <cell r="H975">
            <v>49092</v>
          </cell>
          <cell r="I975" t="str">
            <v>19 years, 11 months, 29 days</v>
          </cell>
          <cell r="J975" t="str">
            <v>Renewables</v>
          </cell>
          <cell r="K975" t="str">
            <v>Solar (Rooftop)</v>
          </cell>
          <cell r="L975" t="str">
            <v>Solar</v>
          </cell>
          <cell r="M975" t="str">
            <v>Dx</v>
          </cell>
          <cell r="N975" t="str">
            <v>Ottawa</v>
          </cell>
          <cell r="O975" t="str">
            <v>Ottawa</v>
          </cell>
          <cell r="P975" t="str">
            <v>Ottawa</v>
          </cell>
        </row>
        <row r="976">
          <cell r="C976" t="str">
            <v>O02-679 Deancourt</v>
          </cell>
          <cell r="D976" t="str">
            <v>PSI Solar Finance 1 Limited Partnership</v>
          </cell>
          <cell r="E976" t="str">
            <v>CO</v>
          </cell>
          <cell r="F976">
            <v>41834</v>
          </cell>
          <cell r="G976">
            <v>41857</v>
          </cell>
          <cell r="H976">
            <v>49161</v>
          </cell>
          <cell r="I976" t="str">
            <v>19 years, 11 months, 30 days</v>
          </cell>
          <cell r="J976" t="str">
            <v>Renewables</v>
          </cell>
          <cell r="K976" t="str">
            <v>Solar (Rooftop)</v>
          </cell>
          <cell r="L976" t="str">
            <v>Solar</v>
          </cell>
          <cell r="M976" t="str">
            <v>Dx</v>
          </cell>
          <cell r="N976" t="str">
            <v>Ottawa</v>
          </cell>
          <cell r="O976" t="str">
            <v>Ottawa</v>
          </cell>
          <cell r="P976" t="str">
            <v>Ottawa</v>
          </cell>
        </row>
        <row r="977">
          <cell r="C977" t="str">
            <v>G04-180 Constellation</v>
          </cell>
          <cell r="D977" t="str">
            <v>Mann (002013-921 Barton) Limited Partnership</v>
          </cell>
          <cell r="E977" t="str">
            <v>CO</v>
          </cell>
          <cell r="F977">
            <v>41818</v>
          </cell>
          <cell r="G977">
            <v>41990</v>
          </cell>
          <cell r="H977">
            <v>49294</v>
          </cell>
          <cell r="I977" t="str">
            <v>19 years, 11 months, 29 days</v>
          </cell>
          <cell r="J977" t="str">
            <v>Renewables</v>
          </cell>
          <cell r="K977" t="str">
            <v>Solar (Rooftop)</v>
          </cell>
          <cell r="L977" t="str">
            <v>Solar</v>
          </cell>
          <cell r="M977" t="str">
            <v>Dx</v>
          </cell>
          <cell r="N977" t="str">
            <v>Hamilton</v>
          </cell>
          <cell r="O977" t="str">
            <v>Hamilton</v>
          </cell>
          <cell r="P977" t="str">
            <v>Niagara</v>
          </cell>
        </row>
        <row r="978">
          <cell r="C978" t="str">
            <v>P05-896 Meyerside</v>
          </cell>
          <cell r="D978" t="str">
            <v>Sky Solar (Canada) FIT 1 Limited Partnership</v>
          </cell>
          <cell r="E978" t="str">
            <v>CO</v>
          </cell>
          <cell r="F978">
            <v>41849</v>
          </cell>
          <cell r="G978">
            <v>41969</v>
          </cell>
          <cell r="H978">
            <v>49273</v>
          </cell>
          <cell r="I978" t="str">
            <v>19 years, 11 months, 30 days</v>
          </cell>
          <cell r="J978" t="str">
            <v>Renewables</v>
          </cell>
          <cell r="K978" t="str">
            <v>Solar (Rooftop)</v>
          </cell>
          <cell r="L978" t="str">
            <v>Solar</v>
          </cell>
          <cell r="M978" t="str">
            <v>Dx</v>
          </cell>
          <cell r="N978" t="str">
            <v>Mississauga</v>
          </cell>
          <cell r="O978" t="str">
            <v>Peel</v>
          </cell>
          <cell r="P978" t="str">
            <v>Toronto</v>
          </cell>
        </row>
        <row r="979">
          <cell r="C979" t="str">
            <v>C10-256 Aviva Park</v>
          </cell>
          <cell r="D979" t="str">
            <v>Skyline Clean Energy Holdings Inc.</v>
          </cell>
          <cell r="E979" t="str">
            <v>CO</v>
          </cell>
          <cell r="F979">
            <v>41716</v>
          </cell>
          <cell r="G979">
            <v>41894</v>
          </cell>
          <cell r="H979">
            <v>49198</v>
          </cell>
          <cell r="I979" t="str">
            <v>19 years, 11 months, 30 days</v>
          </cell>
          <cell r="J979" t="str">
            <v>Renewables</v>
          </cell>
          <cell r="K979" t="str">
            <v>Solar (Rooftop)</v>
          </cell>
          <cell r="L979" t="str">
            <v>Solar</v>
          </cell>
          <cell r="M979" t="str">
            <v>Dx</v>
          </cell>
          <cell r="N979" t="str">
            <v>Woodbridge</v>
          </cell>
          <cell r="O979" t="str">
            <v>York</v>
          </cell>
          <cell r="P979" t="str">
            <v>Toronto</v>
          </cell>
        </row>
        <row r="980">
          <cell r="C980" t="str">
            <v>Menkes- 275 Britannia</v>
          </cell>
          <cell r="D980" t="str">
            <v>Menkes Properties Inc.</v>
          </cell>
          <cell r="E980" t="str">
            <v>CO</v>
          </cell>
          <cell r="F980">
            <v>41804</v>
          </cell>
          <cell r="G980">
            <v>41500</v>
          </cell>
          <cell r="H980">
            <v>48804</v>
          </cell>
          <cell r="I980" t="str">
            <v>19 years, 11 months, 30 days</v>
          </cell>
          <cell r="J980" t="str">
            <v>Renewables</v>
          </cell>
          <cell r="K980" t="str">
            <v>Solar (Rooftop)</v>
          </cell>
          <cell r="L980" t="str">
            <v>Solar</v>
          </cell>
          <cell r="M980" t="str">
            <v>Dx</v>
          </cell>
          <cell r="N980" t="str">
            <v>Mississauga</v>
          </cell>
          <cell r="O980" t="str">
            <v>Peel</v>
          </cell>
          <cell r="P980" t="str">
            <v>Toronto</v>
          </cell>
        </row>
        <row r="981">
          <cell r="C981" t="str">
            <v>11160 Yonge Street</v>
          </cell>
          <cell r="D981" t="str">
            <v>TerraForm MP Solar, LLC</v>
          </cell>
          <cell r="E981" t="str">
            <v>CO</v>
          </cell>
          <cell r="F981">
            <v>41820</v>
          </cell>
          <cell r="G981">
            <v>41709</v>
          </cell>
          <cell r="H981">
            <v>49013</v>
          </cell>
          <cell r="I981" t="str">
            <v>19 years, 11 months, 27 days</v>
          </cell>
          <cell r="J981" t="str">
            <v>Renewables</v>
          </cell>
          <cell r="K981" t="str">
            <v>Solar (Rooftop)</v>
          </cell>
          <cell r="L981" t="str">
            <v>Solar</v>
          </cell>
          <cell r="M981" t="str">
            <v>Dx</v>
          </cell>
          <cell r="N981" t="str">
            <v>Richmond Hill</v>
          </cell>
          <cell r="O981" t="str">
            <v>York</v>
          </cell>
          <cell r="P981" t="str">
            <v>Toronto</v>
          </cell>
        </row>
        <row r="982">
          <cell r="C982" t="str">
            <v>(C46) Zehrs Great Food Manning Road</v>
          </cell>
          <cell r="D982" t="str">
            <v>Firelight Solar LP</v>
          </cell>
          <cell r="E982" t="str">
            <v>CO</v>
          </cell>
          <cell r="F982">
            <v>41721</v>
          </cell>
          <cell r="G982">
            <v>41537</v>
          </cell>
          <cell r="H982">
            <v>48841</v>
          </cell>
          <cell r="I982" t="str">
            <v>19 years, 11 months, 30 days</v>
          </cell>
          <cell r="J982" t="str">
            <v>Renewables</v>
          </cell>
          <cell r="K982" t="str">
            <v>Solar (Rooftop)</v>
          </cell>
          <cell r="L982" t="str">
            <v>Solar</v>
          </cell>
          <cell r="M982" t="str">
            <v>Dx</v>
          </cell>
          <cell r="N982" t="str">
            <v>Windsor</v>
          </cell>
          <cell r="O982" t="str">
            <v>Essex</v>
          </cell>
          <cell r="P982" t="str">
            <v>West</v>
          </cell>
        </row>
        <row r="983">
          <cell r="C983" t="str">
            <v>C13-1501 Innes</v>
          </cell>
          <cell r="D983" t="str">
            <v>PSI Solar Finance 1 Limited Partnership</v>
          </cell>
          <cell r="E983" t="str">
            <v>CO</v>
          </cell>
          <cell r="F983">
            <v>41799</v>
          </cell>
          <cell r="G983">
            <v>41969</v>
          </cell>
          <cell r="H983">
            <v>49273</v>
          </cell>
          <cell r="I983" t="str">
            <v>19 years, 11 months, 30 days</v>
          </cell>
          <cell r="J983" t="str">
            <v>Renewables</v>
          </cell>
          <cell r="K983" t="str">
            <v>Solar (Rooftop)</v>
          </cell>
          <cell r="L983" t="str">
            <v>Solar</v>
          </cell>
          <cell r="M983" t="str">
            <v>Dx</v>
          </cell>
          <cell r="N983" t="str">
            <v>Ottawa</v>
          </cell>
          <cell r="O983" t="str">
            <v>Ottawa</v>
          </cell>
          <cell r="P983" t="str">
            <v>Ottawa</v>
          </cell>
        </row>
        <row r="984">
          <cell r="C984" t="str">
            <v>Merani Solar I</v>
          </cell>
          <cell r="D984" t="str">
            <v>Ontario Solar Provider Inc.</v>
          </cell>
          <cell r="E984" t="str">
            <v>CO</v>
          </cell>
          <cell r="F984">
            <v>41792</v>
          </cell>
          <cell r="G984">
            <v>41436</v>
          </cell>
          <cell r="H984">
            <v>48740</v>
          </cell>
          <cell r="I984" t="str">
            <v>19 years, 11 months, 30 days</v>
          </cell>
          <cell r="J984" t="str">
            <v>Renewables</v>
          </cell>
          <cell r="K984" t="str">
            <v>Solar (Rooftop)</v>
          </cell>
          <cell r="L984" t="str">
            <v>Solar</v>
          </cell>
          <cell r="M984" t="str">
            <v>Dx</v>
          </cell>
          <cell r="N984" t="str">
            <v>St. Catharines</v>
          </cell>
          <cell r="O984" t="str">
            <v>Niagara</v>
          </cell>
          <cell r="P984" t="str">
            <v>Niagara</v>
          </cell>
        </row>
        <row r="985">
          <cell r="C985" t="str">
            <v>4241 Victoria Av</v>
          </cell>
          <cell r="D985" t="str">
            <v>1000799684 Ontario Inc.</v>
          </cell>
          <cell r="E985" t="str">
            <v>CO</v>
          </cell>
          <cell r="F985">
            <v>41818</v>
          </cell>
          <cell r="G985">
            <v>41290</v>
          </cell>
          <cell r="H985">
            <v>48594</v>
          </cell>
          <cell r="I985" t="str">
            <v>19 years, 11 months, 30 days</v>
          </cell>
          <cell r="J985" t="str">
            <v>Renewables</v>
          </cell>
          <cell r="K985" t="str">
            <v>Solar (Rooftop)</v>
          </cell>
          <cell r="L985" t="str">
            <v>Solar</v>
          </cell>
          <cell r="M985" t="str">
            <v>Dx</v>
          </cell>
          <cell r="N985" t="str">
            <v>Lincoln</v>
          </cell>
          <cell r="O985" t="str">
            <v>Niagara</v>
          </cell>
          <cell r="P985" t="str">
            <v>Niagara</v>
          </cell>
        </row>
        <row r="986">
          <cell r="C986" t="str">
            <v>Active Mould &amp; Design Limited</v>
          </cell>
          <cell r="D986" t="str">
            <v>Alectra Utilities Corporation</v>
          </cell>
          <cell r="E986" t="str">
            <v>CO</v>
          </cell>
          <cell r="F986">
            <v>41841</v>
          </cell>
          <cell r="G986">
            <v>41694</v>
          </cell>
          <cell r="H986">
            <v>48998</v>
          </cell>
          <cell r="I986" t="str">
            <v>19 years, 11 months, 30 days</v>
          </cell>
          <cell r="J986" t="str">
            <v>Renewables</v>
          </cell>
          <cell r="K986" t="str">
            <v>Solar (Rooftop)</v>
          </cell>
          <cell r="L986" t="str">
            <v>Solar</v>
          </cell>
          <cell r="M986" t="str">
            <v>Dx</v>
          </cell>
          <cell r="N986" t="str">
            <v>Oldcastle</v>
          </cell>
          <cell r="O986" t="str">
            <v>Essex</v>
          </cell>
          <cell r="P986" t="str">
            <v>West</v>
          </cell>
        </row>
        <row r="987">
          <cell r="C987" t="str">
            <v>Stone Mills Roads Facility</v>
          </cell>
          <cell r="D987" t="str">
            <v>The Corporation of the Township of Stone Mills</v>
          </cell>
          <cell r="E987" t="str">
            <v>CO</v>
          </cell>
          <cell r="F987">
            <v>41029</v>
          </cell>
          <cell r="G987">
            <v>40736</v>
          </cell>
          <cell r="H987">
            <v>48040</v>
          </cell>
          <cell r="I987" t="str">
            <v>19 years, 11 months, 29 days</v>
          </cell>
          <cell r="J987" t="str">
            <v>Renewables</v>
          </cell>
          <cell r="K987" t="str">
            <v>Solar (Rooftop)</v>
          </cell>
          <cell r="L987" t="str">
            <v>Solar</v>
          </cell>
          <cell r="M987" t="str">
            <v>Dx</v>
          </cell>
          <cell r="N987" t="str">
            <v>Centreville</v>
          </cell>
          <cell r="O987" t="str">
            <v>Lennox and Addington</v>
          </cell>
          <cell r="P987" t="str">
            <v>East</v>
          </cell>
        </row>
        <row r="988">
          <cell r="C988" t="str">
            <v>FIT 1</v>
          </cell>
          <cell r="D988" t="str">
            <v>Robin and Michelle Burgsma</v>
          </cell>
          <cell r="E988" t="str">
            <v>CO</v>
          </cell>
          <cell r="F988">
            <v>41029</v>
          </cell>
          <cell r="G988">
            <v>40687</v>
          </cell>
          <cell r="H988">
            <v>47991</v>
          </cell>
          <cell r="I988" t="str">
            <v>19 years, 11 months, 29 days</v>
          </cell>
          <cell r="J988" t="str">
            <v>Renewables</v>
          </cell>
          <cell r="K988" t="str">
            <v>Solar (Rooftop)</v>
          </cell>
          <cell r="L988" t="str">
            <v>Solar</v>
          </cell>
          <cell r="M988" t="str">
            <v>Dx</v>
          </cell>
          <cell r="N988" t="str">
            <v>Wroxeter</v>
          </cell>
          <cell r="O988" t="str">
            <v>Huron</v>
          </cell>
          <cell r="P988" t="str">
            <v>Southwest</v>
          </cell>
        </row>
        <row r="989">
          <cell r="C989" t="str">
            <v>T04-1020 Wonderland</v>
          </cell>
          <cell r="D989" t="str">
            <v>Alectra Utilities Corporation</v>
          </cell>
          <cell r="E989" t="str">
            <v>CO</v>
          </cell>
          <cell r="F989">
            <v>41727</v>
          </cell>
          <cell r="G989">
            <v>41782</v>
          </cell>
          <cell r="H989">
            <v>49086</v>
          </cell>
          <cell r="I989" t="str">
            <v>19 years, 11 months, 29 days</v>
          </cell>
          <cell r="J989" t="str">
            <v>Renewables</v>
          </cell>
          <cell r="K989" t="str">
            <v>Solar (Rooftop)</v>
          </cell>
          <cell r="L989" t="str">
            <v>Solar</v>
          </cell>
          <cell r="M989" t="str">
            <v>Dx</v>
          </cell>
          <cell r="N989" t="str">
            <v>London</v>
          </cell>
          <cell r="O989" t="str">
            <v>Middlesex</v>
          </cell>
          <cell r="P989" t="str">
            <v>West</v>
          </cell>
        </row>
        <row r="990">
          <cell r="C990" t="str">
            <v>ROW - 34 Manitou Drive</v>
          </cell>
          <cell r="D990" t="str">
            <v>The Regional Municipality of Waterloo</v>
          </cell>
          <cell r="E990" t="str">
            <v>CO</v>
          </cell>
          <cell r="F990">
            <v>41834</v>
          </cell>
          <cell r="G990">
            <v>41509</v>
          </cell>
          <cell r="H990">
            <v>48813</v>
          </cell>
          <cell r="I990" t="str">
            <v>19 years, 11 months, 30 days</v>
          </cell>
          <cell r="J990" t="str">
            <v>Renewables</v>
          </cell>
          <cell r="K990" t="str">
            <v>Solar (Rooftop)</v>
          </cell>
          <cell r="L990" t="str">
            <v>Solar</v>
          </cell>
          <cell r="M990" t="str">
            <v>Dx</v>
          </cell>
          <cell r="N990" t="str">
            <v>Kitchener</v>
          </cell>
          <cell r="O990" t="str">
            <v>Waterloo</v>
          </cell>
          <cell r="P990" t="str">
            <v>Southwest</v>
          </cell>
        </row>
        <row r="991">
          <cell r="C991" t="str">
            <v>Lightning on Line</v>
          </cell>
          <cell r="D991" t="str">
            <v>United Mennonite Educational Institute</v>
          </cell>
          <cell r="E991" t="str">
            <v>CO</v>
          </cell>
          <cell r="F991">
            <v>41841</v>
          </cell>
          <cell r="G991">
            <v>41311</v>
          </cell>
          <cell r="H991">
            <v>48615</v>
          </cell>
          <cell r="I991" t="str">
            <v>19 years, 11 months, 30 days</v>
          </cell>
          <cell r="J991" t="str">
            <v>Renewables</v>
          </cell>
          <cell r="K991" t="str">
            <v>Solar (Rooftop)</v>
          </cell>
          <cell r="L991" t="str">
            <v>Solar</v>
          </cell>
          <cell r="M991" t="str">
            <v>Dx</v>
          </cell>
          <cell r="N991" t="str">
            <v>Leamington</v>
          </cell>
          <cell r="O991" t="str">
            <v>Essex</v>
          </cell>
          <cell r="P991" t="str">
            <v>West</v>
          </cell>
        </row>
        <row r="992">
          <cell r="C992" t="str">
            <v>Saptashva Solar, S.A - FIT - Jobal</v>
          </cell>
          <cell r="D992" t="str">
            <v>DHM Holdings and Financing Ltd.</v>
          </cell>
          <cell r="E992" t="str">
            <v>CO</v>
          </cell>
          <cell r="F992">
            <v>41797</v>
          </cell>
          <cell r="G992">
            <v>41250</v>
          </cell>
          <cell r="H992">
            <v>48554</v>
          </cell>
          <cell r="I992" t="str">
            <v>19 years, 11 months, 29 days</v>
          </cell>
          <cell r="J992" t="str">
            <v>Renewables</v>
          </cell>
          <cell r="K992" t="str">
            <v>Solar (Rooftop)</v>
          </cell>
          <cell r="L992" t="str">
            <v>Solar</v>
          </cell>
          <cell r="M992" t="str">
            <v>Dx</v>
          </cell>
          <cell r="N992" t="str">
            <v>Brampton</v>
          </cell>
          <cell r="O992" t="str">
            <v>Peel</v>
          </cell>
          <cell r="P992" t="str">
            <v>Toronto</v>
          </cell>
        </row>
        <row r="993">
          <cell r="C993" t="str">
            <v>H06-500 LANSDOWNE</v>
          </cell>
          <cell r="D993" t="str">
            <v>PSI Solar Finance 1 Limited Partnership</v>
          </cell>
          <cell r="E993" t="str">
            <v>CO</v>
          </cell>
          <cell r="F993">
            <v>41730</v>
          </cell>
          <cell r="G993">
            <v>41789</v>
          </cell>
          <cell r="H993">
            <v>49093</v>
          </cell>
          <cell r="I993" t="str">
            <v>19 years, 11 months, 29 days</v>
          </cell>
          <cell r="J993" t="str">
            <v>Renewables</v>
          </cell>
          <cell r="K993" t="str">
            <v>Solar (Rooftop)</v>
          </cell>
          <cell r="L993" t="str">
            <v>Solar</v>
          </cell>
          <cell r="M993" t="str">
            <v>Dx</v>
          </cell>
          <cell r="N993" t="str">
            <v>Peterborough</v>
          </cell>
          <cell r="O993" t="str">
            <v>Peterborough</v>
          </cell>
          <cell r="P993" t="str">
            <v>East</v>
          </cell>
        </row>
        <row r="994">
          <cell r="C994" t="str">
            <v>H06-99 CROSS</v>
          </cell>
          <cell r="D994" t="str">
            <v>MOM Solar Limited Partnership</v>
          </cell>
          <cell r="E994" t="str">
            <v>CO</v>
          </cell>
          <cell r="F994">
            <v>41029</v>
          </cell>
          <cell r="G994">
            <v>41183</v>
          </cell>
          <cell r="H994">
            <v>48487</v>
          </cell>
          <cell r="I994" t="str">
            <v>19 years, 11 months, 29 days</v>
          </cell>
          <cell r="J994" t="str">
            <v>Renewables</v>
          </cell>
          <cell r="K994" t="str">
            <v>Solar (Rooftop)</v>
          </cell>
          <cell r="L994" t="str">
            <v>Solar</v>
          </cell>
          <cell r="M994" t="str">
            <v>Dx</v>
          </cell>
          <cell r="N994" t="str">
            <v>Oakville</v>
          </cell>
          <cell r="O994" t="str">
            <v>Halton</v>
          </cell>
          <cell r="P994" t="str">
            <v>Toronto</v>
          </cell>
        </row>
        <row r="995">
          <cell r="C995" t="str">
            <v>Canadian Solar Developers Ltd. L.P.#5</v>
          </cell>
          <cell r="D995" t="str">
            <v>Mann Ground Mount Solar Ltd.</v>
          </cell>
          <cell r="E995" t="str">
            <v>CO</v>
          </cell>
          <cell r="F995">
            <v>41510</v>
          </cell>
          <cell r="G995">
            <v>41779</v>
          </cell>
          <cell r="H995">
            <v>48814</v>
          </cell>
          <cell r="I995" t="str">
            <v>19 years, 3 months, 3 days</v>
          </cell>
          <cell r="J995" t="str">
            <v>Renewables</v>
          </cell>
          <cell r="K995" t="str">
            <v>Solar (Ground Mounted)</v>
          </cell>
          <cell r="L995" t="str">
            <v>Solar</v>
          </cell>
          <cell r="M995" t="str">
            <v>Dx</v>
          </cell>
          <cell r="N995" t="str">
            <v>Union</v>
          </cell>
          <cell r="O995" t="str">
            <v>Elgin</v>
          </cell>
          <cell r="P995" t="str">
            <v>West</v>
          </cell>
        </row>
        <row r="996">
          <cell r="C996" t="str">
            <v>SunMac1</v>
          </cell>
          <cell r="D996" t="str">
            <v>Aleafia Farms Inc.</v>
          </cell>
          <cell r="E996" t="str">
            <v>CO</v>
          </cell>
          <cell r="F996">
            <v>41029</v>
          </cell>
          <cell r="G996">
            <v>40700</v>
          </cell>
          <cell r="H996">
            <v>48004</v>
          </cell>
          <cell r="I996" t="str">
            <v>19 years, 11 months, 30 days</v>
          </cell>
          <cell r="J996" t="str">
            <v>Renewables</v>
          </cell>
          <cell r="K996" t="str">
            <v>Solar (Rooftop)</v>
          </cell>
          <cell r="L996" t="str">
            <v>Solar</v>
          </cell>
          <cell r="M996" t="str">
            <v>Dx</v>
          </cell>
          <cell r="N996" t="str">
            <v>Blackstock</v>
          </cell>
          <cell r="O996" t="str">
            <v>Durham</v>
          </cell>
          <cell r="P996" t="str">
            <v>Toronto</v>
          </cell>
        </row>
        <row r="997">
          <cell r="C997" t="str">
            <v>Hewitt Road</v>
          </cell>
          <cell r="D997" t="str">
            <v>DeVries Family Farms Inc.</v>
          </cell>
          <cell r="E997" t="str">
            <v>CO</v>
          </cell>
          <cell r="F997">
            <v>41799</v>
          </cell>
          <cell r="G997">
            <v>41659</v>
          </cell>
          <cell r="H997">
            <v>48963</v>
          </cell>
          <cell r="I997" t="str">
            <v>19 years, 11 months, 30 days</v>
          </cell>
          <cell r="J997" t="str">
            <v>Renewables</v>
          </cell>
          <cell r="K997" t="str">
            <v>Solar (Rooftop)</v>
          </cell>
          <cell r="L997" t="str">
            <v>Solar</v>
          </cell>
          <cell r="M997" t="str">
            <v>Dx</v>
          </cell>
          <cell r="N997" t="str">
            <v>Welland</v>
          </cell>
          <cell r="O997" t="str">
            <v>Niagara</v>
          </cell>
          <cell r="P997" t="str">
            <v>Niagara</v>
          </cell>
        </row>
        <row r="998">
          <cell r="C998" t="str">
            <v>620 Supertest Rd</v>
          </cell>
          <cell r="D998" t="str">
            <v>Solar Income Fund LP (#5)</v>
          </cell>
          <cell r="E998" t="str">
            <v>CO</v>
          </cell>
          <cell r="F998">
            <v>41480</v>
          </cell>
          <cell r="G998">
            <v>41474</v>
          </cell>
          <cell r="H998">
            <v>48778</v>
          </cell>
          <cell r="I998" t="str">
            <v>19 years, 11 months, 29 days</v>
          </cell>
          <cell r="J998" t="str">
            <v>Renewables</v>
          </cell>
          <cell r="K998" t="str">
            <v>Solar (Rooftop)</v>
          </cell>
          <cell r="L998" t="str">
            <v>Solar</v>
          </cell>
          <cell r="M998" t="str">
            <v>Dx</v>
          </cell>
          <cell r="N998" t="str">
            <v>Toronto</v>
          </cell>
          <cell r="O998" t="str">
            <v>Toronto</v>
          </cell>
          <cell r="P998" t="str">
            <v>Toronto</v>
          </cell>
        </row>
        <row r="999">
          <cell r="C999" t="str">
            <v>Saptashva Solar, S.A - FIT - Gulu 1475</v>
          </cell>
          <cell r="D999" t="str">
            <v>1000851861 ONTARIO INC.</v>
          </cell>
          <cell r="E999" t="str">
            <v>CO</v>
          </cell>
          <cell r="F999">
            <v>41797</v>
          </cell>
          <cell r="G999">
            <v>42024</v>
          </cell>
          <cell r="H999">
            <v>49328</v>
          </cell>
          <cell r="I999" t="str">
            <v>19 years, 11 months, 30 days</v>
          </cell>
          <cell r="J999" t="str">
            <v>Renewables</v>
          </cell>
          <cell r="K999" t="str">
            <v>Solar (Rooftop)</v>
          </cell>
          <cell r="L999" t="str">
            <v>Solar</v>
          </cell>
          <cell r="M999" t="str">
            <v>Dx</v>
          </cell>
          <cell r="N999" t="str">
            <v>Toronto</v>
          </cell>
          <cell r="O999" t="str">
            <v>Toronto</v>
          </cell>
          <cell r="P999" t="str">
            <v>Toronto</v>
          </cell>
        </row>
        <row r="1000">
          <cell r="C1000" t="str">
            <v>(C1) Real Canadian Superstore Innes Road</v>
          </cell>
          <cell r="D1000" t="str">
            <v>Northland Power Rooftop Solar I Partnership</v>
          </cell>
          <cell r="E1000" t="str">
            <v>CO</v>
          </cell>
          <cell r="F1000">
            <v>41029</v>
          </cell>
          <cell r="G1000">
            <v>40815</v>
          </cell>
          <cell r="H1000">
            <v>48119</v>
          </cell>
          <cell r="I1000" t="str">
            <v>19 years, 11 months, 30 days</v>
          </cell>
          <cell r="J1000" t="str">
            <v>Renewables</v>
          </cell>
          <cell r="K1000" t="str">
            <v>Solar (Rooftop)</v>
          </cell>
          <cell r="L1000" t="str">
            <v>Solar</v>
          </cell>
          <cell r="M1000" t="str">
            <v>Dx</v>
          </cell>
          <cell r="N1000" t="str">
            <v>Ottawa</v>
          </cell>
          <cell r="O1000" t="str">
            <v>Ottawa</v>
          </cell>
          <cell r="P1000" t="str">
            <v>Ottawa</v>
          </cell>
        </row>
        <row r="1001">
          <cell r="C1001" t="str">
            <v>Wal-mart Store #1111</v>
          </cell>
          <cell r="D1001" t="str">
            <v>Wal-mart Canada Corp</v>
          </cell>
          <cell r="E1001" t="str">
            <v>CO</v>
          </cell>
          <cell r="F1001">
            <v>41029</v>
          </cell>
          <cell r="G1001">
            <v>40991</v>
          </cell>
          <cell r="H1001">
            <v>48295</v>
          </cell>
          <cell r="I1001" t="str">
            <v>19 years, 11 months, 28 days</v>
          </cell>
          <cell r="J1001" t="str">
            <v>Renewables</v>
          </cell>
          <cell r="K1001" t="str">
            <v>Solar (Rooftop)</v>
          </cell>
          <cell r="L1001" t="str">
            <v>Solar</v>
          </cell>
          <cell r="M1001" t="str">
            <v>Dx</v>
          </cell>
          <cell r="N1001" t="str">
            <v>Kitchener</v>
          </cell>
          <cell r="O1001" t="str">
            <v>Waterloo</v>
          </cell>
          <cell r="P1001" t="str">
            <v>Southwest</v>
          </cell>
        </row>
        <row r="1002">
          <cell r="C1002" t="str">
            <v>Metro Enterprises Inc.</v>
          </cell>
          <cell r="D1002" t="str">
            <v>Alectra Utilities Corporation</v>
          </cell>
          <cell r="E1002" t="str">
            <v>CO</v>
          </cell>
          <cell r="F1002">
            <v>41813</v>
          </cell>
          <cell r="G1002">
            <v>41305</v>
          </cell>
          <cell r="H1002">
            <v>48609</v>
          </cell>
          <cell r="I1002" t="str">
            <v>19 years, 11 months, 30 days</v>
          </cell>
          <cell r="J1002" t="str">
            <v>Renewables</v>
          </cell>
          <cell r="K1002" t="str">
            <v>Solar (Rooftop)</v>
          </cell>
          <cell r="L1002" t="str">
            <v>Solar</v>
          </cell>
          <cell r="M1002" t="str">
            <v>Dx</v>
          </cell>
          <cell r="N1002" t="str">
            <v>Windsor</v>
          </cell>
          <cell r="O1002" t="str">
            <v>Essex</v>
          </cell>
          <cell r="P1002" t="str">
            <v>West</v>
          </cell>
        </row>
        <row r="1003">
          <cell r="C1003" t="str">
            <v>RBC Dundas</v>
          </cell>
          <cell r="D1003" t="str">
            <v>Amp Canada Inc.</v>
          </cell>
          <cell r="E1003" t="str">
            <v>CO</v>
          </cell>
          <cell r="F1003">
            <v>41820</v>
          </cell>
          <cell r="G1003">
            <v>41956</v>
          </cell>
          <cell r="H1003">
            <v>49124</v>
          </cell>
          <cell r="I1003" t="str">
            <v>19 years, 7 months, 16 days</v>
          </cell>
          <cell r="J1003" t="str">
            <v>Renewables</v>
          </cell>
          <cell r="K1003" t="str">
            <v>Solar (Rooftop)</v>
          </cell>
          <cell r="L1003" t="str">
            <v>Solar</v>
          </cell>
          <cell r="M1003" t="str">
            <v>Dx</v>
          </cell>
          <cell r="N1003" t="str">
            <v>Hamilton</v>
          </cell>
          <cell r="O1003" t="str">
            <v>Hamilton</v>
          </cell>
          <cell r="P1003" t="str">
            <v>Southwest</v>
          </cell>
        </row>
        <row r="1004">
          <cell r="C1004" t="str">
            <v>Bethridge 155 Solar</v>
          </cell>
          <cell r="D1004" t="str">
            <v>2 V Bethridge Road Investments Corp.</v>
          </cell>
          <cell r="E1004" t="str">
            <v>CO</v>
          </cell>
          <cell r="F1004">
            <v>41804</v>
          </cell>
          <cell r="G1004">
            <v>41974</v>
          </cell>
          <cell r="H1004">
            <v>49108</v>
          </cell>
          <cell r="I1004" t="str">
            <v>19 years, 6 months, 12 days</v>
          </cell>
          <cell r="J1004" t="str">
            <v>Renewables</v>
          </cell>
          <cell r="K1004" t="str">
            <v>Solar (Rooftop)</v>
          </cell>
          <cell r="L1004" t="str">
            <v>Solar</v>
          </cell>
          <cell r="M1004" t="str">
            <v>Dx</v>
          </cell>
          <cell r="N1004" t="str">
            <v>Toronto</v>
          </cell>
          <cell r="O1004" t="str">
            <v>Toronto</v>
          </cell>
          <cell r="P1004" t="str">
            <v>Toronto</v>
          </cell>
        </row>
        <row r="1005">
          <cell r="C1005" t="str">
            <v>7659 Bramalea Road</v>
          </cell>
          <cell r="D1005" t="str">
            <v>Texran Enterprises Inc.</v>
          </cell>
          <cell r="E1005" t="str">
            <v>CO</v>
          </cell>
          <cell r="F1005">
            <v>41854</v>
          </cell>
          <cell r="G1005">
            <v>41345</v>
          </cell>
          <cell r="H1005">
            <v>48649</v>
          </cell>
          <cell r="I1005" t="str">
            <v>19 years, 11 months, 27 days</v>
          </cell>
          <cell r="J1005" t="str">
            <v>Renewables</v>
          </cell>
          <cell r="K1005" t="str">
            <v>Solar (Rooftop)</v>
          </cell>
          <cell r="L1005" t="str">
            <v>Solar</v>
          </cell>
          <cell r="M1005" t="str">
            <v>Dx</v>
          </cell>
          <cell r="N1005" t="str">
            <v>Brampton</v>
          </cell>
          <cell r="O1005" t="str">
            <v>Peel</v>
          </cell>
          <cell r="P1005" t="str">
            <v>Toronto</v>
          </cell>
        </row>
        <row r="1006">
          <cell r="C1006" t="str">
            <v>51236 CHALET LINE RR#1</v>
          </cell>
          <cell r="D1006" t="str">
            <v>JAKE THIESSEN AND NETTIE THIESSEN</v>
          </cell>
          <cell r="E1006" t="str">
            <v>CO</v>
          </cell>
          <cell r="F1006">
            <v>41820</v>
          </cell>
          <cell r="G1006">
            <v>41120</v>
          </cell>
          <cell r="H1006">
            <v>48424</v>
          </cell>
          <cell r="I1006" t="str">
            <v>19 years, 11 months, 29 days</v>
          </cell>
          <cell r="J1006" t="str">
            <v>Renewables</v>
          </cell>
          <cell r="K1006" t="str">
            <v>Solar (Rooftop)</v>
          </cell>
          <cell r="L1006" t="str">
            <v>Solar</v>
          </cell>
          <cell r="M1006" t="str">
            <v>Dx</v>
          </cell>
          <cell r="N1006" t="str">
            <v>Aylmer</v>
          </cell>
          <cell r="O1006" t="str">
            <v>Elgin</v>
          </cell>
          <cell r="P1006" t="str">
            <v>West</v>
          </cell>
        </row>
        <row r="1007">
          <cell r="C1007" t="str">
            <v>NKB Solar</v>
          </cell>
          <cell r="D1007" t="str">
            <v>N.K.B. Holdings Ltd.</v>
          </cell>
          <cell r="E1007" t="str">
            <v>CO</v>
          </cell>
          <cell r="F1007">
            <v>41806</v>
          </cell>
          <cell r="G1007">
            <v>41120</v>
          </cell>
          <cell r="H1007">
            <v>48424</v>
          </cell>
          <cell r="I1007" t="str">
            <v>19 years, 11 months, 29 days</v>
          </cell>
          <cell r="J1007" t="str">
            <v>Renewables</v>
          </cell>
          <cell r="K1007" t="str">
            <v>Solar (Rooftop)</v>
          </cell>
          <cell r="L1007" t="str">
            <v>Solar</v>
          </cell>
          <cell r="M1007" t="str">
            <v>Dx</v>
          </cell>
          <cell r="N1007" t="str">
            <v>Listowel</v>
          </cell>
          <cell r="O1007" t="str">
            <v>Perth</v>
          </cell>
          <cell r="P1007" t="str">
            <v>Southwest</v>
          </cell>
        </row>
        <row r="1008">
          <cell r="C1008" t="str">
            <v>30 TYCOS</v>
          </cell>
          <cell r="D1008" t="str">
            <v>DC Solar Power Corp</v>
          </cell>
          <cell r="E1008" t="str">
            <v>CO</v>
          </cell>
          <cell r="F1008">
            <v>41727</v>
          </cell>
          <cell r="G1008">
            <v>41495</v>
          </cell>
          <cell r="H1008">
            <v>48799</v>
          </cell>
          <cell r="I1008" t="str">
            <v>19 years, 11 months, 30 days</v>
          </cell>
          <cell r="J1008" t="str">
            <v>Renewables</v>
          </cell>
          <cell r="K1008" t="str">
            <v>Solar (Rooftop)</v>
          </cell>
          <cell r="L1008" t="str">
            <v>Solar</v>
          </cell>
          <cell r="M1008" t="str">
            <v>Dx</v>
          </cell>
          <cell r="N1008" t="str">
            <v>Toronto</v>
          </cell>
          <cell r="O1008" t="str">
            <v>Toronto</v>
          </cell>
          <cell r="P1008" t="str">
            <v>Toronto</v>
          </cell>
        </row>
        <row r="1009">
          <cell r="C1009" t="str">
            <v>Whittington Wind Farm</v>
          </cell>
          <cell r="D1009" t="str">
            <v>SWNS Wind LP</v>
          </cell>
          <cell r="E1009" t="str">
            <v>CO</v>
          </cell>
          <cell r="F1009">
            <v>42098</v>
          </cell>
          <cell r="G1009">
            <v>41964</v>
          </cell>
          <cell r="H1009">
            <v>49268</v>
          </cell>
          <cell r="I1009" t="str">
            <v>19 years, 11 months, 30 days</v>
          </cell>
          <cell r="J1009" t="str">
            <v>Renewables</v>
          </cell>
          <cell r="K1009" t="str">
            <v>Wind (On-Shore)</v>
          </cell>
          <cell r="L1009" t="str">
            <v>Wind</v>
          </cell>
          <cell r="M1009" t="str">
            <v>Dx</v>
          </cell>
          <cell r="N1009" t="str">
            <v>Orangeville</v>
          </cell>
          <cell r="O1009" t="str">
            <v>Dufferin</v>
          </cell>
          <cell r="P1009" t="str">
            <v>Southwest</v>
          </cell>
        </row>
        <row r="1010">
          <cell r="C1010" t="str">
            <v>600 Deziel 2</v>
          </cell>
          <cell r="D1010" t="str">
            <v>Solar Income Fund LP (#2)</v>
          </cell>
          <cell r="E1010" t="str">
            <v>CO</v>
          </cell>
          <cell r="F1010">
            <v>41820</v>
          </cell>
          <cell r="G1010">
            <v>41660</v>
          </cell>
          <cell r="H1010">
            <v>48964</v>
          </cell>
          <cell r="I1010" t="str">
            <v>19 years, 11 months, 30 days</v>
          </cell>
          <cell r="J1010" t="str">
            <v>Renewables</v>
          </cell>
          <cell r="K1010" t="str">
            <v>Solar (Rooftop)</v>
          </cell>
          <cell r="L1010" t="str">
            <v>Solar</v>
          </cell>
          <cell r="M1010" t="str">
            <v>Dx</v>
          </cell>
          <cell r="N1010" t="str">
            <v>Windsor</v>
          </cell>
          <cell r="O1010" t="str">
            <v>Essex</v>
          </cell>
          <cell r="P1010" t="str">
            <v>West</v>
          </cell>
        </row>
        <row r="1011">
          <cell r="C1011" t="str">
            <v>NR1</v>
          </cell>
          <cell r="D1011" t="str">
            <v>Nico Reyneveld</v>
          </cell>
          <cell r="E1011" t="str">
            <v>CO</v>
          </cell>
          <cell r="F1011">
            <v>41497</v>
          </cell>
          <cell r="G1011">
            <v>40834</v>
          </cell>
          <cell r="H1011">
            <v>48138</v>
          </cell>
          <cell r="I1011" t="str">
            <v>19 years, 11 months, 29 days</v>
          </cell>
          <cell r="J1011" t="str">
            <v>Renewables</v>
          </cell>
          <cell r="K1011" t="str">
            <v>Solar (Rooftop)</v>
          </cell>
          <cell r="L1011" t="str">
            <v>Solar</v>
          </cell>
          <cell r="M1011" t="str">
            <v>Dx</v>
          </cell>
          <cell r="N1011" t="str">
            <v>Tavistock</v>
          </cell>
          <cell r="O1011" t="str">
            <v>Oxford</v>
          </cell>
          <cell r="P1011" t="str">
            <v>Southwest</v>
          </cell>
        </row>
        <row r="1012">
          <cell r="C1012" t="str">
            <v>Saptashva Solar, S.A - FIT - Gulu 20</v>
          </cell>
          <cell r="D1012" t="str">
            <v>QRes VI Operating LP</v>
          </cell>
          <cell r="E1012" t="str">
            <v>CO</v>
          </cell>
          <cell r="F1012">
            <v>41797</v>
          </cell>
          <cell r="G1012">
            <v>41817</v>
          </cell>
          <cell r="H1012">
            <v>49101</v>
          </cell>
          <cell r="I1012" t="str">
            <v>19 years, 11 months, 10 days</v>
          </cell>
          <cell r="J1012" t="str">
            <v>Renewables</v>
          </cell>
          <cell r="K1012" t="str">
            <v>Solar (Rooftop)</v>
          </cell>
          <cell r="L1012" t="str">
            <v>Solar</v>
          </cell>
          <cell r="M1012" t="str">
            <v>Dx</v>
          </cell>
          <cell r="N1012" t="str">
            <v>Toronto</v>
          </cell>
          <cell r="O1012" t="str">
            <v>Toronto</v>
          </cell>
          <cell r="P1012" t="str">
            <v>Toronto</v>
          </cell>
        </row>
        <row r="1013">
          <cell r="C1013" t="str">
            <v>Van Arem Farm</v>
          </cell>
          <cell r="D1013" t="str">
            <v>Theodorus van Arem</v>
          </cell>
          <cell r="E1013" t="str">
            <v>CO</v>
          </cell>
          <cell r="F1013">
            <v>41476</v>
          </cell>
          <cell r="G1013">
            <v>41114</v>
          </cell>
          <cell r="H1013">
            <v>48418</v>
          </cell>
          <cell r="I1013" t="str">
            <v>19 years, 11 months, 29 days</v>
          </cell>
          <cell r="J1013" t="str">
            <v>Renewables</v>
          </cell>
          <cell r="K1013" t="str">
            <v>Solar (Rooftop)</v>
          </cell>
          <cell r="L1013" t="str">
            <v>Solar</v>
          </cell>
          <cell r="M1013" t="str">
            <v>Dx</v>
          </cell>
          <cell r="N1013" t="str">
            <v>Tottenham</v>
          </cell>
          <cell r="O1013" t="str">
            <v>Simcoe</v>
          </cell>
          <cell r="P1013" t="str">
            <v>Southwest</v>
          </cell>
        </row>
        <row r="1014">
          <cell r="C1014" t="str">
            <v>Bensfort Road LFG Generation Project</v>
          </cell>
          <cell r="D1014" t="str">
            <v>LFG Power Corporation</v>
          </cell>
          <cell r="E1014" t="str">
            <v>CO</v>
          </cell>
          <cell r="F1014">
            <v>41307</v>
          </cell>
          <cell r="G1014">
            <v>41405</v>
          </cell>
          <cell r="H1014">
            <v>48611</v>
          </cell>
          <cell r="I1014" t="str">
            <v>19 years, 8 months, 21 days</v>
          </cell>
          <cell r="J1014" t="str">
            <v>Renewables</v>
          </cell>
          <cell r="K1014" t="str">
            <v>Bioenergy</v>
          </cell>
          <cell r="L1014" t="str">
            <v>Landfill Gas</v>
          </cell>
          <cell r="M1014" t="str">
            <v>Dx</v>
          </cell>
          <cell r="N1014" t="str">
            <v>Peterborough</v>
          </cell>
          <cell r="O1014" t="str">
            <v>Peterborough</v>
          </cell>
          <cell r="P1014" t="str">
            <v>East</v>
          </cell>
        </row>
        <row r="1015">
          <cell r="C1015" t="str">
            <v>Endura Energy - 399 Vansickle</v>
          </cell>
          <cell r="D1015" t="str">
            <v>2248531 Ontario Inc.</v>
          </cell>
          <cell r="E1015" t="str">
            <v>CO</v>
          </cell>
          <cell r="F1015">
            <v>41797</v>
          </cell>
          <cell r="G1015">
            <v>41488</v>
          </cell>
          <cell r="H1015">
            <v>48792</v>
          </cell>
          <cell r="I1015" t="str">
            <v>19 years, 11 months, 30 days</v>
          </cell>
          <cell r="J1015" t="str">
            <v>Renewables</v>
          </cell>
          <cell r="K1015" t="str">
            <v>Solar (Rooftop)</v>
          </cell>
          <cell r="L1015" t="str">
            <v>Solar</v>
          </cell>
          <cell r="M1015" t="str">
            <v>Dx</v>
          </cell>
          <cell r="N1015" t="str">
            <v>St. Catharines</v>
          </cell>
          <cell r="O1015" t="str">
            <v>Niagara</v>
          </cell>
          <cell r="P1015" t="str">
            <v>Niagara</v>
          </cell>
        </row>
        <row r="1016">
          <cell r="C1016" t="str">
            <v>95 John Street</v>
          </cell>
          <cell r="D1016" t="str">
            <v>Fovere Glenbarra Energy Fund I Limited Partnership</v>
          </cell>
          <cell r="E1016" t="str">
            <v>CO</v>
          </cell>
          <cell r="F1016">
            <v>41804</v>
          </cell>
          <cell r="G1016">
            <v>41141</v>
          </cell>
          <cell r="H1016">
            <v>48445</v>
          </cell>
          <cell r="I1016" t="str">
            <v>19 years, 11 months, 30 days</v>
          </cell>
          <cell r="J1016" t="str">
            <v>Renewables</v>
          </cell>
          <cell r="K1016" t="str">
            <v>Solar (Rooftop)</v>
          </cell>
          <cell r="L1016" t="str">
            <v>Solar</v>
          </cell>
          <cell r="M1016" t="str">
            <v>Dx</v>
          </cell>
          <cell r="N1016" t="str">
            <v>Orangeville</v>
          </cell>
          <cell r="O1016" t="str">
            <v>Dufferin</v>
          </cell>
          <cell r="P1016" t="str">
            <v>Southwest</v>
          </cell>
        </row>
        <row r="1017">
          <cell r="C1017" t="str">
            <v>(C35) Real Canadian Superstore Mavis Road</v>
          </cell>
          <cell r="D1017" t="str">
            <v>Firelight Solar LP</v>
          </cell>
          <cell r="E1017" t="str">
            <v>CO</v>
          </cell>
          <cell r="F1017">
            <v>41713</v>
          </cell>
          <cell r="G1017">
            <v>41333</v>
          </cell>
          <cell r="H1017">
            <v>48637</v>
          </cell>
          <cell r="I1017" t="str">
            <v>19 years, 11 months, 30 days</v>
          </cell>
          <cell r="J1017" t="str">
            <v>Renewables</v>
          </cell>
          <cell r="K1017" t="str">
            <v>Solar (Rooftop)</v>
          </cell>
          <cell r="L1017" t="str">
            <v>Solar</v>
          </cell>
          <cell r="M1017" t="str">
            <v>Dx</v>
          </cell>
          <cell r="N1017" t="str">
            <v>Mississauga</v>
          </cell>
          <cell r="O1017" t="str">
            <v>Peel</v>
          </cell>
          <cell r="P1017" t="str">
            <v>Toronto</v>
          </cell>
        </row>
        <row r="1018">
          <cell r="C1018" t="str">
            <v>T04-1776 O'Connor</v>
          </cell>
          <cell r="D1018" t="str">
            <v>Alectra Utilities Corporation</v>
          </cell>
          <cell r="E1018" t="str">
            <v>CO</v>
          </cell>
          <cell r="F1018">
            <v>41728</v>
          </cell>
          <cell r="G1018">
            <v>41568</v>
          </cell>
          <cell r="H1018">
            <v>48872</v>
          </cell>
          <cell r="I1018" t="str">
            <v>19 years, 11 months, 29 days</v>
          </cell>
          <cell r="J1018" t="str">
            <v>Renewables</v>
          </cell>
          <cell r="K1018" t="str">
            <v>Solar (Rooftop)</v>
          </cell>
          <cell r="L1018" t="str">
            <v>Solar</v>
          </cell>
          <cell r="M1018" t="str">
            <v>Dx</v>
          </cell>
          <cell r="N1018" t="str">
            <v>Toronto</v>
          </cell>
          <cell r="O1018" t="str">
            <v>Toronto</v>
          </cell>
          <cell r="P1018" t="str">
            <v>Toronto</v>
          </cell>
        </row>
        <row r="1019">
          <cell r="C1019" t="str">
            <v>1000 Wye Valley Road</v>
          </cell>
          <cell r="D1019" t="str">
            <v>SunEdison DG Operating Holdings-2, LLC</v>
          </cell>
          <cell r="E1019" t="str">
            <v>CO</v>
          </cell>
          <cell r="F1019">
            <v>41029</v>
          </cell>
          <cell r="G1019">
            <v>40976</v>
          </cell>
          <cell r="H1019">
            <v>48280</v>
          </cell>
          <cell r="I1019" t="str">
            <v>19 years, 11 months, 28 days</v>
          </cell>
          <cell r="J1019" t="str">
            <v>Renewables</v>
          </cell>
          <cell r="K1019" t="str">
            <v>Solar (Rooftop)</v>
          </cell>
          <cell r="L1019" t="str">
            <v>Solar</v>
          </cell>
          <cell r="M1019" t="str">
            <v>Dx</v>
          </cell>
          <cell r="N1019" t="str">
            <v>Midland</v>
          </cell>
          <cell r="O1019" t="str">
            <v>Simcoe</v>
          </cell>
          <cell r="P1019" t="str">
            <v>Essa</v>
          </cell>
        </row>
        <row r="1020">
          <cell r="C1020" t="str">
            <v>Niagara Region Wind Farm</v>
          </cell>
          <cell r="D1020" t="str">
            <v>FWRN LP</v>
          </cell>
          <cell r="E1020" t="str">
            <v>CO</v>
          </cell>
          <cell r="F1020">
            <v>41798</v>
          </cell>
          <cell r="G1020">
            <v>42676</v>
          </cell>
          <cell r="H1020">
            <v>49980</v>
          </cell>
          <cell r="I1020" t="str">
            <v>19 years, 11 months, 30 days</v>
          </cell>
          <cell r="J1020" t="str">
            <v>Renewables</v>
          </cell>
          <cell r="K1020" t="str">
            <v>Wind (On-Shore)</v>
          </cell>
          <cell r="L1020" t="str">
            <v>Wind</v>
          </cell>
          <cell r="M1020" t="str">
            <v>Tx</v>
          </cell>
          <cell r="N1020" t="str">
            <v>Wellandport</v>
          </cell>
          <cell r="O1020" t="str">
            <v>Niagara</v>
          </cell>
          <cell r="P1020" t="str">
            <v>Southwest</v>
          </cell>
        </row>
        <row r="1021">
          <cell r="C1021" t="str">
            <v>Hayter Turkey Farm</v>
          </cell>
          <cell r="D1021" t="str">
            <v>SE 2011 LP</v>
          </cell>
          <cell r="E1021" t="str">
            <v>CO</v>
          </cell>
          <cell r="F1021">
            <v>41804</v>
          </cell>
          <cell r="G1021">
            <v>41225</v>
          </cell>
          <cell r="H1021">
            <v>48529</v>
          </cell>
          <cell r="I1021" t="str">
            <v>19 years, 11 months, 30 days</v>
          </cell>
          <cell r="J1021" t="str">
            <v>Renewables</v>
          </cell>
          <cell r="K1021" t="str">
            <v>Solar (Rooftop)</v>
          </cell>
          <cell r="L1021" t="str">
            <v>Solar</v>
          </cell>
          <cell r="M1021" t="str">
            <v>Dx</v>
          </cell>
          <cell r="N1021" t="str">
            <v>Dashwood</v>
          </cell>
          <cell r="O1021" t="str">
            <v>Huron</v>
          </cell>
          <cell r="P1021" t="str">
            <v>Southwest</v>
          </cell>
        </row>
        <row r="1022">
          <cell r="C1022" t="str">
            <v>RE Waubaushene 3</v>
          </cell>
          <cell r="D1022" t="str">
            <v>Aurora Waubaushene 3 Limited Partnership</v>
          </cell>
          <cell r="E1022" t="str">
            <v>CO</v>
          </cell>
          <cell r="F1022">
            <v>41322</v>
          </cell>
          <cell r="G1022">
            <v>41361</v>
          </cell>
          <cell r="H1022">
            <v>48665</v>
          </cell>
          <cell r="I1022" t="str">
            <v>19 years, 11 months, 27 days</v>
          </cell>
          <cell r="J1022" t="str">
            <v>Renewables</v>
          </cell>
          <cell r="K1022" t="str">
            <v>Solar (Ground Mounted)</v>
          </cell>
          <cell r="L1022" t="str">
            <v>Solar</v>
          </cell>
          <cell r="M1022" t="str">
            <v>Dx</v>
          </cell>
          <cell r="N1022" t="str">
            <v>Wyebridge</v>
          </cell>
          <cell r="O1022" t="str">
            <v>Simcoe</v>
          </cell>
          <cell r="P1022" t="str">
            <v>Essa</v>
          </cell>
        </row>
        <row r="1023">
          <cell r="C1023" t="str">
            <v>O02-1900 Dauphin</v>
          </cell>
          <cell r="D1023" t="str">
            <v>Conseil scolaire de district catholique du Centre-Est de l'Ontario</v>
          </cell>
          <cell r="E1023" t="str">
            <v>CO</v>
          </cell>
          <cell r="F1023">
            <v>41832</v>
          </cell>
          <cell r="G1023">
            <v>42058</v>
          </cell>
          <cell r="H1023">
            <v>49362</v>
          </cell>
          <cell r="I1023" t="str">
            <v>19 years, 11 months, 30 days</v>
          </cell>
          <cell r="J1023" t="str">
            <v>Renewables</v>
          </cell>
          <cell r="K1023" t="str">
            <v>Solar (Rooftop)</v>
          </cell>
          <cell r="L1023" t="str">
            <v>Solar</v>
          </cell>
          <cell r="M1023" t="str">
            <v>Dx</v>
          </cell>
          <cell r="N1023" t="str">
            <v>Ottawa</v>
          </cell>
          <cell r="O1023" t="str">
            <v>Ottawa</v>
          </cell>
          <cell r="P1023" t="str">
            <v>Ottawa</v>
          </cell>
        </row>
        <row r="1024">
          <cell r="C1024" t="str">
            <v>Saptashva Solar, S.A - FIT - Gulu 1469</v>
          </cell>
          <cell r="D1024" t="str">
            <v>1000851861 ONTARIO INC.</v>
          </cell>
          <cell r="E1024" t="str">
            <v>CO</v>
          </cell>
          <cell r="F1024">
            <v>41797</v>
          </cell>
          <cell r="G1024">
            <v>42024</v>
          </cell>
          <cell r="H1024">
            <v>49328</v>
          </cell>
          <cell r="I1024" t="str">
            <v>19 years, 11 months, 30 days</v>
          </cell>
          <cell r="J1024" t="str">
            <v>Renewables</v>
          </cell>
          <cell r="K1024" t="str">
            <v>Solar (Rooftop)</v>
          </cell>
          <cell r="L1024" t="str">
            <v>Solar</v>
          </cell>
          <cell r="M1024" t="str">
            <v>Dx</v>
          </cell>
          <cell r="N1024" t="str">
            <v>Toronto</v>
          </cell>
          <cell r="O1024" t="str">
            <v>Toronto</v>
          </cell>
          <cell r="P1024" t="str">
            <v>Toronto</v>
          </cell>
        </row>
        <row r="1025">
          <cell r="C1025" t="str">
            <v>26 Robb Blvd</v>
          </cell>
          <cell r="D1025" t="str">
            <v>OFIT Inc.</v>
          </cell>
          <cell r="E1025" t="str">
            <v>CO</v>
          </cell>
          <cell r="F1025">
            <v>41828</v>
          </cell>
          <cell r="G1025">
            <v>41872</v>
          </cell>
          <cell r="H1025">
            <v>49176</v>
          </cell>
          <cell r="I1025" t="str">
            <v>19 years, 11 months, 30 days</v>
          </cell>
          <cell r="J1025" t="str">
            <v>Renewables</v>
          </cell>
          <cell r="K1025" t="str">
            <v>Solar (Rooftop)</v>
          </cell>
          <cell r="L1025" t="str">
            <v>Solar</v>
          </cell>
          <cell r="M1025" t="str">
            <v>Dx</v>
          </cell>
          <cell r="N1025" t="str">
            <v>Orangeville</v>
          </cell>
          <cell r="O1025" t="str">
            <v>Dufferin</v>
          </cell>
          <cell r="P1025" t="str">
            <v>Southwest</v>
          </cell>
        </row>
        <row r="1026">
          <cell r="C1026" t="str">
            <v>7650 Markham Rd.</v>
          </cell>
          <cell r="D1026" t="str">
            <v>MOM Solar Limited Partnership</v>
          </cell>
          <cell r="E1026" t="str">
            <v>CO</v>
          </cell>
          <cell r="F1026">
            <v>41029</v>
          </cell>
          <cell r="G1026">
            <v>41029</v>
          </cell>
          <cell r="H1026">
            <v>48333</v>
          </cell>
          <cell r="I1026" t="str">
            <v>19 years, 11 months, 30 days</v>
          </cell>
          <cell r="J1026" t="str">
            <v>Renewables</v>
          </cell>
          <cell r="K1026" t="str">
            <v>Solar (Rooftop)</v>
          </cell>
          <cell r="L1026" t="str">
            <v>Solar</v>
          </cell>
          <cell r="M1026" t="str">
            <v>Dx</v>
          </cell>
          <cell r="N1026" t="str">
            <v>Markham</v>
          </cell>
          <cell r="O1026" t="str">
            <v>York</v>
          </cell>
          <cell r="P1026" t="str">
            <v>Toronto</v>
          </cell>
        </row>
        <row r="1027">
          <cell r="C1027" t="str">
            <v>950 South Service Road</v>
          </cell>
          <cell r="D1027" t="str">
            <v>Galanda Properties Inc.</v>
          </cell>
          <cell r="E1027" t="str">
            <v>CO</v>
          </cell>
          <cell r="F1027">
            <v>41847</v>
          </cell>
          <cell r="G1027">
            <v>41347</v>
          </cell>
          <cell r="H1027">
            <v>48651</v>
          </cell>
          <cell r="I1027" t="str">
            <v>19 years, 11 months, 27 days</v>
          </cell>
          <cell r="J1027" t="str">
            <v>Renewables</v>
          </cell>
          <cell r="K1027" t="str">
            <v>Solar (Rooftop)</v>
          </cell>
          <cell r="L1027" t="str">
            <v>Solar</v>
          </cell>
          <cell r="M1027" t="str">
            <v>Dx</v>
          </cell>
          <cell r="N1027" t="str">
            <v>Hamilton</v>
          </cell>
          <cell r="O1027" t="str">
            <v>Hamilton</v>
          </cell>
          <cell r="P1027" t="str">
            <v>Niagara</v>
          </cell>
        </row>
        <row r="1028">
          <cell r="C1028" t="str">
            <v>Q1WEC</v>
          </cell>
          <cell r="D1028" t="str">
            <v>2825411 Ontario Inc.</v>
          </cell>
          <cell r="E1028" t="str">
            <v>CO</v>
          </cell>
          <cell r="F1028">
            <v>41825</v>
          </cell>
          <cell r="G1028">
            <v>42230</v>
          </cell>
          <cell r="H1028">
            <v>49129</v>
          </cell>
          <cell r="I1028" t="str">
            <v>18 years, 10 months, 20 days</v>
          </cell>
          <cell r="J1028" t="str">
            <v>Renewables</v>
          </cell>
          <cell r="K1028" t="str">
            <v>Wind (On-Shore)</v>
          </cell>
          <cell r="L1028" t="str">
            <v>Wind</v>
          </cell>
          <cell r="M1028" t="str">
            <v>Dx</v>
          </cell>
          <cell r="N1028" t="str">
            <v>Tiverton</v>
          </cell>
          <cell r="O1028" t="str">
            <v>Bruce</v>
          </cell>
          <cell r="P1028" t="str">
            <v>Bruce</v>
          </cell>
        </row>
        <row r="1029">
          <cell r="C1029" t="str">
            <v>CEPEO L'Academie de La Seigneurie</v>
          </cell>
          <cell r="D1029" t="str">
            <v>Ameresco CEPEO Solar Inc.</v>
          </cell>
          <cell r="E1029" t="str">
            <v>CO</v>
          </cell>
          <cell r="F1029">
            <v>41029</v>
          </cell>
          <cell r="G1029">
            <v>41183</v>
          </cell>
          <cell r="H1029">
            <v>48333</v>
          </cell>
          <cell r="I1029" t="str">
            <v>19 years, 6 months, 28 days</v>
          </cell>
          <cell r="J1029" t="str">
            <v>Renewables</v>
          </cell>
          <cell r="K1029" t="str">
            <v>Solar (Rooftop)</v>
          </cell>
          <cell r="L1029" t="str">
            <v>Solar</v>
          </cell>
          <cell r="M1029" t="str">
            <v>Dx</v>
          </cell>
          <cell r="N1029" t="str">
            <v>Casselman</v>
          </cell>
          <cell r="O1029" t="str">
            <v>Prescott and Russell</v>
          </cell>
          <cell r="P1029" t="str">
            <v>Ottawa</v>
          </cell>
        </row>
        <row r="1030">
          <cell r="C1030" t="str">
            <v>Penn Energy - VanDorp</v>
          </cell>
          <cell r="D1030" t="str">
            <v>Port Hope Solar Farm Partnership</v>
          </cell>
          <cell r="E1030" t="str">
            <v>CO</v>
          </cell>
          <cell r="F1030">
            <v>41957</v>
          </cell>
          <cell r="G1030">
            <v>42356</v>
          </cell>
          <cell r="H1030">
            <v>49660</v>
          </cell>
          <cell r="I1030" t="str">
            <v>19 years, 11 months, 29 days</v>
          </cell>
          <cell r="J1030" t="str">
            <v>Renewables</v>
          </cell>
          <cell r="K1030" t="str">
            <v>Solar (Ground Mounted)</v>
          </cell>
          <cell r="L1030" t="str">
            <v>Solar</v>
          </cell>
          <cell r="M1030" t="str">
            <v>Dx</v>
          </cell>
          <cell r="N1030" t="str">
            <v>Port Hope</v>
          </cell>
          <cell r="O1030" t="str">
            <v>Northumberland</v>
          </cell>
          <cell r="P1030" t="str">
            <v>East</v>
          </cell>
        </row>
        <row r="1031">
          <cell r="C1031" t="str">
            <v>Lot 13, Concession 8, Municipality of South Bruce</v>
          </cell>
          <cell r="D1031" t="str">
            <v>Marley Farms Ltd.</v>
          </cell>
          <cell r="E1031" t="str">
            <v>CO</v>
          </cell>
          <cell r="F1031">
            <v>41806</v>
          </cell>
          <cell r="G1031">
            <v>41947</v>
          </cell>
          <cell r="H1031">
            <v>49251</v>
          </cell>
          <cell r="I1031" t="str">
            <v>19 years, 11 months, 30 days</v>
          </cell>
          <cell r="J1031" t="str">
            <v>Renewables</v>
          </cell>
          <cell r="K1031" t="str">
            <v>Solar (Rooftop)</v>
          </cell>
          <cell r="L1031" t="str">
            <v>Solar</v>
          </cell>
          <cell r="M1031" t="str">
            <v>Dx</v>
          </cell>
          <cell r="N1031" t="str">
            <v>Teeswater</v>
          </cell>
          <cell r="O1031" t="str">
            <v>Bruce</v>
          </cell>
          <cell r="P1031" t="str">
            <v>Southwest</v>
          </cell>
        </row>
        <row r="1032">
          <cell r="C1032" t="str">
            <v>EarthLight</v>
          </cell>
          <cell r="D1032" t="str">
            <v>Concord EarthLight Partnership</v>
          </cell>
          <cell r="E1032" t="str">
            <v>CO</v>
          </cell>
          <cell r="F1032">
            <v>42011</v>
          </cell>
          <cell r="G1032">
            <v>42327</v>
          </cell>
          <cell r="H1032">
            <v>49631</v>
          </cell>
          <cell r="I1032" t="str">
            <v>19 years, 11 months, 30 days</v>
          </cell>
          <cell r="J1032" t="str">
            <v>Renewables</v>
          </cell>
          <cell r="K1032" t="str">
            <v>Solar (Ground Mounted)</v>
          </cell>
          <cell r="L1032" t="str">
            <v>Solar</v>
          </cell>
          <cell r="M1032" t="str">
            <v>Dx</v>
          </cell>
          <cell r="N1032" t="str">
            <v>Pefferlaw</v>
          </cell>
          <cell r="O1032" t="str">
            <v>York</v>
          </cell>
          <cell r="P1032" t="str">
            <v>Essa</v>
          </cell>
        </row>
        <row r="1033">
          <cell r="C1033" t="str">
            <v>6850 Baseline Road</v>
          </cell>
          <cell r="D1033" t="str">
            <v>Brightroof Solar Limited Partnership</v>
          </cell>
          <cell r="E1033" t="str">
            <v>CO</v>
          </cell>
          <cell r="F1033">
            <v>41723</v>
          </cell>
          <cell r="G1033">
            <v>41369</v>
          </cell>
          <cell r="H1033">
            <v>48673</v>
          </cell>
          <cell r="I1033" t="str">
            <v>19 years, 11 months, 30 days</v>
          </cell>
          <cell r="J1033" t="str">
            <v>Renewables</v>
          </cell>
          <cell r="K1033" t="str">
            <v>Solar (Rooftop)</v>
          </cell>
          <cell r="L1033" t="str">
            <v>Solar</v>
          </cell>
          <cell r="M1033" t="str">
            <v>Dx</v>
          </cell>
          <cell r="N1033" t="str">
            <v>Wallaceburg</v>
          </cell>
          <cell r="O1033" t="str">
            <v>Chatham-Kent</v>
          </cell>
          <cell r="P1033" t="str">
            <v>West</v>
          </cell>
        </row>
        <row r="1034">
          <cell r="C1034" t="str">
            <v>GEDSB Paris DHS</v>
          </cell>
          <cell r="D1034" t="str">
            <v>Ameresco GEDSB Solar Inc.</v>
          </cell>
          <cell r="E1034" t="str">
            <v>CO</v>
          </cell>
          <cell r="F1034">
            <v>41029</v>
          </cell>
          <cell r="G1034">
            <v>41211</v>
          </cell>
          <cell r="H1034">
            <v>48515</v>
          </cell>
          <cell r="I1034" t="str">
            <v>19 years, 11 months, 29 days</v>
          </cell>
          <cell r="J1034" t="str">
            <v>Renewables</v>
          </cell>
          <cell r="K1034" t="str">
            <v>Solar (Rooftop)</v>
          </cell>
          <cell r="L1034" t="str">
            <v>Solar</v>
          </cell>
          <cell r="M1034" t="str">
            <v>Dx</v>
          </cell>
          <cell r="N1034" t="str">
            <v>Paris</v>
          </cell>
          <cell r="O1034" t="str">
            <v>Brant</v>
          </cell>
          <cell r="P1034" t="str">
            <v>Southwest</v>
          </cell>
        </row>
        <row r="1035">
          <cell r="C1035" t="str">
            <v>Peter Hillen Solar I</v>
          </cell>
          <cell r="D1035" t="str">
            <v>2251052 Ontario Inc.</v>
          </cell>
          <cell r="E1035" t="str">
            <v>CO</v>
          </cell>
          <cell r="F1035">
            <v>41841</v>
          </cell>
          <cell r="G1035">
            <v>41078</v>
          </cell>
          <cell r="H1035">
            <v>48382</v>
          </cell>
          <cell r="I1035" t="str">
            <v>19 years, 11 months, 30 days</v>
          </cell>
          <cell r="J1035" t="str">
            <v>Renewables</v>
          </cell>
          <cell r="K1035" t="str">
            <v>Solar (Rooftop)</v>
          </cell>
          <cell r="L1035" t="str">
            <v>Solar</v>
          </cell>
          <cell r="M1035" t="str">
            <v>Dx</v>
          </cell>
          <cell r="N1035" t="str">
            <v>Mount Brydges</v>
          </cell>
          <cell r="O1035" t="str">
            <v>Middlesex</v>
          </cell>
          <cell r="P1035" t="str">
            <v>West</v>
          </cell>
        </row>
        <row r="1036">
          <cell r="C1036" t="str">
            <v>Sault College RMI Demonstration Project</v>
          </cell>
          <cell r="D1036" t="str">
            <v>Rowswell &amp; Moss Inc</v>
          </cell>
          <cell r="E1036" t="str">
            <v>CO</v>
          </cell>
          <cell r="F1036">
            <v>41841</v>
          </cell>
          <cell r="G1036">
            <v>41257</v>
          </cell>
          <cell r="H1036">
            <v>48561</v>
          </cell>
          <cell r="I1036" t="str">
            <v>19 years, 11 months, 29 days</v>
          </cell>
          <cell r="J1036" t="str">
            <v>Renewables</v>
          </cell>
          <cell r="K1036" t="str">
            <v>Solar (Ground Mounted)</v>
          </cell>
          <cell r="L1036" t="str">
            <v>Solar</v>
          </cell>
          <cell r="M1036" t="str">
            <v>Dx</v>
          </cell>
          <cell r="N1036" t="str">
            <v>Sault Ste. Marie</v>
          </cell>
          <cell r="O1036" t="str">
            <v>Algoma</v>
          </cell>
          <cell r="P1036" t="str">
            <v>Northeast</v>
          </cell>
        </row>
        <row r="1037">
          <cell r="C1037" t="str">
            <v>15835 Robins HIll</v>
          </cell>
          <cell r="D1037" t="str">
            <v>Blue Planet Canada Inc.</v>
          </cell>
          <cell r="E1037" t="str">
            <v>CO</v>
          </cell>
          <cell r="F1037">
            <v>41841</v>
          </cell>
          <cell r="G1037">
            <v>41214</v>
          </cell>
          <cell r="H1037">
            <v>48518</v>
          </cell>
          <cell r="I1037" t="str">
            <v>19 years, 11 months, 30 days</v>
          </cell>
          <cell r="J1037" t="str">
            <v>Renewables</v>
          </cell>
          <cell r="K1037" t="str">
            <v>Solar (Rooftop)</v>
          </cell>
          <cell r="L1037" t="str">
            <v>Solar</v>
          </cell>
          <cell r="M1037" t="str">
            <v>Dx</v>
          </cell>
          <cell r="N1037" t="str">
            <v>London</v>
          </cell>
          <cell r="O1037" t="str">
            <v>Middlesex</v>
          </cell>
          <cell r="P1037" t="str">
            <v>West</v>
          </cell>
        </row>
        <row r="1038">
          <cell r="C1038" t="str">
            <v>RE Midhurst 4</v>
          </cell>
          <cell r="D1038" t="str">
            <v>Met Axium Solar Midhurst 4 L.P.</v>
          </cell>
          <cell r="E1038" t="str">
            <v>CO</v>
          </cell>
          <cell r="F1038">
            <v>41475</v>
          </cell>
          <cell r="G1038">
            <v>41696</v>
          </cell>
          <cell r="H1038">
            <v>49000</v>
          </cell>
          <cell r="I1038" t="str">
            <v>19 years, 11 months, 30 days</v>
          </cell>
          <cell r="J1038" t="str">
            <v>Renewables</v>
          </cell>
          <cell r="K1038" t="str">
            <v>Solar (Ground Mounted)</v>
          </cell>
          <cell r="L1038" t="str">
            <v>Solar</v>
          </cell>
          <cell r="M1038" t="str">
            <v>Dx</v>
          </cell>
          <cell r="N1038" t="str">
            <v>Oro</v>
          </cell>
          <cell r="O1038" t="str">
            <v>Simcoe</v>
          </cell>
          <cell r="P1038" t="str">
            <v>Essa</v>
          </cell>
        </row>
        <row r="1039">
          <cell r="C1039" t="str">
            <v>A10-50 Ottawa</v>
          </cell>
          <cell r="D1039" t="str">
            <v>Fengate (FGDI) Limited Partnership</v>
          </cell>
          <cell r="E1039" t="str">
            <v>CO</v>
          </cell>
          <cell r="F1039">
            <v>41820</v>
          </cell>
          <cell r="G1039">
            <v>42045</v>
          </cell>
          <cell r="H1039">
            <v>49349</v>
          </cell>
          <cell r="I1039" t="str">
            <v>19 years, 11 months, 30 days</v>
          </cell>
          <cell r="J1039" t="str">
            <v>Renewables</v>
          </cell>
          <cell r="K1039" t="str">
            <v>Solar (Rooftop)</v>
          </cell>
          <cell r="L1039" t="str">
            <v>Solar</v>
          </cell>
          <cell r="M1039" t="str">
            <v>Dx</v>
          </cell>
          <cell r="N1039" t="str">
            <v>Kitchener</v>
          </cell>
          <cell r="O1039" t="str">
            <v>Waterloo</v>
          </cell>
          <cell r="P1039" t="str">
            <v>Southwest</v>
          </cell>
        </row>
        <row r="1040">
          <cell r="C1040" t="str">
            <v>Simcoe Solar Energy Centre I</v>
          </cell>
          <cell r="D1040" t="str">
            <v>TerraForm Ontario Solar LP</v>
          </cell>
          <cell r="E1040" t="str">
            <v>CO</v>
          </cell>
          <cell r="F1040">
            <v>42250</v>
          </cell>
          <cell r="G1040">
            <v>41509</v>
          </cell>
          <cell r="H1040">
            <v>48813</v>
          </cell>
          <cell r="I1040" t="str">
            <v>19 years, 11 months, 30 days</v>
          </cell>
          <cell r="J1040" t="str">
            <v>Renewables</v>
          </cell>
          <cell r="K1040" t="str">
            <v>Solar (Ground Mounted)</v>
          </cell>
          <cell r="L1040" t="str">
            <v>Solar</v>
          </cell>
          <cell r="M1040" t="str">
            <v>Dx</v>
          </cell>
          <cell r="N1040" t="str">
            <v>Woodville</v>
          </cell>
          <cell r="O1040" t="str">
            <v>Kawartha Lakes</v>
          </cell>
          <cell r="P1040" t="str">
            <v>Essa</v>
          </cell>
        </row>
        <row r="1041">
          <cell r="C1041" t="str">
            <v>CEPEO Des Sentiers</v>
          </cell>
          <cell r="D1041" t="str">
            <v>Ameresco CEPEO Solar Inc.</v>
          </cell>
          <cell r="E1041" t="str">
            <v>CO</v>
          </cell>
          <cell r="F1041">
            <v>41029</v>
          </cell>
          <cell r="G1041">
            <v>41228</v>
          </cell>
          <cell r="H1041">
            <v>48333</v>
          </cell>
          <cell r="I1041" t="str">
            <v>19 years, 5 months, 14 days</v>
          </cell>
          <cell r="J1041" t="str">
            <v>Renewables</v>
          </cell>
          <cell r="K1041" t="str">
            <v>Solar (Rooftop)</v>
          </cell>
          <cell r="L1041" t="str">
            <v>Solar</v>
          </cell>
          <cell r="M1041" t="str">
            <v>Dx</v>
          </cell>
          <cell r="N1041" t="str">
            <v>Ottawa</v>
          </cell>
          <cell r="O1041" t="str">
            <v>Ottawa</v>
          </cell>
          <cell r="P1041" t="str">
            <v>Ottawa</v>
          </cell>
        </row>
        <row r="1042">
          <cell r="C1042" t="str">
            <v>Northland Power Solar Martin's Meadows</v>
          </cell>
          <cell r="D1042" t="str">
            <v>Northland Power Solar Martin's Meadows L.P.</v>
          </cell>
          <cell r="E1042" t="str">
            <v>CO</v>
          </cell>
          <cell r="F1042">
            <v>41887</v>
          </cell>
          <cell r="G1042">
            <v>42229</v>
          </cell>
          <cell r="H1042">
            <v>49533</v>
          </cell>
          <cell r="I1042" t="str">
            <v>19 years, 11 months, 30 days</v>
          </cell>
          <cell r="J1042" t="str">
            <v>Renewables</v>
          </cell>
          <cell r="K1042" t="str">
            <v>Solar (Ground Mounted)</v>
          </cell>
          <cell r="L1042" t="str">
            <v>Solar</v>
          </cell>
          <cell r="M1042" t="str">
            <v>Tx</v>
          </cell>
          <cell r="N1042" t="str">
            <v>Cochrane</v>
          </cell>
          <cell r="O1042" t="str">
            <v>Cochrane</v>
          </cell>
          <cell r="P1042" t="str">
            <v>Northeast</v>
          </cell>
        </row>
        <row r="1043">
          <cell r="C1043" t="str">
            <v>GSU Photovoltaic Generation Feasibility Study</v>
          </cell>
          <cell r="D1043" t="str">
            <v>1700211 Ontario Inc</v>
          </cell>
          <cell r="E1043" t="str">
            <v>CO</v>
          </cell>
          <cell r="F1043">
            <v>41877</v>
          </cell>
          <cell r="G1043">
            <v>42031</v>
          </cell>
          <cell r="H1043">
            <v>49181</v>
          </cell>
          <cell r="I1043" t="str">
            <v>19 years, 6 months, 29 days</v>
          </cell>
          <cell r="J1043" t="str">
            <v>Renewables</v>
          </cell>
          <cell r="K1043" t="str">
            <v>Solar (Ground Mounted)</v>
          </cell>
          <cell r="L1043" t="str">
            <v>Solar</v>
          </cell>
          <cell r="M1043" t="str">
            <v>Dx</v>
          </cell>
          <cell r="N1043" t="str">
            <v>Sudbury</v>
          </cell>
          <cell r="O1043" t="str">
            <v>Greater Sudbury</v>
          </cell>
          <cell r="P1043" t="str">
            <v>Northeast</v>
          </cell>
        </row>
        <row r="1044">
          <cell r="C1044" t="str">
            <v>H06-90 BILLY BISHOP</v>
          </cell>
          <cell r="D1044" t="str">
            <v>MOM Solar Limited Partnership</v>
          </cell>
          <cell r="E1044" t="str">
            <v>CO</v>
          </cell>
          <cell r="F1044">
            <v>41029</v>
          </cell>
          <cell r="G1044">
            <v>41177</v>
          </cell>
          <cell r="H1044">
            <v>48333</v>
          </cell>
          <cell r="I1044" t="str">
            <v>19 years, 7 months, 4 days</v>
          </cell>
          <cell r="J1044" t="str">
            <v>Renewables</v>
          </cell>
          <cell r="K1044" t="str">
            <v>Solar (Rooftop)</v>
          </cell>
          <cell r="L1044" t="str">
            <v>Solar</v>
          </cell>
          <cell r="M1044" t="str">
            <v>Dx</v>
          </cell>
          <cell r="N1044" t="str">
            <v>Toronto</v>
          </cell>
          <cell r="O1044" t="str">
            <v>Toronto</v>
          </cell>
          <cell r="P1044" t="str">
            <v>Toronto</v>
          </cell>
        </row>
        <row r="1045">
          <cell r="C1045" t="str">
            <v>Norfolk Bloomsburg TS</v>
          </cell>
          <cell r="D1045" t="str">
            <v>SunE Norfolk Bloomsburg LP</v>
          </cell>
          <cell r="E1045" t="str">
            <v>CO</v>
          </cell>
          <cell r="F1045">
            <v>41391</v>
          </cell>
          <cell r="G1045">
            <v>41332</v>
          </cell>
          <cell r="H1045">
            <v>48636</v>
          </cell>
          <cell r="I1045" t="str">
            <v>19 years, 11 months, 30 days</v>
          </cell>
          <cell r="J1045" t="str">
            <v>Renewables</v>
          </cell>
          <cell r="K1045" t="str">
            <v>Solar (Ground Mounted)</v>
          </cell>
          <cell r="L1045" t="str">
            <v>Solar</v>
          </cell>
          <cell r="M1045" t="str">
            <v>Dx</v>
          </cell>
          <cell r="N1045" t="str">
            <v>Simcoe</v>
          </cell>
          <cell r="O1045" t="str">
            <v>Norfolk</v>
          </cell>
          <cell r="P1045" t="str">
            <v>Southwest</v>
          </cell>
        </row>
        <row r="1046">
          <cell r="C1046" t="str">
            <v>Robert and Samantha Crowley</v>
          </cell>
          <cell r="D1046" t="str">
            <v>Robert and Samantha Crowley</v>
          </cell>
          <cell r="E1046" t="str">
            <v>CO</v>
          </cell>
          <cell r="F1046">
            <v>41029</v>
          </cell>
          <cell r="G1046">
            <v>40891</v>
          </cell>
          <cell r="H1046">
            <v>48195</v>
          </cell>
          <cell r="I1046" t="str">
            <v>19 years, 11 months, 29 days</v>
          </cell>
          <cell r="J1046" t="str">
            <v>Renewables</v>
          </cell>
          <cell r="K1046" t="str">
            <v>Solar (Rooftop)</v>
          </cell>
          <cell r="L1046" t="str">
            <v>Solar</v>
          </cell>
          <cell r="M1046" t="str">
            <v>Dx</v>
          </cell>
          <cell r="N1046" t="str">
            <v>Peterborough</v>
          </cell>
          <cell r="O1046" t="str">
            <v>Peterborough</v>
          </cell>
          <cell r="P1046" t="str">
            <v>East</v>
          </cell>
        </row>
        <row r="1047">
          <cell r="C1047" t="str">
            <v>1450 Castlefield</v>
          </cell>
          <cell r="D1047" t="str">
            <v>Fovere Glenbarra Energy Fund II Limited Partnership</v>
          </cell>
          <cell r="E1047" t="str">
            <v>CO</v>
          </cell>
          <cell r="F1047">
            <v>41832</v>
          </cell>
          <cell r="G1047">
            <v>41675</v>
          </cell>
          <cell r="H1047">
            <v>48979</v>
          </cell>
          <cell r="I1047" t="str">
            <v>19 years, 11 months, 30 days</v>
          </cell>
          <cell r="J1047" t="str">
            <v>Renewables</v>
          </cell>
          <cell r="K1047" t="str">
            <v>Solar (Rooftop)</v>
          </cell>
          <cell r="L1047" t="str">
            <v>Solar</v>
          </cell>
          <cell r="M1047" t="str">
            <v>Dx</v>
          </cell>
          <cell r="N1047" t="str">
            <v>Toronto</v>
          </cell>
          <cell r="O1047" t="str">
            <v>Toronto</v>
          </cell>
          <cell r="P1047" t="str">
            <v>Toronto</v>
          </cell>
        </row>
        <row r="1048">
          <cell r="C1048" t="str">
            <v>Republic Canadian Drawn, Inc.</v>
          </cell>
          <cell r="D1048" t="str">
            <v>Solar Sunbelt General Partnership</v>
          </cell>
          <cell r="E1048" t="str">
            <v>CO</v>
          </cell>
          <cell r="F1048">
            <v>41834</v>
          </cell>
          <cell r="G1048">
            <v>41468</v>
          </cell>
          <cell r="H1048">
            <v>48772</v>
          </cell>
          <cell r="I1048" t="str">
            <v>19 years, 11 months, 29 days</v>
          </cell>
          <cell r="J1048" t="str">
            <v>Renewables</v>
          </cell>
          <cell r="K1048" t="str">
            <v>Solar (Rooftop)</v>
          </cell>
          <cell r="L1048" t="str">
            <v>Solar</v>
          </cell>
          <cell r="M1048" t="str">
            <v>Dx</v>
          </cell>
          <cell r="N1048" t="str">
            <v>Hamilton</v>
          </cell>
          <cell r="O1048" t="str">
            <v>Hamilton</v>
          </cell>
          <cell r="P1048" t="str">
            <v>Southwest</v>
          </cell>
        </row>
        <row r="1049">
          <cell r="C1049" t="str">
            <v>RK Strome</v>
          </cell>
          <cell r="D1049" t="str">
            <v>Ron &amp; Kim Strome</v>
          </cell>
          <cell r="E1049" t="str">
            <v>CO</v>
          </cell>
          <cell r="F1049">
            <v>41799</v>
          </cell>
          <cell r="G1049">
            <v>41905</v>
          </cell>
          <cell r="H1049">
            <v>49103</v>
          </cell>
          <cell r="I1049" t="str">
            <v>19 years, 8 months, 16 days</v>
          </cell>
          <cell r="J1049" t="str">
            <v>Renewables</v>
          </cell>
          <cell r="K1049" t="str">
            <v>Solar (Rooftop)</v>
          </cell>
          <cell r="L1049" t="str">
            <v>Solar</v>
          </cell>
          <cell r="M1049" t="str">
            <v>Dx</v>
          </cell>
          <cell r="N1049" t="str">
            <v>Brussels</v>
          </cell>
          <cell r="O1049" t="str">
            <v>Huron</v>
          </cell>
          <cell r="P1049" t="str">
            <v>Southwest</v>
          </cell>
        </row>
        <row r="1050">
          <cell r="C1050" t="str">
            <v>H06-470 HOLLAND</v>
          </cell>
          <cell r="D1050" t="str">
            <v>PSI Solar Finance 1 Limited Partnership</v>
          </cell>
          <cell r="E1050" t="str">
            <v>CO</v>
          </cell>
          <cell r="F1050">
            <v>41826</v>
          </cell>
          <cell r="G1050">
            <v>41858</v>
          </cell>
          <cell r="H1050">
            <v>49162</v>
          </cell>
          <cell r="I1050" t="str">
            <v>19 years, 11 months, 30 days</v>
          </cell>
          <cell r="J1050" t="str">
            <v>Renewables</v>
          </cell>
          <cell r="K1050" t="str">
            <v>Solar (Rooftop)</v>
          </cell>
          <cell r="L1050" t="str">
            <v>Solar</v>
          </cell>
          <cell r="M1050" t="str">
            <v>Dx</v>
          </cell>
          <cell r="N1050" t="str">
            <v>Bradford</v>
          </cell>
          <cell r="O1050" t="str">
            <v>Simcoe</v>
          </cell>
          <cell r="P1050" t="str">
            <v>Essa</v>
          </cell>
        </row>
        <row r="1051">
          <cell r="C1051" t="str">
            <v>34 Stafford Road</v>
          </cell>
          <cell r="D1051" t="str">
            <v>Sanjoy Developments Limited</v>
          </cell>
          <cell r="E1051" t="str">
            <v>CO</v>
          </cell>
          <cell r="F1051">
            <v>41369</v>
          </cell>
          <cell r="G1051">
            <v>40984</v>
          </cell>
          <cell r="H1051">
            <v>48288</v>
          </cell>
          <cell r="I1051" t="str">
            <v>19 years, 11 months, 28 days</v>
          </cell>
          <cell r="J1051" t="str">
            <v>Renewables</v>
          </cell>
          <cell r="K1051" t="str">
            <v>Solar (Rooftop)</v>
          </cell>
          <cell r="L1051" t="str">
            <v>Solar</v>
          </cell>
          <cell r="M1051" t="str">
            <v>Dx</v>
          </cell>
          <cell r="N1051" t="str">
            <v>Ottawa</v>
          </cell>
          <cell r="O1051" t="str">
            <v>Ottawa</v>
          </cell>
          <cell r="P1051" t="str">
            <v>Ottawa</v>
          </cell>
        </row>
        <row r="1052">
          <cell r="C1052" t="str">
            <v>Canadian Solar Developers Ltd. L.P.#10</v>
          </cell>
          <cell r="D1052" t="str">
            <v>Mann Ground Mount Solar Ltd.</v>
          </cell>
          <cell r="E1052" t="str">
            <v>CO</v>
          </cell>
          <cell r="F1052">
            <v>41489</v>
          </cell>
          <cell r="G1052">
            <v>41675</v>
          </cell>
          <cell r="H1052">
            <v>48793</v>
          </cell>
          <cell r="I1052" t="str">
            <v>19 years, 5 months, 28 days</v>
          </cell>
          <cell r="J1052" t="str">
            <v>Renewables</v>
          </cell>
          <cell r="K1052" t="str">
            <v>Solar (Ground Mounted)</v>
          </cell>
          <cell r="L1052" t="str">
            <v>Solar</v>
          </cell>
          <cell r="M1052" t="str">
            <v>Dx</v>
          </cell>
          <cell r="N1052" t="str">
            <v>Midhurst</v>
          </cell>
          <cell r="O1052" t="str">
            <v>Simcoe</v>
          </cell>
          <cell r="P1052" t="str">
            <v>Essa</v>
          </cell>
        </row>
        <row r="1053">
          <cell r="C1053" t="str">
            <v>Judricks Enterprises Limited Ground</v>
          </cell>
          <cell r="D1053" t="str">
            <v>Solar Income Fund LP (#5)</v>
          </cell>
          <cell r="E1053" t="str">
            <v>CO</v>
          </cell>
          <cell r="F1053">
            <v>41841</v>
          </cell>
          <cell r="G1053">
            <v>41890</v>
          </cell>
          <cell r="H1053">
            <v>49145</v>
          </cell>
          <cell r="I1053" t="str">
            <v>19 years, 10 months, 12 days</v>
          </cell>
          <cell r="J1053" t="str">
            <v>Renewables</v>
          </cell>
          <cell r="K1053" t="str">
            <v>Solar (Ground Mounted)</v>
          </cell>
          <cell r="L1053" t="str">
            <v>Solar</v>
          </cell>
          <cell r="M1053" t="str">
            <v>Dx</v>
          </cell>
          <cell r="N1053" t="str">
            <v>Windsor</v>
          </cell>
          <cell r="O1053" t="str">
            <v>Essex</v>
          </cell>
          <cell r="P1053" t="str">
            <v>West</v>
          </cell>
        </row>
        <row r="1054">
          <cell r="C1054" t="str">
            <v>GEDSB North Ward</v>
          </cell>
          <cell r="D1054" t="str">
            <v>Ameresco GEDSB Solar Inc.</v>
          </cell>
          <cell r="E1054" t="str">
            <v>CO</v>
          </cell>
          <cell r="F1054">
            <v>41029</v>
          </cell>
          <cell r="G1054">
            <v>40980</v>
          </cell>
          <cell r="H1054">
            <v>48284</v>
          </cell>
          <cell r="I1054" t="str">
            <v>19 years, 11 months, 28 days</v>
          </cell>
          <cell r="J1054" t="str">
            <v>Renewables</v>
          </cell>
          <cell r="K1054" t="str">
            <v>Solar (Rooftop)</v>
          </cell>
          <cell r="L1054" t="str">
            <v>Solar</v>
          </cell>
          <cell r="M1054" t="str">
            <v>Dx</v>
          </cell>
          <cell r="N1054" t="str">
            <v>Paris</v>
          </cell>
          <cell r="O1054" t="str">
            <v>Brant</v>
          </cell>
          <cell r="P1054" t="str">
            <v>Southwest</v>
          </cell>
        </row>
        <row r="1055">
          <cell r="C1055" t="str">
            <v>O02-131 Greenbank</v>
          </cell>
          <cell r="D1055" t="str">
            <v>Ottawa Renewable Energy Co-operative Inc.</v>
          </cell>
          <cell r="E1055" t="str">
            <v>CO</v>
          </cell>
          <cell r="F1055">
            <v>41832</v>
          </cell>
          <cell r="G1055">
            <v>42058</v>
          </cell>
          <cell r="H1055">
            <v>49362</v>
          </cell>
          <cell r="I1055" t="str">
            <v>19 years, 11 months, 30 days</v>
          </cell>
          <cell r="J1055" t="str">
            <v>Renewables</v>
          </cell>
          <cell r="K1055" t="str">
            <v>Solar (Rooftop)</v>
          </cell>
          <cell r="L1055" t="str">
            <v>Solar</v>
          </cell>
          <cell r="M1055" t="str">
            <v>Dx</v>
          </cell>
          <cell r="N1055" t="str">
            <v>Ottawa</v>
          </cell>
          <cell r="O1055" t="str">
            <v>Ottawa</v>
          </cell>
          <cell r="P1055" t="str">
            <v>Ottawa</v>
          </cell>
        </row>
        <row r="1056">
          <cell r="C1056" t="str">
            <v>One Natura Way</v>
          </cell>
          <cell r="D1056" t="str">
            <v>Cambridge Solar Energy Limited Partnership</v>
          </cell>
          <cell r="E1056" t="str">
            <v>CO</v>
          </cell>
          <cell r="F1056">
            <v>41790</v>
          </cell>
          <cell r="G1056">
            <v>41621</v>
          </cell>
          <cell r="H1056">
            <v>48925</v>
          </cell>
          <cell r="I1056" t="str">
            <v>19 years, 11 months, 29 days</v>
          </cell>
          <cell r="J1056" t="str">
            <v>Renewables</v>
          </cell>
          <cell r="K1056" t="str">
            <v>Solar (Rooftop)</v>
          </cell>
          <cell r="L1056" t="str">
            <v>Solar</v>
          </cell>
          <cell r="M1056" t="str">
            <v>Dx</v>
          </cell>
          <cell r="N1056" t="str">
            <v>Cambridge</v>
          </cell>
          <cell r="O1056" t="str">
            <v>Waterloo</v>
          </cell>
          <cell r="P1056" t="str">
            <v>Southwest</v>
          </cell>
        </row>
        <row r="1057">
          <cell r="C1057" t="str">
            <v>285 Nash Road North</v>
          </cell>
          <cell r="D1057" t="str">
            <v>Sunny Day Energy Inc.</v>
          </cell>
          <cell r="E1057" t="str">
            <v>CO</v>
          </cell>
          <cell r="F1057">
            <v>41857</v>
          </cell>
          <cell r="G1057">
            <v>41865</v>
          </cell>
          <cell r="H1057">
            <v>49169</v>
          </cell>
          <cell r="I1057" t="str">
            <v>19 years, 11 months, 30 days</v>
          </cell>
          <cell r="J1057" t="str">
            <v>Renewables</v>
          </cell>
          <cell r="K1057" t="str">
            <v>Solar (Rooftop)</v>
          </cell>
          <cell r="L1057" t="str">
            <v>Solar</v>
          </cell>
          <cell r="M1057" t="str">
            <v>Dx</v>
          </cell>
          <cell r="N1057" t="str">
            <v>Hamilton</v>
          </cell>
          <cell r="O1057" t="str">
            <v>Hamilton</v>
          </cell>
          <cell r="P1057" t="str">
            <v>Southwest</v>
          </cell>
        </row>
        <row r="1058">
          <cell r="C1058" t="str">
            <v>2196318 Ontario Inc</v>
          </cell>
          <cell r="D1058" t="str">
            <v>Chippewas of Rama First Nation</v>
          </cell>
          <cell r="E1058" t="str">
            <v>CO</v>
          </cell>
          <cell r="F1058">
            <v>41813</v>
          </cell>
          <cell r="G1058">
            <v>41974</v>
          </cell>
          <cell r="H1058">
            <v>49278</v>
          </cell>
          <cell r="I1058" t="str">
            <v>19 years, 11 months, 29 days</v>
          </cell>
          <cell r="J1058" t="str">
            <v>Renewables</v>
          </cell>
          <cell r="K1058" t="str">
            <v>Solar (Rooftop)</v>
          </cell>
          <cell r="L1058" t="str">
            <v>Solar</v>
          </cell>
          <cell r="M1058" t="str">
            <v>Dx</v>
          </cell>
          <cell r="N1058" t="str">
            <v>Orillia</v>
          </cell>
          <cell r="O1058" t="str">
            <v>Simcoe</v>
          </cell>
          <cell r="P1058" t="str">
            <v>Essa</v>
          </cell>
        </row>
        <row r="1059">
          <cell r="C1059" t="str">
            <v>Folkens # 2</v>
          </cell>
          <cell r="D1059" t="str">
            <v>Brightroof Solar Limited Partnership</v>
          </cell>
          <cell r="E1059" t="str">
            <v>CO</v>
          </cell>
          <cell r="F1059">
            <v>41799</v>
          </cell>
          <cell r="G1059">
            <v>41887</v>
          </cell>
          <cell r="H1059">
            <v>49191</v>
          </cell>
          <cell r="I1059" t="str">
            <v>19 years, 11 months, 30 days</v>
          </cell>
          <cell r="J1059" t="str">
            <v>Renewables</v>
          </cell>
          <cell r="K1059" t="str">
            <v>Solar (Rooftop)</v>
          </cell>
          <cell r="L1059" t="str">
            <v>Solar</v>
          </cell>
          <cell r="M1059" t="str">
            <v>Dx</v>
          </cell>
          <cell r="N1059" t="str">
            <v>Hamilton</v>
          </cell>
          <cell r="O1059" t="str">
            <v>Hamilton</v>
          </cell>
          <cell r="P1059" t="str">
            <v>Southwest</v>
          </cell>
        </row>
        <row r="1060">
          <cell r="C1060" t="str">
            <v>West Village Suites</v>
          </cell>
          <cell r="D1060" t="str">
            <v>Solar Finance Inc.</v>
          </cell>
          <cell r="E1060" t="str">
            <v>CO</v>
          </cell>
          <cell r="F1060">
            <v>41029</v>
          </cell>
          <cell r="G1060">
            <v>40767</v>
          </cell>
          <cell r="H1060">
            <v>48071</v>
          </cell>
          <cell r="I1060" t="str">
            <v>19 years, 11 months, 30 days</v>
          </cell>
          <cell r="J1060" t="str">
            <v>Renewables</v>
          </cell>
          <cell r="K1060" t="str">
            <v>Solar (Rooftop)</v>
          </cell>
          <cell r="L1060" t="str">
            <v>Solar</v>
          </cell>
          <cell r="M1060" t="str">
            <v>Dx</v>
          </cell>
          <cell r="N1060" t="str">
            <v>Hamilton</v>
          </cell>
          <cell r="O1060" t="str">
            <v>Hamilton</v>
          </cell>
          <cell r="P1060" t="str">
            <v>Southwest</v>
          </cell>
        </row>
        <row r="1061">
          <cell r="C1061" t="str">
            <v>Pyung Hwa Food</v>
          </cell>
          <cell r="D1061" t="str">
            <v>Solartek Inc.</v>
          </cell>
          <cell r="E1061" t="str">
            <v>CO</v>
          </cell>
          <cell r="F1061">
            <v>41834</v>
          </cell>
          <cell r="G1061">
            <v>41243</v>
          </cell>
          <cell r="H1061">
            <v>48547</v>
          </cell>
          <cell r="I1061" t="str">
            <v>19 years, 11 months, 30 days</v>
          </cell>
          <cell r="J1061" t="str">
            <v>Renewables</v>
          </cell>
          <cell r="K1061" t="str">
            <v>Solar (Rooftop)</v>
          </cell>
          <cell r="L1061" t="str">
            <v>Solar</v>
          </cell>
          <cell r="M1061" t="str">
            <v>Dx</v>
          </cell>
          <cell r="N1061" t="str">
            <v>Toronto</v>
          </cell>
          <cell r="O1061" t="str">
            <v>Toronto</v>
          </cell>
          <cell r="P1061" t="str">
            <v>Toronto</v>
          </cell>
        </row>
        <row r="1062">
          <cell r="C1062" t="str">
            <v>#674 656 Erb Street West, Waterloo</v>
          </cell>
          <cell r="D1062" t="str">
            <v>PSI Solar Finance 1 Limited Partnership</v>
          </cell>
          <cell r="E1062" t="str">
            <v>CO</v>
          </cell>
          <cell r="F1062">
            <v>41897</v>
          </cell>
          <cell r="G1062">
            <v>41498</v>
          </cell>
          <cell r="H1062">
            <v>48802</v>
          </cell>
          <cell r="I1062" t="str">
            <v>19 years, 11 months, 30 days</v>
          </cell>
          <cell r="J1062" t="str">
            <v>Renewables</v>
          </cell>
          <cell r="K1062" t="str">
            <v>Solar (Rooftop)</v>
          </cell>
          <cell r="L1062" t="str">
            <v>Solar</v>
          </cell>
          <cell r="M1062" t="str">
            <v>Dx</v>
          </cell>
          <cell r="N1062" t="str">
            <v>Waterloo</v>
          </cell>
          <cell r="O1062" t="str">
            <v>Waterloo</v>
          </cell>
          <cell r="P1062" t="str">
            <v>Southwest</v>
          </cell>
        </row>
        <row r="1063">
          <cell r="C1063" t="str">
            <v>7345 East Danbro Crescent</v>
          </cell>
          <cell r="D1063" t="str">
            <v>Stellarbridge Management Inc.</v>
          </cell>
          <cell r="E1063" t="str">
            <v>CO</v>
          </cell>
          <cell r="F1063">
            <v>41790</v>
          </cell>
          <cell r="G1063">
            <v>41765</v>
          </cell>
          <cell r="H1063">
            <v>49069</v>
          </cell>
          <cell r="I1063" t="str">
            <v>19 years, 11 months, 29 days</v>
          </cell>
          <cell r="J1063" t="str">
            <v>Renewables</v>
          </cell>
          <cell r="K1063" t="str">
            <v>Solar (Rooftop)</v>
          </cell>
          <cell r="L1063" t="str">
            <v>Solar</v>
          </cell>
          <cell r="M1063" t="str">
            <v>Dx</v>
          </cell>
          <cell r="N1063" t="str">
            <v>Mississauga</v>
          </cell>
          <cell r="O1063" t="str">
            <v>Peel</v>
          </cell>
          <cell r="P1063" t="str">
            <v>Southwest</v>
          </cell>
        </row>
        <row r="1064">
          <cell r="C1064" t="str">
            <v>P08-5030 Maingate</v>
          </cell>
          <cell r="D1064" t="str">
            <v>WAG REAL ESTATE INVESTMENTS INC.</v>
          </cell>
          <cell r="E1064" t="str">
            <v>CO</v>
          </cell>
          <cell r="F1064">
            <v>41029</v>
          </cell>
          <cell r="G1064">
            <v>41186</v>
          </cell>
          <cell r="H1064">
            <v>48490</v>
          </cell>
          <cell r="I1064" t="str">
            <v>19 years, 11 months, 29 days</v>
          </cell>
          <cell r="J1064" t="str">
            <v>Renewables</v>
          </cell>
          <cell r="K1064" t="str">
            <v>Solar (Rooftop)</v>
          </cell>
          <cell r="L1064" t="str">
            <v>Solar</v>
          </cell>
          <cell r="M1064" t="str">
            <v>Dx</v>
          </cell>
          <cell r="N1064" t="str">
            <v>Mississauga</v>
          </cell>
          <cell r="O1064" t="str">
            <v>Peel</v>
          </cell>
          <cell r="P1064" t="str">
            <v>Toronto</v>
          </cell>
        </row>
        <row r="1065">
          <cell r="C1065" t="str">
            <v>P11-9 Allaura</v>
          </cell>
          <cell r="D1065" t="str">
            <v>Tricorp Holdings Inc.</v>
          </cell>
          <cell r="E1065" t="str">
            <v>CO</v>
          </cell>
          <cell r="F1065">
            <v>41813</v>
          </cell>
          <cell r="G1065">
            <v>41992</v>
          </cell>
          <cell r="H1065">
            <v>49296</v>
          </cell>
          <cell r="I1065" t="str">
            <v>19 years, 11 months, 29 days</v>
          </cell>
          <cell r="J1065" t="str">
            <v>Renewables</v>
          </cell>
          <cell r="K1065" t="str">
            <v>Solar (Rooftop)</v>
          </cell>
          <cell r="L1065" t="str">
            <v>Solar</v>
          </cell>
          <cell r="M1065" t="str">
            <v>Dx</v>
          </cell>
          <cell r="N1065" t="str">
            <v>Aurora</v>
          </cell>
          <cell r="O1065" t="str">
            <v>York</v>
          </cell>
          <cell r="P1065" t="str">
            <v>Essa</v>
          </cell>
        </row>
        <row r="1066">
          <cell r="C1066" t="str">
            <v>Pehlemann Solar</v>
          </cell>
          <cell r="D1066" t="str">
            <v>Mark Pehlemann</v>
          </cell>
          <cell r="E1066" t="str">
            <v>CO</v>
          </cell>
          <cell r="F1066">
            <v>41813</v>
          </cell>
          <cell r="G1066">
            <v>41802</v>
          </cell>
          <cell r="H1066">
            <v>49106</v>
          </cell>
          <cell r="I1066" t="str">
            <v>19 years, 11 months, 30 days</v>
          </cell>
          <cell r="J1066" t="str">
            <v>Renewables</v>
          </cell>
          <cell r="K1066" t="str">
            <v>Solar (Rooftop)</v>
          </cell>
          <cell r="L1066" t="str">
            <v>Solar</v>
          </cell>
          <cell r="M1066" t="str">
            <v>Dx</v>
          </cell>
          <cell r="N1066" t="str">
            <v>Port Perry</v>
          </cell>
          <cell r="O1066" t="str">
            <v>Simcoe</v>
          </cell>
          <cell r="P1066" t="str">
            <v>Toronto</v>
          </cell>
        </row>
        <row r="1067">
          <cell r="C1067" t="str">
            <v>The Barn</v>
          </cell>
          <cell r="D1067" t="str">
            <v>Silent Solar Tec Inc.</v>
          </cell>
          <cell r="E1067" t="str">
            <v>CO</v>
          </cell>
          <cell r="F1067">
            <v>41476</v>
          </cell>
          <cell r="G1067">
            <v>40814</v>
          </cell>
          <cell r="H1067">
            <v>48118</v>
          </cell>
          <cell r="I1067" t="str">
            <v>19 years, 11 months, 30 days</v>
          </cell>
          <cell r="J1067" t="str">
            <v>Renewables</v>
          </cell>
          <cell r="K1067" t="str">
            <v>Solar (Rooftop)</v>
          </cell>
          <cell r="L1067" t="str">
            <v>Solar</v>
          </cell>
          <cell r="M1067" t="str">
            <v>Dx</v>
          </cell>
          <cell r="N1067" t="str">
            <v>Maidstone</v>
          </cell>
          <cell r="O1067" t="str">
            <v>Essex</v>
          </cell>
          <cell r="P1067" t="str">
            <v>West</v>
          </cell>
        </row>
        <row r="1068">
          <cell r="C1068" t="str">
            <v>(C24) Real Canadian Superstore Talbot Street East</v>
          </cell>
          <cell r="D1068" t="str">
            <v>Firelight Solar LP</v>
          </cell>
          <cell r="E1068" t="str">
            <v>CO</v>
          </cell>
          <cell r="F1068">
            <v>41720</v>
          </cell>
          <cell r="G1068">
            <v>41537</v>
          </cell>
          <cell r="H1068">
            <v>48841</v>
          </cell>
          <cell r="I1068" t="str">
            <v>19 years, 11 months, 30 days</v>
          </cell>
          <cell r="J1068" t="str">
            <v>Renewables</v>
          </cell>
          <cell r="K1068" t="str">
            <v>Solar (Rooftop)</v>
          </cell>
          <cell r="L1068" t="str">
            <v>Solar</v>
          </cell>
          <cell r="M1068" t="str">
            <v>Dx</v>
          </cell>
          <cell r="N1068" t="str">
            <v>Leamington</v>
          </cell>
          <cell r="O1068" t="str">
            <v>Essex</v>
          </cell>
          <cell r="P1068" t="str">
            <v>West</v>
          </cell>
        </row>
        <row r="1069">
          <cell r="C1069" t="str">
            <v>545 Speedvale Avenue</v>
          </cell>
          <cell r="D1069" t="str">
            <v>1258601 Ontario Inc.</v>
          </cell>
          <cell r="E1069" t="str">
            <v>CO</v>
          </cell>
          <cell r="F1069">
            <v>41489</v>
          </cell>
          <cell r="G1069">
            <v>41023</v>
          </cell>
          <cell r="H1069">
            <v>48327</v>
          </cell>
          <cell r="I1069" t="str">
            <v>19 years, 11 months, 30 days</v>
          </cell>
          <cell r="J1069" t="str">
            <v>Renewables</v>
          </cell>
          <cell r="K1069" t="str">
            <v>Solar (Rooftop)</v>
          </cell>
          <cell r="L1069" t="str">
            <v>Solar</v>
          </cell>
          <cell r="M1069" t="str">
            <v>Dx</v>
          </cell>
          <cell r="N1069" t="str">
            <v>Guelph</v>
          </cell>
          <cell r="O1069" t="str">
            <v>Wellington</v>
          </cell>
          <cell r="P1069" t="str">
            <v>Southwest</v>
          </cell>
        </row>
        <row r="1070">
          <cell r="C1070" t="str">
            <v>B01-144 Mohawk</v>
          </cell>
          <cell r="D1070" t="str">
            <v>Firelight Solar LP</v>
          </cell>
          <cell r="E1070" t="str">
            <v>CO</v>
          </cell>
          <cell r="F1070">
            <v>41721</v>
          </cell>
          <cell r="G1070">
            <v>41061</v>
          </cell>
          <cell r="H1070">
            <v>48365</v>
          </cell>
          <cell r="I1070" t="str">
            <v>19 years, 11 months, 30 days</v>
          </cell>
          <cell r="J1070" t="str">
            <v>Renewables</v>
          </cell>
          <cell r="K1070" t="str">
            <v>Solar (Rooftop)</v>
          </cell>
          <cell r="L1070" t="str">
            <v>Solar</v>
          </cell>
          <cell r="M1070" t="str">
            <v>Dx</v>
          </cell>
          <cell r="N1070" t="str">
            <v>Brantford</v>
          </cell>
          <cell r="O1070" t="str">
            <v>Brant</v>
          </cell>
          <cell r="P1070" t="str">
            <v>Southwest</v>
          </cell>
        </row>
        <row r="1071">
          <cell r="C1071" t="str">
            <v>1884 Sheppard Ave W</v>
          </cell>
          <cell r="D1071" t="str">
            <v>Toronto Community Housing Corporation</v>
          </cell>
          <cell r="E1071" t="str">
            <v>CO</v>
          </cell>
          <cell r="F1071">
            <v>41029</v>
          </cell>
          <cell r="G1071">
            <v>41001</v>
          </cell>
          <cell r="H1071">
            <v>48305</v>
          </cell>
          <cell r="I1071" t="str">
            <v>19 years, 11 months, 30 days</v>
          </cell>
          <cell r="J1071" t="str">
            <v>Renewables</v>
          </cell>
          <cell r="K1071" t="str">
            <v>Solar (Rooftop)</v>
          </cell>
          <cell r="L1071" t="str">
            <v>Solar</v>
          </cell>
          <cell r="M1071" t="str">
            <v>Dx</v>
          </cell>
          <cell r="N1071" t="str">
            <v>Toronto</v>
          </cell>
          <cell r="O1071" t="str">
            <v>Toronto</v>
          </cell>
          <cell r="P1071" t="str">
            <v>Toronto</v>
          </cell>
        </row>
        <row r="1072">
          <cell r="C1072" t="str">
            <v>S11-165 Summerlea</v>
          </cell>
          <cell r="D1072" t="str">
            <v>LH Solar Inc.</v>
          </cell>
          <cell r="E1072" t="str">
            <v>CO</v>
          </cell>
          <cell r="F1072">
            <v>41800</v>
          </cell>
          <cell r="G1072">
            <v>42025</v>
          </cell>
          <cell r="H1072">
            <v>49104</v>
          </cell>
          <cell r="I1072" t="str">
            <v>19 years, 4 months, 19 days</v>
          </cell>
          <cell r="J1072" t="str">
            <v>Renewables</v>
          </cell>
          <cell r="K1072" t="str">
            <v>Solar (Rooftop)</v>
          </cell>
          <cell r="L1072" t="str">
            <v>Solar</v>
          </cell>
          <cell r="M1072" t="str">
            <v>Dx</v>
          </cell>
          <cell r="N1072" t="str">
            <v>Brampton</v>
          </cell>
          <cell r="O1072" t="str">
            <v>Peel</v>
          </cell>
          <cell r="P1072" t="str">
            <v>Toronto</v>
          </cell>
        </row>
        <row r="1073">
          <cell r="C1073" t="str">
            <v>Horizon Utilities - Stoney Creek Location</v>
          </cell>
          <cell r="D1073" t="str">
            <v>Solar Sunbelt General Partnership</v>
          </cell>
          <cell r="E1073" t="str">
            <v>CO</v>
          </cell>
          <cell r="F1073">
            <v>41797</v>
          </cell>
          <cell r="G1073">
            <v>41150</v>
          </cell>
          <cell r="H1073">
            <v>48454</v>
          </cell>
          <cell r="I1073" t="str">
            <v>19 years, 11 months, 30 days</v>
          </cell>
          <cell r="J1073" t="str">
            <v>Renewables</v>
          </cell>
          <cell r="K1073" t="str">
            <v>Solar (Rooftop)</v>
          </cell>
          <cell r="L1073" t="str">
            <v>Solar</v>
          </cell>
          <cell r="M1073" t="str">
            <v>Dx</v>
          </cell>
          <cell r="N1073" t="str">
            <v>Hamilton</v>
          </cell>
          <cell r="O1073" t="str">
            <v>Hamilton</v>
          </cell>
          <cell r="P1073" t="str">
            <v>Niagara</v>
          </cell>
        </row>
        <row r="1074">
          <cell r="C1074" t="str">
            <v>6740 Davand</v>
          </cell>
          <cell r="D1074" t="str">
            <v>Solaire Kapuskasing Solar Inc.</v>
          </cell>
          <cell r="E1074" t="str">
            <v>CO</v>
          </cell>
          <cell r="F1074">
            <v>41827</v>
          </cell>
          <cell r="G1074">
            <v>41992</v>
          </cell>
          <cell r="H1074">
            <v>49296</v>
          </cell>
          <cell r="I1074" t="str">
            <v>19 years, 11 months, 29 days</v>
          </cell>
          <cell r="J1074" t="str">
            <v>Renewables</v>
          </cell>
          <cell r="K1074" t="str">
            <v>Solar (Rooftop)</v>
          </cell>
          <cell r="L1074" t="str">
            <v>Solar</v>
          </cell>
          <cell r="M1074" t="str">
            <v>Dx</v>
          </cell>
          <cell r="N1074" t="str">
            <v>Mississauga</v>
          </cell>
          <cell r="O1074" t="str">
            <v>Peel</v>
          </cell>
          <cell r="P1074" t="str">
            <v>Toronto</v>
          </cell>
        </row>
        <row r="1075">
          <cell r="C1075" t="str">
            <v>830 Industrial Ave</v>
          </cell>
          <cell r="D1075" t="str">
            <v>PSI Solar Finance 1 Limited Partnership</v>
          </cell>
          <cell r="E1075" t="str">
            <v>CO</v>
          </cell>
          <cell r="F1075">
            <v>41364</v>
          </cell>
          <cell r="G1075">
            <v>41535</v>
          </cell>
          <cell r="H1075">
            <v>48668</v>
          </cell>
          <cell r="I1075" t="str">
            <v>19 years, 6 months, 12 days</v>
          </cell>
          <cell r="J1075" t="str">
            <v>Renewables</v>
          </cell>
          <cell r="K1075" t="str">
            <v>Solar (Rooftop)</v>
          </cell>
          <cell r="L1075" t="str">
            <v>Solar</v>
          </cell>
          <cell r="M1075" t="str">
            <v>Dx</v>
          </cell>
          <cell r="N1075" t="str">
            <v>Ottawa</v>
          </cell>
          <cell r="O1075" t="str">
            <v>Ottawa</v>
          </cell>
          <cell r="P1075" t="str">
            <v>Ottawa</v>
          </cell>
        </row>
        <row r="1076">
          <cell r="C1076" t="str">
            <v>Kinghaven Solarworks</v>
          </cell>
          <cell r="D1076" t="str">
            <v>Kinghaven Farms Limited</v>
          </cell>
          <cell r="E1076" t="str">
            <v>CO</v>
          </cell>
          <cell r="F1076">
            <v>41804</v>
          </cell>
          <cell r="G1076">
            <v>41261</v>
          </cell>
          <cell r="H1076">
            <v>48565</v>
          </cell>
          <cell r="I1076" t="str">
            <v>19 years, 11 months, 29 days</v>
          </cell>
          <cell r="J1076" t="str">
            <v>Renewables</v>
          </cell>
          <cell r="K1076" t="str">
            <v>Solar (Rooftop)</v>
          </cell>
          <cell r="L1076" t="str">
            <v>Solar</v>
          </cell>
          <cell r="M1076" t="str">
            <v>Dx</v>
          </cell>
          <cell r="N1076" t="str">
            <v>King City</v>
          </cell>
          <cell r="O1076" t="str">
            <v>York</v>
          </cell>
          <cell r="P1076" t="str">
            <v>Toronto</v>
          </cell>
        </row>
        <row r="1077">
          <cell r="C1077" t="str">
            <v>Liskeard 4</v>
          </cell>
          <cell r="D1077" t="str">
            <v>Axium Infinity Solar LP</v>
          </cell>
          <cell r="E1077" t="str">
            <v>CO</v>
          </cell>
          <cell r="F1077">
            <v>41887</v>
          </cell>
          <cell r="G1077">
            <v>41837</v>
          </cell>
          <cell r="H1077">
            <v>49141</v>
          </cell>
          <cell r="I1077" t="str">
            <v>19 years, 11 months, 29 days</v>
          </cell>
          <cell r="J1077" t="str">
            <v>Renewables</v>
          </cell>
          <cell r="K1077" t="str">
            <v>Solar (Ground Mounted)</v>
          </cell>
          <cell r="L1077" t="str">
            <v>Solar</v>
          </cell>
          <cell r="M1077" t="str">
            <v>Tx</v>
          </cell>
          <cell r="N1077" t="str">
            <v>New Liskeard</v>
          </cell>
          <cell r="O1077" t="str">
            <v>Timiskaming</v>
          </cell>
          <cell r="P1077" t="str">
            <v>Northeast</v>
          </cell>
        </row>
        <row r="1078">
          <cell r="C1078" t="str">
            <v>SunPrinting</v>
          </cell>
          <cell r="D1078" t="str">
            <v>Solartek Inc.</v>
          </cell>
          <cell r="E1078" t="str">
            <v>CO</v>
          </cell>
          <cell r="F1078">
            <v>41834</v>
          </cell>
          <cell r="G1078">
            <v>42013</v>
          </cell>
          <cell r="H1078">
            <v>49138</v>
          </cell>
          <cell r="I1078" t="str">
            <v>19 years, 6 months, 4 days</v>
          </cell>
          <cell r="J1078" t="str">
            <v>Renewables</v>
          </cell>
          <cell r="K1078" t="str">
            <v>Solar (Rooftop)</v>
          </cell>
          <cell r="L1078" t="str">
            <v>Solar</v>
          </cell>
          <cell r="M1078" t="str">
            <v>Dx</v>
          </cell>
          <cell r="N1078" t="str">
            <v>Toronto</v>
          </cell>
          <cell r="O1078" t="str">
            <v>Toronto</v>
          </cell>
          <cell r="P1078" t="str">
            <v>Toronto</v>
          </cell>
        </row>
        <row r="1079">
          <cell r="C1079" t="str">
            <v>(C81) Real Canadian Superstore Queensway East</v>
          </cell>
          <cell r="D1079" t="str">
            <v>Firelight Solar LP</v>
          </cell>
          <cell r="E1079" t="str">
            <v>CO</v>
          </cell>
          <cell r="F1079">
            <v>41805</v>
          </cell>
          <cell r="G1079">
            <v>41880</v>
          </cell>
          <cell r="H1079">
            <v>49184</v>
          </cell>
          <cell r="I1079" t="str">
            <v>19 years, 11 months, 30 days</v>
          </cell>
          <cell r="J1079" t="str">
            <v>Renewables</v>
          </cell>
          <cell r="K1079" t="str">
            <v>Solar (Rooftop)</v>
          </cell>
          <cell r="L1079" t="str">
            <v>Solar</v>
          </cell>
          <cell r="M1079" t="str">
            <v>Dx</v>
          </cell>
          <cell r="N1079" t="str">
            <v>Simcoe</v>
          </cell>
          <cell r="O1079" t="str">
            <v>Norfolk</v>
          </cell>
          <cell r="P1079" t="str">
            <v>Southwest</v>
          </cell>
        </row>
        <row r="1080">
          <cell r="C1080" t="str">
            <v>Skylar Van Osch Farm</v>
          </cell>
          <cell r="D1080" t="str">
            <v>SE 2011 LP</v>
          </cell>
          <cell r="E1080" t="str">
            <v>CO</v>
          </cell>
          <cell r="F1080">
            <v>41827</v>
          </cell>
          <cell r="G1080">
            <v>41148</v>
          </cell>
          <cell r="H1080">
            <v>48452</v>
          </cell>
          <cell r="I1080" t="str">
            <v>19 years, 11 months, 30 days</v>
          </cell>
          <cell r="J1080" t="str">
            <v>Renewables</v>
          </cell>
          <cell r="K1080" t="str">
            <v>Solar (Rooftop)</v>
          </cell>
          <cell r="L1080" t="str">
            <v>Solar</v>
          </cell>
          <cell r="M1080" t="str">
            <v>Dx</v>
          </cell>
          <cell r="N1080" t="str">
            <v>Crediton</v>
          </cell>
          <cell r="O1080" t="str">
            <v>Huron</v>
          </cell>
          <cell r="P1080" t="str">
            <v>Southwest</v>
          </cell>
        </row>
        <row r="1081">
          <cell r="C1081" t="str">
            <v>Menkes-350 Britannia</v>
          </cell>
          <cell r="D1081" t="str">
            <v>Castleberry Investments Limited</v>
          </cell>
          <cell r="E1081" t="str">
            <v>CO</v>
          </cell>
          <cell r="F1081">
            <v>41797</v>
          </cell>
          <cell r="G1081">
            <v>41290</v>
          </cell>
          <cell r="H1081">
            <v>48594</v>
          </cell>
          <cell r="I1081" t="str">
            <v>19 years, 11 months, 30 days</v>
          </cell>
          <cell r="J1081" t="str">
            <v>Renewables</v>
          </cell>
          <cell r="K1081" t="str">
            <v>Solar (Rooftop)</v>
          </cell>
          <cell r="L1081" t="str">
            <v>Solar</v>
          </cell>
          <cell r="M1081" t="str">
            <v>Dx</v>
          </cell>
          <cell r="N1081" t="str">
            <v>Mississauga</v>
          </cell>
          <cell r="O1081" t="str">
            <v>Peel</v>
          </cell>
          <cell r="P1081" t="str">
            <v>Toronto</v>
          </cell>
        </row>
        <row r="1082">
          <cell r="C1082" t="str">
            <v>MBrisson Garage</v>
          </cell>
          <cell r="D1082" t="str">
            <v>1585761 Ontario Inc.</v>
          </cell>
          <cell r="E1082" t="str">
            <v>CO</v>
          </cell>
          <cell r="F1082">
            <v>41029</v>
          </cell>
          <cell r="G1082">
            <v>40760</v>
          </cell>
          <cell r="H1082">
            <v>48064</v>
          </cell>
          <cell r="I1082" t="str">
            <v>19 years, 11 months, 30 days</v>
          </cell>
          <cell r="J1082" t="str">
            <v>Renewables</v>
          </cell>
          <cell r="K1082" t="str">
            <v>Solar (Rooftop)</v>
          </cell>
          <cell r="L1082" t="str">
            <v>Solar</v>
          </cell>
          <cell r="M1082" t="str">
            <v>Dx</v>
          </cell>
          <cell r="N1082" t="str">
            <v>Casselman</v>
          </cell>
          <cell r="O1082" t="str">
            <v>Prescott and Russell</v>
          </cell>
          <cell r="P1082" t="str">
            <v>East</v>
          </cell>
        </row>
        <row r="1083">
          <cell r="C1083" t="str">
            <v>ROW - 9 Westgate Crt</v>
          </cell>
          <cell r="D1083" t="str">
            <v>The Regional Municipality of Waterloo</v>
          </cell>
          <cell r="E1083" t="str">
            <v>CO</v>
          </cell>
          <cell r="F1083">
            <v>41461</v>
          </cell>
          <cell r="G1083">
            <v>41451</v>
          </cell>
          <cell r="H1083">
            <v>48755</v>
          </cell>
          <cell r="I1083" t="str">
            <v>19 years, 11 months, 30 days</v>
          </cell>
          <cell r="J1083" t="str">
            <v>Renewables</v>
          </cell>
          <cell r="K1083" t="str">
            <v>Solar (Rooftop)</v>
          </cell>
          <cell r="L1083" t="str">
            <v>Solar</v>
          </cell>
          <cell r="M1083" t="str">
            <v>Dx</v>
          </cell>
          <cell r="N1083" t="str">
            <v>Cambridge</v>
          </cell>
          <cell r="O1083" t="str">
            <v>Waterloo</v>
          </cell>
          <cell r="P1083" t="str">
            <v>Southwest</v>
          </cell>
        </row>
        <row r="1084">
          <cell r="C1084" t="str">
            <v>SOLAR CCONNECTIONS</v>
          </cell>
          <cell r="D1084" t="str">
            <v>WC Enerco Inc.</v>
          </cell>
          <cell r="E1084" t="str">
            <v>CO</v>
          </cell>
          <cell r="F1084">
            <v>41807</v>
          </cell>
          <cell r="G1084">
            <v>41983</v>
          </cell>
          <cell r="H1084">
            <v>49111</v>
          </cell>
          <cell r="I1084" t="str">
            <v>19 years, 6 months, 6 days</v>
          </cell>
          <cell r="J1084" t="str">
            <v>Renewables</v>
          </cell>
          <cell r="K1084" t="str">
            <v>Solar (Rooftop)</v>
          </cell>
          <cell r="L1084" t="str">
            <v>Solar</v>
          </cell>
          <cell r="M1084" t="str">
            <v>Dx</v>
          </cell>
          <cell r="N1084" t="str">
            <v>Barrie</v>
          </cell>
          <cell r="O1084" t="str">
            <v>Simcoe</v>
          </cell>
          <cell r="P1084" t="str">
            <v>Essa</v>
          </cell>
        </row>
        <row r="1085">
          <cell r="C1085" t="str">
            <v>Terra Niagara # 3</v>
          </cell>
          <cell r="D1085" t="str">
            <v>Plan B Energy Terra Niagara 3 LP</v>
          </cell>
          <cell r="E1085" t="str">
            <v>CO</v>
          </cell>
          <cell r="F1085">
            <v>41841</v>
          </cell>
          <cell r="G1085">
            <v>41995</v>
          </cell>
          <cell r="H1085">
            <v>49145</v>
          </cell>
          <cell r="I1085" t="str">
            <v>19 years, 6 months, 28 days</v>
          </cell>
          <cell r="J1085" t="str">
            <v>Renewables</v>
          </cell>
          <cell r="K1085" t="str">
            <v>Solar (Rooftop)</v>
          </cell>
          <cell r="L1085" t="str">
            <v>Solar</v>
          </cell>
          <cell r="M1085" t="str">
            <v>Dx</v>
          </cell>
          <cell r="N1085" t="str">
            <v>St. Catharines</v>
          </cell>
          <cell r="O1085" t="str">
            <v>Niagara</v>
          </cell>
          <cell r="P1085" t="str">
            <v>Niagara</v>
          </cell>
        </row>
        <row r="1086">
          <cell r="C1086" t="str">
            <v>560 Denison Street</v>
          </cell>
          <cell r="D1086" t="str">
            <v>GBG Solar 2010 Partnership</v>
          </cell>
          <cell r="E1086" t="str">
            <v>CO</v>
          </cell>
          <cell r="F1086">
            <v>41877</v>
          </cell>
          <cell r="G1086">
            <v>41501</v>
          </cell>
          <cell r="H1086">
            <v>48805</v>
          </cell>
          <cell r="I1086" t="str">
            <v>19 years, 11 months, 30 days</v>
          </cell>
          <cell r="J1086" t="str">
            <v>Renewables</v>
          </cell>
          <cell r="K1086" t="str">
            <v>Solar (Rooftop)</v>
          </cell>
          <cell r="L1086" t="str">
            <v>Solar</v>
          </cell>
          <cell r="M1086" t="str">
            <v>Dx</v>
          </cell>
          <cell r="N1086" t="str">
            <v>Markham</v>
          </cell>
          <cell r="O1086" t="str">
            <v>York</v>
          </cell>
          <cell r="P1086" t="str">
            <v>Toronto</v>
          </cell>
        </row>
        <row r="1087">
          <cell r="C1087" t="str">
            <v>Joyce Solar Farm (100KW)</v>
          </cell>
          <cell r="D1087" t="str">
            <v>Alectra Utilities Corporation</v>
          </cell>
          <cell r="E1087" t="str">
            <v>CO</v>
          </cell>
          <cell r="F1087">
            <v>41029</v>
          </cell>
          <cell r="G1087">
            <v>41164</v>
          </cell>
          <cell r="H1087">
            <v>48468</v>
          </cell>
          <cell r="I1087" t="str">
            <v>19 years, 11 months, 30 days</v>
          </cell>
          <cell r="J1087" t="str">
            <v>Renewables</v>
          </cell>
          <cell r="K1087" t="str">
            <v>Solar (Rooftop)</v>
          </cell>
          <cell r="L1087" t="str">
            <v>Solar</v>
          </cell>
          <cell r="M1087" t="str">
            <v>Dx</v>
          </cell>
          <cell r="N1087" t="str">
            <v>Selby</v>
          </cell>
          <cell r="O1087" t="str">
            <v>Lennox and Addington</v>
          </cell>
          <cell r="P1087" t="str">
            <v>East</v>
          </cell>
        </row>
        <row r="1088">
          <cell r="C1088" t="str">
            <v>Saptashva Solar, S.A - FIT - Gulu 1481</v>
          </cell>
          <cell r="D1088" t="str">
            <v>1000851861 ONTARIO INC.</v>
          </cell>
          <cell r="E1088" t="str">
            <v>CO</v>
          </cell>
          <cell r="F1088">
            <v>41797</v>
          </cell>
          <cell r="G1088">
            <v>42024</v>
          </cell>
          <cell r="H1088">
            <v>49328</v>
          </cell>
          <cell r="I1088" t="str">
            <v>19 years, 11 months, 30 days</v>
          </cell>
          <cell r="J1088" t="str">
            <v>Renewables</v>
          </cell>
          <cell r="K1088" t="str">
            <v>Solar (Rooftop)</v>
          </cell>
          <cell r="L1088" t="str">
            <v>Solar</v>
          </cell>
          <cell r="M1088" t="str">
            <v>Dx</v>
          </cell>
          <cell r="N1088" t="str">
            <v>Toronto</v>
          </cell>
          <cell r="O1088" t="str">
            <v>Toronto</v>
          </cell>
          <cell r="P1088" t="str">
            <v>Toronto</v>
          </cell>
        </row>
        <row r="1089">
          <cell r="C1089" t="str">
            <v>Atlantic Packaging - 350 Midwest Ave</v>
          </cell>
          <cell r="D1089" t="str">
            <v>Atlantic Packaging Products Ltd.</v>
          </cell>
          <cell r="E1089" t="str">
            <v>CO</v>
          </cell>
          <cell r="F1089">
            <v>41029</v>
          </cell>
          <cell r="G1089">
            <v>40819</v>
          </cell>
          <cell r="H1089">
            <v>48123</v>
          </cell>
          <cell r="I1089" t="str">
            <v>19 years, 11 months, 29 days</v>
          </cell>
          <cell r="J1089" t="str">
            <v>Renewables</v>
          </cell>
          <cell r="K1089" t="str">
            <v>Solar (Rooftop)</v>
          </cell>
          <cell r="L1089" t="str">
            <v>Solar</v>
          </cell>
          <cell r="M1089" t="str">
            <v>Dx</v>
          </cell>
          <cell r="N1089" t="str">
            <v>Toronto</v>
          </cell>
          <cell r="O1089" t="str">
            <v>Toronto</v>
          </cell>
          <cell r="P1089" t="str">
            <v>Toronto</v>
          </cell>
        </row>
        <row r="1090">
          <cell r="C1090" t="str">
            <v>First Line 100KW</v>
          </cell>
          <cell r="D1090" t="str">
            <v>Dan Matten</v>
          </cell>
          <cell r="E1090" t="str">
            <v>CO</v>
          </cell>
          <cell r="F1090">
            <v>41841</v>
          </cell>
          <cell r="G1090">
            <v>42006</v>
          </cell>
          <cell r="H1090">
            <v>49310</v>
          </cell>
          <cell r="I1090" t="str">
            <v>19 years, 11 months, 30 days</v>
          </cell>
          <cell r="J1090" t="str">
            <v>Renewables</v>
          </cell>
          <cell r="K1090" t="str">
            <v>Solar (Rooftop)</v>
          </cell>
          <cell r="L1090" t="str">
            <v>Solar</v>
          </cell>
          <cell r="M1090" t="str">
            <v>Dx</v>
          </cell>
          <cell r="N1090" t="str">
            <v>York</v>
          </cell>
          <cell r="O1090" t="str">
            <v>Haldimand</v>
          </cell>
          <cell r="P1090" t="str">
            <v>Southwest</v>
          </cell>
        </row>
        <row r="1091">
          <cell r="C1091" t="str">
            <v>Welland Ridge Road</v>
          </cell>
          <cell r="D1091" t="str">
            <v>SunE Welland Ridge LP</v>
          </cell>
          <cell r="E1091" t="str">
            <v>CO</v>
          </cell>
          <cell r="F1091">
            <v>41387</v>
          </cell>
          <cell r="G1091">
            <v>41906</v>
          </cell>
          <cell r="H1091">
            <v>49210</v>
          </cell>
          <cell r="I1091" t="str">
            <v>19 years, 11 months, 30 days</v>
          </cell>
          <cell r="J1091" t="str">
            <v>Renewables</v>
          </cell>
          <cell r="K1091" t="str">
            <v>Solar (Ground Mounted)</v>
          </cell>
          <cell r="L1091" t="str">
            <v>Solar</v>
          </cell>
          <cell r="M1091" t="str">
            <v>Dx</v>
          </cell>
          <cell r="N1091" t="str">
            <v>Welland</v>
          </cell>
          <cell r="O1091" t="str">
            <v>Niagara</v>
          </cell>
          <cell r="P1091" t="str">
            <v>Niagara</v>
          </cell>
        </row>
        <row r="1092">
          <cell r="C1092" t="str">
            <v>CEPEO Elementary Charlotte Lemieux</v>
          </cell>
          <cell r="D1092" t="str">
            <v>Ameresco CEPEO Solar Inc.</v>
          </cell>
          <cell r="E1092" t="str">
            <v>CO</v>
          </cell>
          <cell r="F1092">
            <v>41029</v>
          </cell>
          <cell r="G1092">
            <v>41208</v>
          </cell>
          <cell r="H1092">
            <v>48333</v>
          </cell>
          <cell r="I1092" t="str">
            <v>19 years, 6 months, 3 days</v>
          </cell>
          <cell r="J1092" t="str">
            <v>Renewables</v>
          </cell>
          <cell r="K1092" t="str">
            <v>Solar (Rooftop)</v>
          </cell>
          <cell r="L1092" t="str">
            <v>Solar</v>
          </cell>
          <cell r="M1092" t="str">
            <v>Dx</v>
          </cell>
          <cell r="N1092" t="str">
            <v>Ottawa</v>
          </cell>
          <cell r="O1092" t="str">
            <v>Ottawa</v>
          </cell>
          <cell r="P1092" t="str">
            <v>Ottawa</v>
          </cell>
        </row>
        <row r="1093">
          <cell r="C1093" t="str">
            <v>E&amp;M Copper</v>
          </cell>
          <cell r="D1093" t="str">
            <v>SE 2011 LP</v>
          </cell>
          <cell r="E1093" t="str">
            <v>CO</v>
          </cell>
          <cell r="F1093">
            <v>41822</v>
          </cell>
          <cell r="G1093">
            <v>41240</v>
          </cell>
          <cell r="H1093">
            <v>48544</v>
          </cell>
          <cell r="I1093" t="str">
            <v>19 years, 11 months, 30 days</v>
          </cell>
          <cell r="J1093" t="str">
            <v>Renewables</v>
          </cell>
          <cell r="K1093" t="str">
            <v>Solar (Rooftop)</v>
          </cell>
          <cell r="L1093" t="str">
            <v>Solar</v>
          </cell>
          <cell r="M1093" t="str">
            <v>Dx</v>
          </cell>
          <cell r="N1093" t="str">
            <v>Brantford</v>
          </cell>
          <cell r="O1093" t="str">
            <v>Brant</v>
          </cell>
          <cell r="P1093" t="str">
            <v>Southwest</v>
          </cell>
        </row>
        <row r="1094">
          <cell r="C1094" t="str">
            <v>Hendrick Holdings Inc.</v>
          </cell>
          <cell r="D1094" t="str">
            <v>Hendrick Holdings Inc.</v>
          </cell>
          <cell r="E1094" t="str">
            <v>CO</v>
          </cell>
          <cell r="F1094">
            <v>41029</v>
          </cell>
          <cell r="G1094">
            <v>40749</v>
          </cell>
          <cell r="H1094">
            <v>48053</v>
          </cell>
          <cell r="I1094" t="str">
            <v>19 years, 11 months, 29 days</v>
          </cell>
          <cell r="J1094" t="str">
            <v>Renewables</v>
          </cell>
          <cell r="K1094" t="str">
            <v>Solar (Rooftop)</v>
          </cell>
          <cell r="L1094" t="str">
            <v>Solar</v>
          </cell>
          <cell r="M1094" t="str">
            <v>Dx</v>
          </cell>
          <cell r="N1094" t="str">
            <v>Elmira</v>
          </cell>
          <cell r="O1094" t="str">
            <v>Waterloo</v>
          </cell>
          <cell r="P1094" t="str">
            <v>Southwest</v>
          </cell>
        </row>
        <row r="1095">
          <cell r="C1095" t="str">
            <v>WM Ottawa Landfill Gas to Energy</v>
          </cell>
          <cell r="D1095" t="str">
            <v>Waste Management of Canada Corporation</v>
          </cell>
          <cell r="E1095" t="str">
            <v>CO</v>
          </cell>
          <cell r="F1095">
            <v>41343</v>
          </cell>
          <cell r="G1095">
            <v>40282</v>
          </cell>
          <cell r="H1095">
            <v>47586</v>
          </cell>
          <cell r="I1095" t="str">
            <v>19 years, 11 months, 30 days</v>
          </cell>
          <cell r="J1095" t="str">
            <v>Renewables</v>
          </cell>
          <cell r="K1095" t="str">
            <v>Bioenergy</v>
          </cell>
          <cell r="L1095" t="str">
            <v>Landfill Gas</v>
          </cell>
          <cell r="M1095" t="str">
            <v>Dx</v>
          </cell>
          <cell r="N1095" t="str">
            <v>Carp</v>
          </cell>
          <cell r="O1095" t="str">
            <v>Ottawa</v>
          </cell>
          <cell r="P1095" t="str">
            <v>Ottawa</v>
          </cell>
        </row>
        <row r="1096">
          <cell r="C1096" t="str">
            <v>(C71) Real Canadian Superstore Brimley Road</v>
          </cell>
          <cell r="D1096" t="str">
            <v>Firelight Solar LP</v>
          </cell>
          <cell r="E1096" t="str">
            <v>CO</v>
          </cell>
          <cell r="F1096">
            <v>41714</v>
          </cell>
          <cell r="G1096">
            <v>41544</v>
          </cell>
          <cell r="H1096">
            <v>48848</v>
          </cell>
          <cell r="I1096" t="str">
            <v>19 years, 11 months, 30 days</v>
          </cell>
          <cell r="J1096" t="str">
            <v>Renewables</v>
          </cell>
          <cell r="K1096" t="str">
            <v>Solar (Rooftop)</v>
          </cell>
          <cell r="L1096" t="str">
            <v>Solar</v>
          </cell>
          <cell r="M1096" t="str">
            <v>Dx</v>
          </cell>
          <cell r="N1096" t="str">
            <v>Toronto</v>
          </cell>
          <cell r="O1096" t="str">
            <v>Toronto</v>
          </cell>
          <cell r="P1096" t="str">
            <v>Toronto</v>
          </cell>
        </row>
        <row r="1097">
          <cell r="C1097" t="str">
            <v>Water Treatment Plant</v>
          </cell>
          <cell r="D1097" t="str">
            <v>PUC Services Inc.</v>
          </cell>
          <cell r="E1097" t="str">
            <v>CO</v>
          </cell>
          <cell r="F1097">
            <v>41512</v>
          </cell>
          <cell r="G1097">
            <v>40709</v>
          </cell>
          <cell r="H1097">
            <v>48013</v>
          </cell>
          <cell r="I1097" t="str">
            <v>19 years, 11 months, 30 days</v>
          </cell>
          <cell r="J1097" t="str">
            <v>Renewables</v>
          </cell>
          <cell r="K1097" t="str">
            <v>Solar (Rooftop)</v>
          </cell>
          <cell r="L1097" t="str">
            <v>Solar</v>
          </cell>
          <cell r="M1097" t="str">
            <v>Dx</v>
          </cell>
          <cell r="N1097" t="str">
            <v>Sault Ste. Marie</v>
          </cell>
          <cell r="O1097" t="str">
            <v>Algoma</v>
          </cell>
          <cell r="P1097" t="str">
            <v>Northeast</v>
          </cell>
        </row>
        <row r="1098">
          <cell r="C1098" t="str">
            <v>M01-1080 Clay</v>
          </cell>
          <cell r="D1098" t="str">
            <v>Rowhedge Construction Limited</v>
          </cell>
          <cell r="E1098" t="str">
            <v>CO</v>
          </cell>
          <cell r="F1098">
            <v>41811</v>
          </cell>
          <cell r="G1098">
            <v>41992</v>
          </cell>
          <cell r="H1098">
            <v>49296</v>
          </cell>
          <cell r="I1098" t="str">
            <v>19 years, 11 months, 29 days</v>
          </cell>
          <cell r="J1098" t="str">
            <v>Renewables</v>
          </cell>
          <cell r="K1098" t="str">
            <v>Solar (Rooftop)</v>
          </cell>
          <cell r="L1098" t="str">
            <v>Solar</v>
          </cell>
          <cell r="M1098" t="str">
            <v>Dx</v>
          </cell>
          <cell r="N1098" t="str">
            <v>Burlington</v>
          </cell>
          <cell r="O1098" t="str">
            <v>Halton</v>
          </cell>
          <cell r="P1098" t="str">
            <v>Southwest</v>
          </cell>
        </row>
        <row r="1099">
          <cell r="C1099" t="str">
            <v>GEDSB Cedarland</v>
          </cell>
          <cell r="D1099" t="str">
            <v>Ameresco GEDSB Solar Inc.</v>
          </cell>
          <cell r="E1099" t="str">
            <v>CO</v>
          </cell>
          <cell r="F1099">
            <v>41029</v>
          </cell>
          <cell r="G1099">
            <v>40836</v>
          </cell>
          <cell r="H1099">
            <v>48140</v>
          </cell>
          <cell r="I1099" t="str">
            <v>19 years, 11 months, 29 days</v>
          </cell>
          <cell r="J1099" t="str">
            <v>Renewables</v>
          </cell>
          <cell r="K1099" t="str">
            <v>Solar (Rooftop)</v>
          </cell>
          <cell r="L1099" t="str">
            <v>Solar</v>
          </cell>
          <cell r="M1099" t="str">
            <v>Dx</v>
          </cell>
          <cell r="N1099" t="str">
            <v>Brantford</v>
          </cell>
          <cell r="O1099" t="str">
            <v>Brant</v>
          </cell>
          <cell r="P1099" t="str">
            <v>Southwest</v>
          </cell>
        </row>
        <row r="1100">
          <cell r="C1100" t="str">
            <v>Norland Dam Hydropower Development</v>
          </cell>
          <cell r="D1100" t="str">
            <v>Timber Run Hydropower Corporation</v>
          </cell>
          <cell r="E1100" t="str">
            <v>CO</v>
          </cell>
          <cell r="F1100">
            <v>43521</v>
          </cell>
          <cell r="G1100">
            <v>42900</v>
          </cell>
          <cell r="H1100">
            <v>57509</v>
          </cell>
          <cell r="I1100" t="str">
            <v>39 years, 11 months, 30 days</v>
          </cell>
          <cell r="J1100" t="str">
            <v>Renewables</v>
          </cell>
          <cell r="K1100" t="str">
            <v>Run-of-River</v>
          </cell>
          <cell r="L1100" t="str">
            <v>Waterpower</v>
          </cell>
          <cell r="M1100" t="str">
            <v>Dx</v>
          </cell>
          <cell r="N1100" t="str">
            <v>Coboconk</v>
          </cell>
          <cell r="O1100" t="str">
            <v>Kawartha Lakes</v>
          </cell>
          <cell r="P1100" t="str">
            <v>Essa</v>
          </cell>
        </row>
        <row r="1101">
          <cell r="C1101" t="str">
            <v>Bethridge 165 Solar</v>
          </cell>
          <cell r="D1101" t="str">
            <v>2 V Bethridge Road Investments Corp.</v>
          </cell>
          <cell r="E1101" t="str">
            <v>CO</v>
          </cell>
          <cell r="F1101">
            <v>41796</v>
          </cell>
          <cell r="G1101">
            <v>41590</v>
          </cell>
          <cell r="H1101">
            <v>48894</v>
          </cell>
          <cell r="I1101" t="str">
            <v>19 years, 11 months, 30 days</v>
          </cell>
          <cell r="J1101" t="str">
            <v>Renewables</v>
          </cell>
          <cell r="K1101" t="str">
            <v>Solar (Rooftop)</v>
          </cell>
          <cell r="L1101" t="str">
            <v>Solar</v>
          </cell>
          <cell r="M1101" t="str">
            <v>Dx</v>
          </cell>
          <cell r="N1101" t="str">
            <v>Toronto</v>
          </cell>
          <cell r="O1101" t="str">
            <v>Toronto</v>
          </cell>
          <cell r="P1101" t="str">
            <v>Toronto</v>
          </cell>
        </row>
        <row r="1102">
          <cell r="C1102" t="str">
            <v>Quinte Sports Centre Solar Farm</v>
          </cell>
          <cell r="D1102" t="str">
            <v>The Corporation of the City of Belleville</v>
          </cell>
          <cell r="E1102" t="str">
            <v>CO</v>
          </cell>
          <cell r="F1102">
            <v>41029</v>
          </cell>
          <cell r="G1102">
            <v>40955</v>
          </cell>
          <cell r="H1102">
            <v>48259</v>
          </cell>
          <cell r="I1102" t="str">
            <v>19 years, 11 months, 30 days</v>
          </cell>
          <cell r="J1102" t="str">
            <v>Renewables</v>
          </cell>
          <cell r="K1102" t="str">
            <v>Solar (Rooftop)</v>
          </cell>
          <cell r="L1102" t="str">
            <v>Solar</v>
          </cell>
          <cell r="M1102" t="str">
            <v>Dx</v>
          </cell>
          <cell r="N1102" t="str">
            <v>Belleville</v>
          </cell>
          <cell r="O1102" t="str">
            <v>Hastings</v>
          </cell>
          <cell r="P1102" t="str">
            <v>East</v>
          </cell>
        </row>
        <row r="1103">
          <cell r="C1103" t="str">
            <v>Kradale Solar #1</v>
          </cell>
          <cell r="D1103" t="str">
            <v>Kradale Acres Limited</v>
          </cell>
          <cell r="E1103" t="str">
            <v>CO</v>
          </cell>
          <cell r="F1103">
            <v>41841</v>
          </cell>
          <cell r="G1103">
            <v>41206</v>
          </cell>
          <cell r="H1103">
            <v>48510</v>
          </cell>
          <cell r="I1103" t="str">
            <v>19 years, 11 months, 29 days</v>
          </cell>
          <cell r="J1103" t="str">
            <v>Renewables</v>
          </cell>
          <cell r="K1103" t="str">
            <v>Solar (Rooftop)</v>
          </cell>
          <cell r="L1103" t="str">
            <v>Solar</v>
          </cell>
          <cell r="M1103" t="str">
            <v>Dx</v>
          </cell>
          <cell r="N1103" t="str">
            <v>Jarvis</v>
          </cell>
          <cell r="O1103" t="str">
            <v>Haldimand</v>
          </cell>
          <cell r="P1103" t="str">
            <v>Southwest</v>
          </cell>
        </row>
        <row r="1104">
          <cell r="C1104" t="str">
            <v>Featherhaven Farm 2</v>
          </cell>
          <cell r="D1104" t="str">
            <v>Churchill Poultry Ltd.</v>
          </cell>
          <cell r="E1104" t="str">
            <v>CO</v>
          </cell>
          <cell r="F1104">
            <v>41804</v>
          </cell>
          <cell r="G1104">
            <v>41199</v>
          </cell>
          <cell r="H1104">
            <v>48503</v>
          </cell>
          <cell r="I1104" t="str">
            <v>19 years, 11 months, 29 days</v>
          </cell>
          <cell r="J1104" t="str">
            <v>Renewables</v>
          </cell>
          <cell r="K1104" t="str">
            <v>Solar (Rooftop)</v>
          </cell>
          <cell r="L1104" t="str">
            <v>Solar</v>
          </cell>
          <cell r="M1104" t="str">
            <v>Dx</v>
          </cell>
          <cell r="N1104" t="str">
            <v>Petrolia</v>
          </cell>
          <cell r="O1104" t="str">
            <v>Lambton</v>
          </cell>
          <cell r="P1104" t="str">
            <v>West</v>
          </cell>
        </row>
        <row r="1105">
          <cell r="C1105" t="str">
            <v>LaSalle - Toronto (150 Middlefield)</v>
          </cell>
          <cell r="D1105" t="str">
            <v>Firelight Solar LP</v>
          </cell>
          <cell r="E1105" t="str">
            <v>CO</v>
          </cell>
          <cell r="F1105">
            <v>41029</v>
          </cell>
          <cell r="G1105">
            <v>40802</v>
          </cell>
          <cell r="H1105">
            <v>48106</v>
          </cell>
          <cell r="I1105" t="str">
            <v>19 years, 11 months, 30 days</v>
          </cell>
          <cell r="J1105" t="str">
            <v>Renewables</v>
          </cell>
          <cell r="K1105" t="str">
            <v>Solar (Rooftop)</v>
          </cell>
          <cell r="L1105" t="str">
            <v>Solar</v>
          </cell>
          <cell r="M1105" t="str">
            <v>Dx</v>
          </cell>
          <cell r="N1105" t="str">
            <v>Toronto</v>
          </cell>
          <cell r="O1105" t="str">
            <v>Toronto</v>
          </cell>
          <cell r="P1105" t="str">
            <v>Toronto</v>
          </cell>
        </row>
        <row r="1106">
          <cell r="C1106" t="str">
            <v>VELROB 2</v>
          </cell>
          <cell r="D1106" t="str">
            <v>Velrob Farms Ltd</v>
          </cell>
          <cell r="E1106" t="str">
            <v>CO</v>
          </cell>
          <cell r="F1106">
            <v>41820</v>
          </cell>
          <cell r="G1106">
            <v>41722</v>
          </cell>
          <cell r="H1106">
            <v>49026</v>
          </cell>
          <cell r="I1106" t="str">
            <v>19 years, 11 months, 27 days</v>
          </cell>
          <cell r="J1106" t="str">
            <v>Renewables</v>
          </cell>
          <cell r="K1106" t="str">
            <v>Solar (Rooftop)</v>
          </cell>
          <cell r="L1106" t="str">
            <v>Solar</v>
          </cell>
          <cell r="M1106" t="str">
            <v>Dx</v>
          </cell>
          <cell r="N1106" t="str">
            <v>Embro</v>
          </cell>
          <cell r="O1106" t="str">
            <v>Oxford</v>
          </cell>
          <cell r="P1106" t="str">
            <v>Southwest</v>
          </cell>
        </row>
        <row r="1107">
          <cell r="C1107" t="str">
            <v>H06-25 HOLIDAY</v>
          </cell>
          <cell r="D1107" t="str">
            <v>Skyline Clean Energy Holdings Inc.</v>
          </cell>
          <cell r="E1107" t="str">
            <v>CO</v>
          </cell>
          <cell r="F1107">
            <v>41820</v>
          </cell>
          <cell r="G1107">
            <v>42043</v>
          </cell>
          <cell r="H1107">
            <v>49347</v>
          </cell>
          <cell r="I1107" t="str">
            <v>19 years, 11 months, 30 days</v>
          </cell>
          <cell r="J1107" t="str">
            <v>Renewables</v>
          </cell>
          <cell r="K1107" t="str">
            <v>Solar (Rooftop)</v>
          </cell>
          <cell r="L1107" t="str">
            <v>Solar</v>
          </cell>
          <cell r="M1107" t="str">
            <v>Dx</v>
          </cell>
          <cell r="N1107" t="str">
            <v>Brantford</v>
          </cell>
          <cell r="O1107" t="str">
            <v>Brant</v>
          </cell>
          <cell r="P1107" t="str">
            <v>Southwest</v>
          </cell>
        </row>
        <row r="1108">
          <cell r="C1108" t="str">
            <v>M07-1361 Huntingwood</v>
          </cell>
          <cell r="D1108" t="str">
            <v>Firelight Solar LP</v>
          </cell>
          <cell r="E1108" t="str">
            <v>CO</v>
          </cell>
          <cell r="F1108">
            <v>41713</v>
          </cell>
          <cell r="G1108">
            <v>41624</v>
          </cell>
          <cell r="H1108">
            <v>48928</v>
          </cell>
          <cell r="I1108" t="str">
            <v>19 years, 11 months, 29 days</v>
          </cell>
          <cell r="J1108" t="str">
            <v>Renewables</v>
          </cell>
          <cell r="K1108" t="str">
            <v>Solar (Rooftop)</v>
          </cell>
          <cell r="L1108" t="str">
            <v>Solar</v>
          </cell>
          <cell r="M1108" t="str">
            <v>Dx</v>
          </cell>
          <cell r="N1108" t="str">
            <v>Toronto</v>
          </cell>
          <cell r="O1108" t="str">
            <v>Toronto</v>
          </cell>
          <cell r="P1108" t="str">
            <v>Toronto</v>
          </cell>
        </row>
        <row r="1109">
          <cell r="C1109" t="str">
            <v>SunE Newboro 4</v>
          </cell>
          <cell r="D1109" t="str">
            <v>SunE Newboro 4 LP</v>
          </cell>
          <cell r="E1109" t="str">
            <v>CO</v>
          </cell>
          <cell r="F1109">
            <v>41695</v>
          </cell>
          <cell r="G1109">
            <v>41956</v>
          </cell>
          <cell r="H1109">
            <v>49260</v>
          </cell>
          <cell r="I1109" t="str">
            <v>19 years, 11 months, 30 days</v>
          </cell>
          <cell r="J1109" t="str">
            <v>Renewables</v>
          </cell>
          <cell r="K1109" t="str">
            <v>Solar (Ground Mounted)</v>
          </cell>
          <cell r="L1109" t="str">
            <v>Solar</v>
          </cell>
          <cell r="M1109" t="str">
            <v>Dx</v>
          </cell>
          <cell r="N1109" t="str">
            <v>Westport</v>
          </cell>
          <cell r="O1109" t="str">
            <v>Leeds and Grenville</v>
          </cell>
          <cell r="P1109" t="str">
            <v>East</v>
          </cell>
        </row>
        <row r="1110">
          <cell r="C1110" t="str">
            <v>Old Woman Falls Hydroelectric Project</v>
          </cell>
          <cell r="D1110" t="str">
            <v>Nipiy-OWF HydroKap L.P.</v>
          </cell>
          <cell r="E1110" t="str">
            <v>CO</v>
          </cell>
          <cell r="F1110">
            <v>41583</v>
          </cell>
          <cell r="G1110">
            <v>41551</v>
          </cell>
          <cell r="H1110">
            <v>56160</v>
          </cell>
          <cell r="I1110" t="str">
            <v>39 years, 11 months, 29 days</v>
          </cell>
          <cell r="J1110" t="str">
            <v>Renewables</v>
          </cell>
          <cell r="K1110" t="str">
            <v>Run-of-River</v>
          </cell>
          <cell r="L1110" t="str">
            <v>Waterpower</v>
          </cell>
          <cell r="M1110" t="str">
            <v>Dx</v>
          </cell>
          <cell r="N1110" t="str">
            <v>Kapuskasing</v>
          </cell>
          <cell r="O1110" t="str">
            <v>Cochrane</v>
          </cell>
          <cell r="P1110" t="str">
            <v>Northeast</v>
          </cell>
        </row>
        <row r="1111">
          <cell r="C1111" t="str">
            <v>Our Lady of Fatima Elementary School</v>
          </cell>
          <cell r="D1111" t="str">
            <v>Niagara Catholic District School Board</v>
          </cell>
          <cell r="E1111" t="str">
            <v>CO</v>
          </cell>
          <cell r="F1111">
            <v>41797</v>
          </cell>
          <cell r="G1111">
            <v>41281</v>
          </cell>
          <cell r="H1111">
            <v>48585</v>
          </cell>
          <cell r="I1111" t="str">
            <v>19 years, 11 months, 30 days</v>
          </cell>
          <cell r="J1111" t="str">
            <v>Renewables</v>
          </cell>
          <cell r="K1111" t="str">
            <v>Solar (Rooftop)</v>
          </cell>
          <cell r="L1111" t="str">
            <v>Solar</v>
          </cell>
          <cell r="M1111" t="str">
            <v>Dx</v>
          </cell>
          <cell r="N1111" t="str">
            <v>Grimsby</v>
          </cell>
          <cell r="O1111" t="str">
            <v>Niagara</v>
          </cell>
          <cell r="P1111" t="str">
            <v>Niagara</v>
          </cell>
        </row>
        <row r="1112">
          <cell r="C1112" t="str">
            <v>Prog-Die</v>
          </cell>
          <cell r="D1112" t="str">
            <v>WC Enerco Inc.</v>
          </cell>
          <cell r="E1112" t="str">
            <v>CO</v>
          </cell>
          <cell r="F1112">
            <v>41834</v>
          </cell>
          <cell r="G1112">
            <v>41995</v>
          </cell>
          <cell r="H1112">
            <v>49299</v>
          </cell>
          <cell r="I1112" t="str">
            <v>19 years, 11 months, 29 days</v>
          </cell>
          <cell r="J1112" t="str">
            <v>Renewables</v>
          </cell>
          <cell r="K1112" t="str">
            <v>Solar (Rooftop)</v>
          </cell>
          <cell r="L1112" t="str">
            <v>Solar</v>
          </cell>
          <cell r="M1112" t="str">
            <v>Dx</v>
          </cell>
          <cell r="N1112" t="str">
            <v>Mississauga</v>
          </cell>
          <cell r="O1112" t="str">
            <v>Peel</v>
          </cell>
          <cell r="P1112" t="str">
            <v>Toronto</v>
          </cell>
        </row>
        <row r="1113">
          <cell r="C1113" t="str">
            <v>Saptashva Solar, S.A - FIT - Gulu 31/35</v>
          </cell>
          <cell r="D1113" t="str">
            <v>Starlight Canadian Residential Growth Fund</v>
          </cell>
          <cell r="E1113" t="str">
            <v>CO</v>
          </cell>
          <cell r="F1113">
            <v>41797</v>
          </cell>
          <cell r="G1113">
            <v>42024</v>
          </cell>
          <cell r="H1113">
            <v>49328</v>
          </cell>
          <cell r="I1113" t="str">
            <v>19 years, 11 months, 30 days</v>
          </cell>
          <cell r="J1113" t="str">
            <v>Renewables</v>
          </cell>
          <cell r="K1113" t="str">
            <v>Solar (Rooftop)</v>
          </cell>
          <cell r="L1113" t="str">
            <v>Solar</v>
          </cell>
          <cell r="M1113" t="str">
            <v>Dx</v>
          </cell>
          <cell r="N1113" t="str">
            <v>Toronto</v>
          </cell>
          <cell r="O1113" t="str">
            <v>Toronto</v>
          </cell>
          <cell r="P1113" t="str">
            <v>Toronto</v>
          </cell>
        </row>
        <row r="1114">
          <cell r="C1114" t="str">
            <v>Georgian Bluffs Septage Biodigester</v>
          </cell>
          <cell r="D1114" t="str">
            <v>The Corporation of the Township of Georgian Bluffs</v>
          </cell>
          <cell r="E1114" t="str">
            <v>CO</v>
          </cell>
          <cell r="F1114">
            <v>41463</v>
          </cell>
          <cell r="G1114">
            <v>40665</v>
          </cell>
          <cell r="H1114">
            <v>47969</v>
          </cell>
          <cell r="I1114" t="str">
            <v>19 years, 11 months, 29 days</v>
          </cell>
          <cell r="J1114" t="str">
            <v>Renewables</v>
          </cell>
          <cell r="K1114" t="str">
            <v>Bioenergy</v>
          </cell>
          <cell r="L1114" t="str">
            <v>Biogas</v>
          </cell>
          <cell r="M1114" t="str">
            <v>Dx</v>
          </cell>
          <cell r="N1114" t="str">
            <v>Owen Sound</v>
          </cell>
          <cell r="O1114" t="str">
            <v>Grey</v>
          </cell>
          <cell r="P1114" t="str">
            <v>Southwest</v>
          </cell>
        </row>
        <row r="1115">
          <cell r="C1115" t="str">
            <v>#23 1125 Elgin St, Coburg</v>
          </cell>
          <cell r="D1115" t="str">
            <v>PSI Solar Finance 1 Limited Partnership</v>
          </cell>
          <cell r="E1115" t="str">
            <v>CO</v>
          </cell>
          <cell r="F1115">
            <v>41790</v>
          </cell>
          <cell r="G1115">
            <v>41477</v>
          </cell>
          <cell r="H1115">
            <v>48781</v>
          </cell>
          <cell r="I1115" t="str">
            <v>19 years, 11 months, 29 days</v>
          </cell>
          <cell r="J1115" t="str">
            <v>Renewables</v>
          </cell>
          <cell r="K1115" t="str">
            <v>Solar (Rooftop)</v>
          </cell>
          <cell r="L1115" t="str">
            <v>Solar</v>
          </cell>
          <cell r="M1115" t="str">
            <v>Dx</v>
          </cell>
          <cell r="N1115" t="str">
            <v>Cobourg</v>
          </cell>
          <cell r="O1115" t="str">
            <v>Northumberland</v>
          </cell>
          <cell r="P1115" t="str">
            <v>East</v>
          </cell>
        </row>
        <row r="1116">
          <cell r="C1116" t="str">
            <v>291 Elgin St N Cambridge</v>
          </cell>
          <cell r="D1116" t="str">
            <v>MW Canada Ltd.</v>
          </cell>
          <cell r="E1116" t="str">
            <v>CO</v>
          </cell>
          <cell r="F1116">
            <v>41029</v>
          </cell>
          <cell r="G1116">
            <v>40756</v>
          </cell>
          <cell r="H1116">
            <v>48060</v>
          </cell>
          <cell r="I1116" t="str">
            <v>19 years, 11 months, 30 days</v>
          </cell>
          <cell r="J1116" t="str">
            <v>Renewables</v>
          </cell>
          <cell r="K1116" t="str">
            <v>Solar (Rooftop)</v>
          </cell>
          <cell r="L1116" t="str">
            <v>Solar</v>
          </cell>
          <cell r="M1116" t="str">
            <v>Dx</v>
          </cell>
          <cell r="N1116" t="str">
            <v>Cambridge</v>
          </cell>
          <cell r="O1116" t="str">
            <v>Waterloo</v>
          </cell>
          <cell r="P1116" t="str">
            <v>Southwest</v>
          </cell>
        </row>
        <row r="1117">
          <cell r="C1117" t="str">
            <v>Wanna Make it Farm (Solar) II</v>
          </cell>
          <cell r="D1117" t="str">
            <v>WMF Ag Corp</v>
          </cell>
          <cell r="E1117" t="str">
            <v>CO</v>
          </cell>
          <cell r="F1117">
            <v>41818</v>
          </cell>
          <cell r="G1117">
            <v>41311</v>
          </cell>
          <cell r="H1117">
            <v>48615</v>
          </cell>
          <cell r="I1117" t="str">
            <v>19 years, 11 months, 30 days</v>
          </cell>
          <cell r="J1117" t="str">
            <v>Renewables</v>
          </cell>
          <cell r="K1117" t="str">
            <v>Solar (Rooftop)</v>
          </cell>
          <cell r="L1117" t="str">
            <v>Solar</v>
          </cell>
          <cell r="M1117" t="str">
            <v>Dx</v>
          </cell>
          <cell r="N1117" t="str">
            <v>Moose Creek</v>
          </cell>
          <cell r="O1117" t="str">
            <v>Stormont, Dundas and Glengarry</v>
          </cell>
          <cell r="P1117" t="str">
            <v>East</v>
          </cell>
        </row>
        <row r="1118">
          <cell r="C1118" t="str">
            <v>1141 King Rd</v>
          </cell>
          <cell r="D1118" t="str">
            <v>Sunnyside Up Investments Inc.</v>
          </cell>
          <cell r="E1118" t="str">
            <v>CO</v>
          </cell>
          <cell r="F1118">
            <v>41828</v>
          </cell>
          <cell r="G1118">
            <v>41627</v>
          </cell>
          <cell r="H1118">
            <v>48931</v>
          </cell>
          <cell r="I1118" t="str">
            <v>19 years, 11 months, 29 days</v>
          </cell>
          <cell r="J1118" t="str">
            <v>Renewables</v>
          </cell>
          <cell r="K1118" t="str">
            <v>Solar (Rooftop)</v>
          </cell>
          <cell r="L1118" t="str">
            <v>Solar</v>
          </cell>
          <cell r="M1118" t="str">
            <v>Dx</v>
          </cell>
          <cell r="N1118" t="str">
            <v>Burlington</v>
          </cell>
          <cell r="O1118" t="str">
            <v>Halton</v>
          </cell>
          <cell r="P1118" t="str">
            <v>Southwest</v>
          </cell>
        </row>
        <row r="1119">
          <cell r="C1119" t="str">
            <v>3050 Mavis Road</v>
          </cell>
          <cell r="D1119" t="str">
            <v>PSI Solar Finance 1 Limited Partnership</v>
          </cell>
          <cell r="E1119" t="str">
            <v>CO</v>
          </cell>
          <cell r="F1119">
            <v>41897</v>
          </cell>
          <cell r="G1119">
            <v>41666</v>
          </cell>
          <cell r="H1119">
            <v>48970</v>
          </cell>
          <cell r="I1119" t="str">
            <v>19 years, 11 months, 30 days</v>
          </cell>
          <cell r="J1119" t="str">
            <v>Renewables</v>
          </cell>
          <cell r="K1119" t="str">
            <v>Solar (Rooftop)</v>
          </cell>
          <cell r="L1119" t="str">
            <v>Solar</v>
          </cell>
          <cell r="M1119" t="str">
            <v>Dx</v>
          </cell>
          <cell r="N1119" t="str">
            <v>Mississauga</v>
          </cell>
          <cell r="O1119" t="str">
            <v>Peel</v>
          </cell>
          <cell r="P1119" t="str">
            <v>Toronto</v>
          </cell>
        </row>
        <row r="1120">
          <cell r="C1120" t="str">
            <v>Seagrave Solar Two</v>
          </cell>
          <cell r="D1120" t="str">
            <v>Alectra Utilities Corporation</v>
          </cell>
          <cell r="E1120" t="str">
            <v>CO</v>
          </cell>
          <cell r="F1120">
            <v>41029</v>
          </cell>
          <cell r="G1120">
            <v>40969</v>
          </cell>
          <cell r="H1120">
            <v>48273</v>
          </cell>
          <cell r="I1120" t="str">
            <v>19 years, 11 months, 28 days</v>
          </cell>
          <cell r="J1120" t="str">
            <v>Renewables</v>
          </cell>
          <cell r="K1120" t="str">
            <v>Solar (Rooftop)</v>
          </cell>
          <cell r="L1120" t="str">
            <v>Solar</v>
          </cell>
          <cell r="M1120" t="str">
            <v>Dx</v>
          </cell>
          <cell r="N1120" t="str">
            <v>Port Perry</v>
          </cell>
          <cell r="O1120" t="str">
            <v>Simcoe</v>
          </cell>
          <cell r="P1120" t="str">
            <v>Essa</v>
          </cell>
        </row>
        <row r="1121">
          <cell r="C1121" t="str">
            <v>H&amp;B Farms Inc-Solar PV</v>
          </cell>
          <cell r="D1121" t="str">
            <v>H&amp;B Farms Inc</v>
          </cell>
          <cell r="E1121" t="str">
            <v>CO</v>
          </cell>
          <cell r="F1121">
            <v>41832</v>
          </cell>
          <cell r="G1121">
            <v>41887</v>
          </cell>
          <cell r="H1121">
            <v>49191</v>
          </cell>
          <cell r="I1121" t="str">
            <v>19 years, 11 months, 30 days</v>
          </cell>
          <cell r="J1121" t="str">
            <v>Renewables</v>
          </cell>
          <cell r="K1121" t="str">
            <v>Solar (Rooftop)</v>
          </cell>
          <cell r="L1121" t="str">
            <v>Solar</v>
          </cell>
          <cell r="M1121" t="str">
            <v>Dx</v>
          </cell>
          <cell r="N1121" t="str">
            <v>Seaforth</v>
          </cell>
          <cell r="O1121" t="str">
            <v>Huron</v>
          </cell>
          <cell r="P1121" t="str">
            <v>Southwest</v>
          </cell>
        </row>
        <row r="1122">
          <cell r="C1122" t="str">
            <v>C08-125 Bermondsey</v>
          </cell>
          <cell r="D1122" t="str">
            <v>Firelight Solar LP</v>
          </cell>
          <cell r="E1122" t="str">
            <v>CO</v>
          </cell>
          <cell r="F1122">
            <v>41735</v>
          </cell>
          <cell r="G1122">
            <v>41379</v>
          </cell>
          <cell r="H1122">
            <v>48683</v>
          </cell>
          <cell r="I1122" t="str">
            <v>19 years, 11 months, 30 days</v>
          </cell>
          <cell r="J1122" t="str">
            <v>Renewables</v>
          </cell>
          <cell r="K1122" t="str">
            <v>Solar (Rooftop)</v>
          </cell>
          <cell r="L1122" t="str">
            <v>Solar</v>
          </cell>
          <cell r="M1122" t="str">
            <v>Dx</v>
          </cell>
          <cell r="N1122" t="str">
            <v>Toronto</v>
          </cell>
          <cell r="O1122" t="str">
            <v>Toronto</v>
          </cell>
          <cell r="P1122" t="str">
            <v>Toronto</v>
          </cell>
        </row>
        <row r="1123">
          <cell r="C1123" t="str">
            <v>Vanzwolf Solar Park</v>
          </cell>
          <cell r="D1123" t="str">
            <v>Rainy River First Nations Solar 2 Limited Partnership</v>
          </cell>
          <cell r="E1123" t="str">
            <v>CO</v>
          </cell>
          <cell r="F1123">
            <v>41943</v>
          </cell>
          <cell r="G1123">
            <v>42055</v>
          </cell>
          <cell r="H1123">
            <v>49359</v>
          </cell>
          <cell r="I1123" t="str">
            <v>19 years, 11 months, 30 days</v>
          </cell>
          <cell r="J1123" t="str">
            <v>Renewables</v>
          </cell>
          <cell r="K1123" t="str">
            <v>Solar (Ground Mounted)</v>
          </cell>
          <cell r="L1123" t="str">
            <v>Solar</v>
          </cell>
          <cell r="M1123" t="str">
            <v>Dx</v>
          </cell>
          <cell r="N1123" t="str">
            <v>Rainy River</v>
          </cell>
          <cell r="O1123" t="str">
            <v>Rainy River</v>
          </cell>
          <cell r="P1123" t="str">
            <v>Northwest</v>
          </cell>
        </row>
        <row r="1124">
          <cell r="C1124" t="str">
            <v>TBHEDI-4</v>
          </cell>
          <cell r="D1124" t="str">
            <v>Synergy North Corporation</v>
          </cell>
          <cell r="E1124" t="str">
            <v>CO</v>
          </cell>
          <cell r="F1124">
            <v>41841</v>
          </cell>
          <cell r="G1124">
            <v>41536</v>
          </cell>
          <cell r="H1124">
            <v>48840</v>
          </cell>
          <cell r="I1124" t="str">
            <v>19 years, 11 months, 30 days</v>
          </cell>
          <cell r="J1124" t="str">
            <v>Renewables</v>
          </cell>
          <cell r="K1124" t="str">
            <v>Solar (Rooftop)</v>
          </cell>
          <cell r="L1124" t="str">
            <v>Solar</v>
          </cell>
          <cell r="M1124" t="str">
            <v>Dx</v>
          </cell>
          <cell r="N1124" t="str">
            <v>Thunder Bay</v>
          </cell>
          <cell r="O1124" t="str">
            <v>Thunder Bay</v>
          </cell>
          <cell r="P1124" t="str">
            <v>Northwest</v>
          </cell>
        </row>
        <row r="1125">
          <cell r="C1125" t="str">
            <v>Public Works Solar Array</v>
          </cell>
          <cell r="D1125" t="str">
            <v>The Corporation of the City of Cambridge</v>
          </cell>
          <cell r="E1125" t="str">
            <v>CO</v>
          </cell>
          <cell r="F1125">
            <v>40663</v>
          </cell>
          <cell r="G1125">
            <v>40624</v>
          </cell>
          <cell r="H1125">
            <v>47928</v>
          </cell>
          <cell r="I1125" t="str">
            <v>19 years, 11 months, 27 days</v>
          </cell>
          <cell r="J1125" t="str">
            <v>Renewables</v>
          </cell>
          <cell r="K1125" t="str">
            <v>Solar (Rooftop)</v>
          </cell>
          <cell r="L1125" t="str">
            <v>Solar</v>
          </cell>
          <cell r="M1125" t="str">
            <v>Dx</v>
          </cell>
          <cell r="N1125" t="str">
            <v>Cambridge</v>
          </cell>
          <cell r="O1125" t="str">
            <v>Waterloo</v>
          </cell>
          <cell r="P1125" t="str">
            <v>Southwest</v>
          </cell>
        </row>
        <row r="1126">
          <cell r="C1126" t="str">
            <v>Ice River Springs Solar GT</v>
          </cell>
          <cell r="D1126" t="str">
            <v>Ice River Springs Water Co. Inc.</v>
          </cell>
          <cell r="E1126" t="str">
            <v>CO</v>
          </cell>
          <cell r="F1126">
            <v>41730</v>
          </cell>
          <cell r="G1126">
            <v>41689</v>
          </cell>
          <cell r="H1126">
            <v>48993</v>
          </cell>
          <cell r="I1126" t="str">
            <v>19 years, 11 months, 30 days</v>
          </cell>
          <cell r="J1126" t="str">
            <v>Renewables</v>
          </cell>
          <cell r="K1126" t="str">
            <v>Solar (Rooftop)</v>
          </cell>
          <cell r="L1126" t="str">
            <v>Solar</v>
          </cell>
          <cell r="M1126" t="str">
            <v>Dx</v>
          </cell>
          <cell r="N1126" t="str">
            <v>Feversham</v>
          </cell>
          <cell r="O1126" t="str">
            <v>Grey</v>
          </cell>
          <cell r="P1126" t="str">
            <v>Southwest</v>
          </cell>
        </row>
        <row r="1127">
          <cell r="C1127" t="str">
            <v>Generation Development Contractors Inc.</v>
          </cell>
          <cell r="D1127" t="str">
            <v>Alectra Utilities Corporation</v>
          </cell>
          <cell r="E1127" t="str">
            <v>CO</v>
          </cell>
          <cell r="F1127">
            <v>41841</v>
          </cell>
          <cell r="G1127">
            <v>41768</v>
          </cell>
          <cell r="H1127">
            <v>49072</v>
          </cell>
          <cell r="I1127" t="str">
            <v>19 years, 11 months, 29 days</v>
          </cell>
          <cell r="J1127" t="str">
            <v>Renewables</v>
          </cell>
          <cell r="K1127" t="str">
            <v>Solar (Rooftop)</v>
          </cell>
          <cell r="L1127" t="str">
            <v>Solar</v>
          </cell>
          <cell r="M1127" t="str">
            <v>Dx</v>
          </cell>
          <cell r="N1127" t="str">
            <v>Oldcastle</v>
          </cell>
          <cell r="O1127" t="str">
            <v>Essex</v>
          </cell>
          <cell r="P1127" t="str">
            <v>West</v>
          </cell>
        </row>
        <row r="1128">
          <cell r="C1128" t="str">
            <v>Rolling Acres Solar</v>
          </cell>
          <cell r="D1128" t="str">
            <v>Jacob Martin</v>
          </cell>
          <cell r="E1128" t="str">
            <v>CO</v>
          </cell>
          <cell r="F1128">
            <v>41796</v>
          </cell>
          <cell r="G1128">
            <v>41096</v>
          </cell>
          <cell r="H1128">
            <v>48400</v>
          </cell>
          <cell r="I1128" t="str">
            <v>19 years, 11 months, 29 days</v>
          </cell>
          <cell r="J1128" t="str">
            <v>Renewables</v>
          </cell>
          <cell r="K1128" t="str">
            <v>Solar (Rooftop)</v>
          </cell>
          <cell r="L1128" t="str">
            <v>Solar</v>
          </cell>
          <cell r="M1128" t="str">
            <v>Dx</v>
          </cell>
          <cell r="N1128" t="str">
            <v>Waterloo</v>
          </cell>
          <cell r="O1128" t="str">
            <v>Waterloo</v>
          </cell>
          <cell r="P1128" t="str">
            <v>Southwest</v>
          </cell>
        </row>
        <row r="1129">
          <cell r="C1129" t="str">
            <v>31 Mcaffee</v>
          </cell>
          <cell r="D1129" t="str">
            <v>BCE (Essex) Inc.</v>
          </cell>
          <cell r="E1129" t="str">
            <v>CO</v>
          </cell>
          <cell r="F1129">
            <v>41763</v>
          </cell>
          <cell r="G1129">
            <v>41773</v>
          </cell>
          <cell r="H1129">
            <v>49067</v>
          </cell>
          <cell r="I1129" t="str">
            <v>19 years, 11 months, 19 days</v>
          </cell>
          <cell r="J1129" t="str">
            <v>Renewables</v>
          </cell>
          <cell r="K1129" t="str">
            <v>Solar (Rooftop)</v>
          </cell>
          <cell r="L1129" t="str">
            <v>Solar</v>
          </cell>
          <cell r="M1129" t="str">
            <v>Dx</v>
          </cell>
          <cell r="N1129" t="str">
            <v>Harrow</v>
          </cell>
          <cell r="O1129" t="str">
            <v>Essex</v>
          </cell>
          <cell r="P1129" t="str">
            <v>West</v>
          </cell>
        </row>
        <row r="1130">
          <cell r="C1130" t="str">
            <v>C10-151 Aviva Park</v>
          </cell>
          <cell r="D1130" t="str">
            <v>Skyline Clean Energy Holdings Inc.</v>
          </cell>
          <cell r="E1130" t="str">
            <v>CO</v>
          </cell>
          <cell r="F1130">
            <v>41709</v>
          </cell>
          <cell r="G1130">
            <v>41892</v>
          </cell>
          <cell r="H1130">
            <v>49196</v>
          </cell>
          <cell r="I1130" t="str">
            <v>19 years, 11 months, 30 days</v>
          </cell>
          <cell r="J1130" t="str">
            <v>Renewables</v>
          </cell>
          <cell r="K1130" t="str">
            <v>Solar (Rooftop)</v>
          </cell>
          <cell r="L1130" t="str">
            <v>Solar</v>
          </cell>
          <cell r="M1130" t="str">
            <v>Dx</v>
          </cell>
          <cell r="N1130" t="str">
            <v>Woodbridge</v>
          </cell>
          <cell r="O1130" t="str">
            <v>York</v>
          </cell>
          <cell r="P1130" t="str">
            <v>Toronto</v>
          </cell>
        </row>
        <row r="1131">
          <cell r="C1131" t="str">
            <v>Kingston Gardiner Hwy2 South</v>
          </cell>
          <cell r="D1131" t="str">
            <v>SunE Hwy 2 S LP</v>
          </cell>
          <cell r="E1131" t="str">
            <v>CO</v>
          </cell>
          <cell r="F1131">
            <v>41391</v>
          </cell>
          <cell r="G1131">
            <v>41610</v>
          </cell>
          <cell r="H1131">
            <v>48914</v>
          </cell>
          <cell r="I1131" t="str">
            <v>19 years, 11 months, 29 days</v>
          </cell>
          <cell r="J1131" t="str">
            <v>Renewables</v>
          </cell>
          <cell r="K1131" t="str">
            <v>Solar (Ground Mounted)</v>
          </cell>
          <cell r="L1131" t="str">
            <v>Solar</v>
          </cell>
          <cell r="M1131" t="str">
            <v>Dx</v>
          </cell>
          <cell r="N1131" t="str">
            <v>Odessa</v>
          </cell>
          <cell r="O1131" t="str">
            <v>Lennox and Addington</v>
          </cell>
          <cell r="P1131" t="str">
            <v>East</v>
          </cell>
        </row>
        <row r="1132">
          <cell r="C1132" t="str">
            <v>R04-129 Fernstaff</v>
          </cell>
          <cell r="D1132" t="str">
            <v>Muzzo Brothers Group Inc.</v>
          </cell>
          <cell r="E1132" t="str">
            <v>CO</v>
          </cell>
          <cell r="F1132">
            <v>41825</v>
          </cell>
          <cell r="G1132">
            <v>42048</v>
          </cell>
          <cell r="H1132">
            <v>49352</v>
          </cell>
          <cell r="I1132" t="str">
            <v>19 years, 11 months, 30 days</v>
          </cell>
          <cell r="J1132" t="str">
            <v>Renewables</v>
          </cell>
          <cell r="K1132" t="str">
            <v>Solar (Rooftop)</v>
          </cell>
          <cell r="L1132" t="str">
            <v>Solar</v>
          </cell>
          <cell r="M1132" t="str">
            <v>Dx</v>
          </cell>
          <cell r="N1132" t="str">
            <v>Concord</v>
          </cell>
          <cell r="O1132" t="str">
            <v>York</v>
          </cell>
          <cell r="P1132" t="str">
            <v>Toronto</v>
          </cell>
        </row>
        <row r="1133">
          <cell r="C1133" t="str">
            <v>120 Rodinea Road</v>
          </cell>
          <cell r="D1133" t="str">
            <v>Stellarbridge Management Inc.</v>
          </cell>
          <cell r="E1133" t="str">
            <v>CO</v>
          </cell>
          <cell r="F1133">
            <v>41489</v>
          </cell>
          <cell r="G1133">
            <v>41659</v>
          </cell>
          <cell r="H1133">
            <v>48793</v>
          </cell>
          <cell r="I1133" t="str">
            <v>19 years, 6 months, 13 days</v>
          </cell>
          <cell r="J1133" t="str">
            <v>Renewables</v>
          </cell>
          <cell r="K1133" t="str">
            <v>Solar (Rooftop)</v>
          </cell>
          <cell r="L1133" t="str">
            <v>Solar</v>
          </cell>
          <cell r="M1133" t="str">
            <v>Dx</v>
          </cell>
          <cell r="N1133" t="str">
            <v>Vaughan</v>
          </cell>
          <cell r="O1133" t="str">
            <v>York</v>
          </cell>
          <cell r="P1133" t="str">
            <v>Toronto</v>
          </cell>
        </row>
        <row r="1134">
          <cell r="C1134" t="str">
            <v>Convenience Storage</v>
          </cell>
          <cell r="D1134" t="str">
            <v>Pantone I Real Estate Inc.</v>
          </cell>
          <cell r="E1134" t="str">
            <v>CO</v>
          </cell>
          <cell r="F1134">
            <v>41790</v>
          </cell>
          <cell r="G1134">
            <v>41669</v>
          </cell>
          <cell r="H1134">
            <v>48973</v>
          </cell>
          <cell r="I1134" t="str">
            <v>19 years, 11 months, 30 days</v>
          </cell>
          <cell r="J1134" t="str">
            <v>Renewables</v>
          </cell>
          <cell r="K1134" t="str">
            <v>Solar (Rooftop)</v>
          </cell>
          <cell r="L1134" t="str">
            <v>Solar</v>
          </cell>
          <cell r="M1134" t="str">
            <v>Dx</v>
          </cell>
          <cell r="N1134" t="str">
            <v>Ottawa</v>
          </cell>
          <cell r="O1134" t="str">
            <v>Ottawa</v>
          </cell>
          <cell r="P1134" t="str">
            <v>Ottawa</v>
          </cell>
        </row>
        <row r="1135">
          <cell r="C1135" t="str">
            <v>(C84) Zehrs Coldwater Road</v>
          </cell>
          <cell r="D1135" t="str">
            <v>Firelight Solar LP</v>
          </cell>
          <cell r="E1135" t="str">
            <v>CO</v>
          </cell>
          <cell r="F1135">
            <v>41805</v>
          </cell>
          <cell r="G1135">
            <v>41537</v>
          </cell>
          <cell r="H1135">
            <v>48841</v>
          </cell>
          <cell r="I1135" t="str">
            <v>19 years, 11 months, 30 days</v>
          </cell>
          <cell r="J1135" t="str">
            <v>Renewables</v>
          </cell>
          <cell r="K1135" t="str">
            <v>Solar (Rooftop)</v>
          </cell>
          <cell r="L1135" t="str">
            <v>Solar</v>
          </cell>
          <cell r="M1135" t="str">
            <v>Dx</v>
          </cell>
          <cell r="N1135" t="str">
            <v>Orillia</v>
          </cell>
          <cell r="O1135" t="str">
            <v>Simcoe</v>
          </cell>
          <cell r="P1135" t="str">
            <v>Essa</v>
          </cell>
        </row>
        <row r="1136">
          <cell r="C1136" t="str">
            <v>K03-81 Elgin</v>
          </cell>
          <cell r="D1136" t="str">
            <v>GS 2013 LP</v>
          </cell>
          <cell r="E1136" t="str">
            <v>CO</v>
          </cell>
          <cell r="F1136">
            <v>41722</v>
          </cell>
          <cell r="G1136">
            <v>41493</v>
          </cell>
          <cell r="H1136">
            <v>48797</v>
          </cell>
          <cell r="I1136" t="str">
            <v>19 years, 11 months, 30 days</v>
          </cell>
          <cell r="J1136" t="str">
            <v>Renewables</v>
          </cell>
          <cell r="K1136" t="str">
            <v>Solar (Rooftop)</v>
          </cell>
          <cell r="L1136" t="str">
            <v>Solar</v>
          </cell>
          <cell r="M1136" t="str">
            <v>Dx</v>
          </cell>
          <cell r="N1136" t="str">
            <v>Brantford</v>
          </cell>
          <cell r="O1136" t="str">
            <v>Brant</v>
          </cell>
          <cell r="P1136" t="str">
            <v>Southwest</v>
          </cell>
        </row>
        <row r="1137">
          <cell r="C1137" t="str">
            <v>G06-720-730-740 Belfast</v>
          </cell>
          <cell r="D1137" t="str">
            <v>Fengate (FGDI) Limited Partnership</v>
          </cell>
          <cell r="E1137" t="str">
            <v>CO</v>
          </cell>
          <cell r="F1137">
            <v>41862</v>
          </cell>
          <cell r="G1137">
            <v>42087</v>
          </cell>
          <cell r="H1137">
            <v>49391</v>
          </cell>
          <cell r="I1137" t="str">
            <v>19 years, 11 months, 27 days</v>
          </cell>
          <cell r="J1137" t="str">
            <v>Renewables</v>
          </cell>
          <cell r="K1137" t="str">
            <v>Solar (Rooftop)</v>
          </cell>
          <cell r="L1137" t="str">
            <v>Solar</v>
          </cell>
          <cell r="M1137" t="str">
            <v>Dx</v>
          </cell>
          <cell r="N1137" t="str">
            <v>Ottawa</v>
          </cell>
          <cell r="O1137" t="str">
            <v>Ottawa</v>
          </cell>
          <cell r="P1137" t="str">
            <v>Ottawa</v>
          </cell>
        </row>
        <row r="1138">
          <cell r="C1138" t="str">
            <v>Stone Mills Solar Farm C (250KW)</v>
          </cell>
          <cell r="D1138" t="str">
            <v>Alectra Utilities Corporation</v>
          </cell>
          <cell r="E1138" t="str">
            <v>CO</v>
          </cell>
          <cell r="F1138">
            <v>41029</v>
          </cell>
          <cell r="G1138">
            <v>41187</v>
          </cell>
          <cell r="H1138">
            <v>48491</v>
          </cell>
          <cell r="I1138" t="str">
            <v>19 years, 11 months, 29 days</v>
          </cell>
          <cell r="J1138" t="str">
            <v>Renewables</v>
          </cell>
          <cell r="K1138" t="str">
            <v>Solar (Rooftop)</v>
          </cell>
          <cell r="L1138" t="str">
            <v>Solar</v>
          </cell>
          <cell r="M1138" t="str">
            <v>Dx</v>
          </cell>
          <cell r="N1138" t="str">
            <v>Camden East</v>
          </cell>
          <cell r="O1138" t="str">
            <v>Lennox and Addington</v>
          </cell>
          <cell r="P1138" t="str">
            <v>East</v>
          </cell>
        </row>
        <row r="1139">
          <cell r="C1139" t="str">
            <v>C13-174 Cleopatra Building 1</v>
          </cell>
          <cell r="D1139" t="str">
            <v>PSI Solar Finance 1 Limited Partnership</v>
          </cell>
          <cell r="E1139" t="str">
            <v>CO</v>
          </cell>
          <cell r="F1139">
            <v>41799</v>
          </cell>
          <cell r="G1139">
            <v>41974</v>
          </cell>
          <cell r="H1139">
            <v>49278</v>
          </cell>
          <cell r="I1139" t="str">
            <v>19 years, 11 months, 29 days</v>
          </cell>
          <cell r="J1139" t="str">
            <v>Renewables</v>
          </cell>
          <cell r="K1139" t="str">
            <v>Solar (Rooftop)</v>
          </cell>
          <cell r="L1139" t="str">
            <v>Solar</v>
          </cell>
          <cell r="M1139" t="str">
            <v>Dx</v>
          </cell>
          <cell r="N1139" t="str">
            <v>Ottawa</v>
          </cell>
          <cell r="O1139" t="str">
            <v>Ottawa</v>
          </cell>
          <cell r="P1139" t="str">
            <v>Ottawa</v>
          </cell>
        </row>
        <row r="1140">
          <cell r="C1140" t="str">
            <v>Beaver Creek Solar Energy Farm Phase I</v>
          </cell>
          <cell r="D1140" t="str">
            <v>Injasuti Developments Ltd.</v>
          </cell>
          <cell r="E1140" t="str">
            <v>CO</v>
          </cell>
          <cell r="F1140">
            <v>41029</v>
          </cell>
          <cell r="G1140">
            <v>41227</v>
          </cell>
          <cell r="H1140">
            <v>48531</v>
          </cell>
          <cell r="I1140" t="str">
            <v>19 years, 11 months, 30 days</v>
          </cell>
          <cell r="J1140" t="str">
            <v>Renewables</v>
          </cell>
          <cell r="K1140" t="str">
            <v>Solar (Ground Mounted)</v>
          </cell>
          <cell r="L1140" t="str">
            <v>Solar</v>
          </cell>
          <cell r="M1140" t="str">
            <v>Dx</v>
          </cell>
          <cell r="N1140" t="str">
            <v>St. Thomas</v>
          </cell>
          <cell r="O1140" t="str">
            <v>Elgin</v>
          </cell>
          <cell r="P1140" t="str">
            <v>West</v>
          </cell>
        </row>
        <row r="1141">
          <cell r="C1141" t="str">
            <v>Avonmore 7</v>
          </cell>
          <cell r="D1141" t="str">
            <v>Clearly Solar Energy Inc.</v>
          </cell>
          <cell r="E1141" t="str">
            <v>CO</v>
          </cell>
          <cell r="F1141">
            <v>41440</v>
          </cell>
          <cell r="G1141">
            <v>41438</v>
          </cell>
          <cell r="H1141">
            <v>48742</v>
          </cell>
          <cell r="I1141" t="str">
            <v>19 years, 11 months, 30 days</v>
          </cell>
          <cell r="J1141" t="str">
            <v>Renewables</v>
          </cell>
          <cell r="K1141" t="str">
            <v>Solar (Rooftop)</v>
          </cell>
          <cell r="L1141" t="str">
            <v>Solar</v>
          </cell>
          <cell r="M1141" t="str">
            <v>Dx</v>
          </cell>
          <cell r="N1141" t="str">
            <v>Avonmore</v>
          </cell>
          <cell r="O1141" t="str">
            <v>Stormont, Dundas and Glengarry</v>
          </cell>
          <cell r="P1141" t="str">
            <v>East</v>
          </cell>
        </row>
        <row r="1142">
          <cell r="C1142" t="str">
            <v>580 Granite</v>
          </cell>
          <cell r="D1142" t="str">
            <v>Long Holdings Inc</v>
          </cell>
          <cell r="E1142" t="str">
            <v>CO</v>
          </cell>
          <cell r="F1142">
            <v>41804</v>
          </cell>
          <cell r="G1142">
            <v>41285</v>
          </cell>
          <cell r="H1142">
            <v>48589</v>
          </cell>
          <cell r="I1142" t="str">
            <v>19 years, 11 months, 30 days</v>
          </cell>
          <cell r="J1142" t="str">
            <v>Renewables</v>
          </cell>
          <cell r="K1142" t="str">
            <v>Solar (Rooftop)</v>
          </cell>
          <cell r="L1142" t="str">
            <v>Solar</v>
          </cell>
          <cell r="M1142" t="str">
            <v>Dx</v>
          </cell>
          <cell r="N1142" t="str">
            <v>Pickering</v>
          </cell>
          <cell r="O1142" t="str">
            <v>Durham</v>
          </cell>
          <cell r="P1142" t="str">
            <v>Toronto</v>
          </cell>
        </row>
        <row r="1143">
          <cell r="C1143" t="str">
            <v>Simcoe Solar Energy Centre III</v>
          </cell>
          <cell r="D1143" t="str">
            <v>TerraForm Ontario Solar LP</v>
          </cell>
          <cell r="E1143" t="str">
            <v>CO</v>
          </cell>
          <cell r="F1143">
            <v>42253</v>
          </cell>
          <cell r="G1143">
            <v>41512</v>
          </cell>
          <cell r="H1143">
            <v>48816</v>
          </cell>
          <cell r="I1143" t="str">
            <v>19 years, 11 months, 30 days</v>
          </cell>
          <cell r="J1143" t="str">
            <v>Renewables</v>
          </cell>
          <cell r="K1143" t="str">
            <v>Solar (Ground Mounted)</v>
          </cell>
          <cell r="L1143" t="str">
            <v>Solar</v>
          </cell>
          <cell r="M1143" t="str">
            <v>Dx</v>
          </cell>
          <cell r="N1143" t="str">
            <v>Woodville</v>
          </cell>
          <cell r="O1143" t="str">
            <v>Kawartha Lakes</v>
          </cell>
          <cell r="P1143" t="str">
            <v>Essa</v>
          </cell>
        </row>
        <row r="1144">
          <cell r="C1144" t="str">
            <v>DiscoveryLight</v>
          </cell>
          <cell r="D1144" t="str">
            <v>Axium Discovery Light LP</v>
          </cell>
          <cell r="E1144" t="str">
            <v>CO</v>
          </cell>
          <cell r="F1144">
            <v>41722</v>
          </cell>
          <cell r="G1144">
            <v>41946</v>
          </cell>
          <cell r="H1144">
            <v>49250</v>
          </cell>
          <cell r="I1144" t="str">
            <v>19 years, 11 months, 30 days</v>
          </cell>
          <cell r="J1144" t="str">
            <v>Renewables</v>
          </cell>
          <cell r="K1144" t="str">
            <v>Solar (Ground Mounted)</v>
          </cell>
          <cell r="L1144" t="str">
            <v>Solar</v>
          </cell>
          <cell r="M1144" t="str">
            <v>Dx</v>
          </cell>
          <cell r="N1144" t="str">
            <v>Beaverton</v>
          </cell>
          <cell r="O1144" t="str">
            <v>Durham</v>
          </cell>
          <cell r="P1144" t="str">
            <v>Essa</v>
          </cell>
        </row>
        <row r="1145">
          <cell r="C1145" t="str">
            <v>Shunpiker Farms</v>
          </cell>
          <cell r="D1145" t="str">
            <v>Shunpiker Solar Inc.</v>
          </cell>
          <cell r="E1145" t="str">
            <v>CO</v>
          </cell>
          <cell r="F1145">
            <v>41029</v>
          </cell>
          <cell r="G1145">
            <v>40998</v>
          </cell>
          <cell r="H1145">
            <v>48302</v>
          </cell>
          <cell r="I1145" t="str">
            <v>19 years, 11 months, 28 days</v>
          </cell>
          <cell r="J1145" t="str">
            <v>Renewables</v>
          </cell>
          <cell r="K1145" t="str">
            <v>Solar (Rooftop)</v>
          </cell>
          <cell r="L1145" t="str">
            <v>Solar</v>
          </cell>
          <cell r="M1145" t="str">
            <v>Dx</v>
          </cell>
          <cell r="N1145" t="str">
            <v>Muirkirk</v>
          </cell>
          <cell r="O1145" t="str">
            <v>Chatham-Kent</v>
          </cell>
          <cell r="P1145" t="str">
            <v>West</v>
          </cell>
        </row>
        <row r="1146">
          <cell r="C1146" t="str">
            <v>1388319 536 Imperial</v>
          </cell>
          <cell r="D1146" t="str">
            <v>St. Regis Solar Power Corporation</v>
          </cell>
          <cell r="E1146" t="str">
            <v>CO</v>
          </cell>
          <cell r="F1146">
            <v>41834</v>
          </cell>
          <cell r="G1146">
            <v>41381</v>
          </cell>
          <cell r="H1146">
            <v>48685</v>
          </cell>
          <cell r="I1146" t="str">
            <v>19 years, 11 months, 30 days</v>
          </cell>
          <cell r="J1146" t="str">
            <v>Renewables</v>
          </cell>
          <cell r="K1146" t="str">
            <v>Solar (Rooftop)</v>
          </cell>
          <cell r="L1146" t="str">
            <v>Solar</v>
          </cell>
          <cell r="M1146" t="str">
            <v>Dx</v>
          </cell>
          <cell r="N1146" t="str">
            <v>Guelph</v>
          </cell>
          <cell r="O1146" t="str">
            <v>Wellington</v>
          </cell>
          <cell r="P1146" t="str">
            <v>Southwest</v>
          </cell>
        </row>
        <row r="1147">
          <cell r="C1147" t="str">
            <v>Don Kennedy Solar</v>
          </cell>
          <cell r="D1147" t="str">
            <v>Don Kennedy</v>
          </cell>
          <cell r="E1147" t="str">
            <v>CO</v>
          </cell>
          <cell r="F1147">
            <v>41029</v>
          </cell>
          <cell r="G1147">
            <v>40840</v>
          </cell>
          <cell r="H1147">
            <v>48144</v>
          </cell>
          <cell r="I1147" t="str">
            <v>19 years, 11 months, 29 days</v>
          </cell>
          <cell r="J1147" t="str">
            <v>Renewables</v>
          </cell>
          <cell r="K1147" t="str">
            <v>Solar (Rooftop)</v>
          </cell>
          <cell r="L1147" t="str">
            <v>Solar</v>
          </cell>
          <cell r="M1147" t="str">
            <v>Dx</v>
          </cell>
          <cell r="N1147" t="str">
            <v>Allenford</v>
          </cell>
          <cell r="O1147" t="str">
            <v>Bruce</v>
          </cell>
          <cell r="P1147" t="str">
            <v>Southwest</v>
          </cell>
        </row>
        <row r="1148">
          <cell r="C1148" t="str">
            <v>Cavanagh Solar 1</v>
          </cell>
          <cell r="D1148" t="str">
            <v>Thomas Cavanagh Construction Limited</v>
          </cell>
          <cell r="E1148" t="str">
            <v>CO</v>
          </cell>
          <cell r="F1148">
            <v>41029</v>
          </cell>
          <cell r="G1148">
            <v>41064</v>
          </cell>
          <cell r="H1148">
            <v>48368</v>
          </cell>
          <cell r="I1148" t="str">
            <v>19 years, 11 months, 30 days</v>
          </cell>
          <cell r="J1148" t="str">
            <v>Renewables</v>
          </cell>
          <cell r="K1148" t="str">
            <v>Solar (Rooftop)</v>
          </cell>
          <cell r="L1148" t="str">
            <v>Solar</v>
          </cell>
          <cell r="M1148" t="str">
            <v>Dx</v>
          </cell>
          <cell r="N1148" t="str">
            <v>Athens</v>
          </cell>
          <cell r="O1148" t="str">
            <v>Leeds and Grenville</v>
          </cell>
          <cell r="P1148" t="str">
            <v>East</v>
          </cell>
        </row>
        <row r="1149">
          <cell r="C1149" t="str">
            <v>T04-665 Adelaide</v>
          </cell>
          <cell r="D1149" t="str">
            <v>Alectra Utilities Corporation</v>
          </cell>
          <cell r="E1149" t="str">
            <v>CO</v>
          </cell>
          <cell r="F1149">
            <v>41854</v>
          </cell>
          <cell r="G1149">
            <v>41785</v>
          </cell>
          <cell r="H1149">
            <v>49089</v>
          </cell>
          <cell r="I1149" t="str">
            <v>19 years, 11 months, 29 days</v>
          </cell>
          <cell r="J1149" t="str">
            <v>Renewables</v>
          </cell>
          <cell r="K1149" t="str">
            <v>Solar (Rooftop)</v>
          </cell>
          <cell r="L1149" t="str">
            <v>Solar</v>
          </cell>
          <cell r="M1149" t="str">
            <v>Dx</v>
          </cell>
          <cell r="N1149" t="str">
            <v>London</v>
          </cell>
          <cell r="O1149" t="str">
            <v>Middlesex</v>
          </cell>
          <cell r="P1149" t="str">
            <v>West</v>
          </cell>
        </row>
        <row r="1150">
          <cell r="C1150" t="str">
            <v>All Seasons FIT</v>
          </cell>
          <cell r="D1150" t="str">
            <v>1820898 Ontario Inc.</v>
          </cell>
          <cell r="E1150" t="str">
            <v>CO</v>
          </cell>
          <cell r="F1150">
            <v>41820</v>
          </cell>
          <cell r="G1150">
            <v>41015</v>
          </cell>
          <cell r="H1150">
            <v>48319</v>
          </cell>
          <cell r="I1150" t="str">
            <v>19 years, 11 months, 30 days</v>
          </cell>
          <cell r="J1150" t="str">
            <v>Renewables</v>
          </cell>
          <cell r="K1150" t="str">
            <v>Solar (Rooftop)</v>
          </cell>
          <cell r="L1150" t="str">
            <v>Solar</v>
          </cell>
          <cell r="M1150" t="str">
            <v>Dx</v>
          </cell>
          <cell r="N1150" t="str">
            <v>Barrie</v>
          </cell>
          <cell r="O1150" t="str">
            <v>Simcoe</v>
          </cell>
          <cell r="P1150" t="str">
            <v>Essa</v>
          </cell>
        </row>
        <row r="1151">
          <cell r="C1151" t="str">
            <v>Fort Frances High School 100kW</v>
          </cell>
          <cell r="D1151" t="str">
            <v>Rainy River District School Board</v>
          </cell>
          <cell r="E1151" t="str">
            <v>CO</v>
          </cell>
          <cell r="F1151">
            <v>41029</v>
          </cell>
          <cell r="G1151">
            <v>40792</v>
          </cell>
          <cell r="H1151">
            <v>48096</v>
          </cell>
          <cell r="I1151" t="str">
            <v>19 years, 11 months, 30 days</v>
          </cell>
          <cell r="J1151" t="str">
            <v>Renewables</v>
          </cell>
          <cell r="K1151" t="str">
            <v>Solar (Rooftop)</v>
          </cell>
          <cell r="L1151" t="str">
            <v>Solar</v>
          </cell>
          <cell r="M1151" t="str">
            <v>Dx</v>
          </cell>
          <cell r="N1151" t="str">
            <v>Fort Frances</v>
          </cell>
          <cell r="O1151" t="str">
            <v>Rainy River</v>
          </cell>
          <cell r="P1151" t="str">
            <v>Northwest</v>
          </cell>
        </row>
        <row r="1152">
          <cell r="C1152" t="str">
            <v>5070 Benson Dr</v>
          </cell>
          <cell r="D1152" t="str">
            <v>1475714 Ontario Inc.</v>
          </cell>
          <cell r="E1152" t="str">
            <v>CO</v>
          </cell>
          <cell r="F1152">
            <v>41029</v>
          </cell>
          <cell r="G1152">
            <v>41211</v>
          </cell>
          <cell r="H1152">
            <v>48515</v>
          </cell>
          <cell r="I1152" t="str">
            <v>19 years, 11 months, 29 days</v>
          </cell>
          <cell r="J1152" t="str">
            <v>Renewables</v>
          </cell>
          <cell r="K1152" t="str">
            <v>Solar (Rooftop)</v>
          </cell>
          <cell r="L1152" t="str">
            <v>Solar</v>
          </cell>
          <cell r="M1152" t="str">
            <v>Dx</v>
          </cell>
          <cell r="N1152" t="str">
            <v>Burlington</v>
          </cell>
          <cell r="O1152" t="str">
            <v>Halton</v>
          </cell>
          <cell r="P1152" t="str">
            <v>Southwest</v>
          </cell>
        </row>
        <row r="1153">
          <cell r="C1153" t="str">
            <v>Bayview Flowers Solar</v>
          </cell>
          <cell r="D1153" t="str">
            <v>Bayview Greenhouses (Jordan Station) Inc.</v>
          </cell>
          <cell r="E1153" t="str">
            <v>CO</v>
          </cell>
          <cell r="F1153">
            <v>41790</v>
          </cell>
          <cell r="G1153">
            <v>41404</v>
          </cell>
          <cell r="H1153">
            <v>48708</v>
          </cell>
          <cell r="I1153" t="str">
            <v>19 years, 11 months, 29 days</v>
          </cell>
          <cell r="J1153" t="str">
            <v>Renewables</v>
          </cell>
          <cell r="K1153" t="str">
            <v>Solar (Rooftop)</v>
          </cell>
          <cell r="L1153" t="str">
            <v>Solar</v>
          </cell>
          <cell r="M1153" t="str">
            <v>Dx</v>
          </cell>
          <cell r="N1153" t="str">
            <v>Jordan Station</v>
          </cell>
          <cell r="O1153" t="str">
            <v>Niagara</v>
          </cell>
          <cell r="P1153" t="str">
            <v>Niagara</v>
          </cell>
        </row>
        <row r="1154">
          <cell r="C1154" t="str">
            <v>(F11) Your Independent Grocer King Street West</v>
          </cell>
          <cell r="D1154" t="str">
            <v>Firelight Solar LP</v>
          </cell>
          <cell r="E1154" t="str">
            <v>CO</v>
          </cell>
          <cell r="F1154">
            <v>41734</v>
          </cell>
          <cell r="G1154">
            <v>41586</v>
          </cell>
          <cell r="H1154">
            <v>48890</v>
          </cell>
          <cell r="I1154" t="str">
            <v>19 years, 11 months, 30 days</v>
          </cell>
          <cell r="J1154" t="str">
            <v>Renewables</v>
          </cell>
          <cell r="K1154" t="str">
            <v>Solar (Rooftop)</v>
          </cell>
          <cell r="L1154" t="str">
            <v>Solar</v>
          </cell>
          <cell r="M1154" t="str">
            <v>Dx</v>
          </cell>
          <cell r="N1154" t="str">
            <v>Ingersoll</v>
          </cell>
          <cell r="O1154" t="str">
            <v>Oxford</v>
          </cell>
          <cell r="P1154" t="str">
            <v>Southwest</v>
          </cell>
        </row>
        <row r="1155">
          <cell r="C1155" t="str">
            <v>(C13) Real Canadian Superstore Louth Street</v>
          </cell>
          <cell r="D1155" t="str">
            <v>Firelight Solar LP</v>
          </cell>
          <cell r="E1155" t="str">
            <v>CO</v>
          </cell>
          <cell r="F1155">
            <v>41720</v>
          </cell>
          <cell r="G1155">
            <v>41850</v>
          </cell>
          <cell r="H1155">
            <v>49154</v>
          </cell>
          <cell r="I1155" t="str">
            <v>19 years, 11 months, 29 days</v>
          </cell>
          <cell r="J1155" t="str">
            <v>Renewables</v>
          </cell>
          <cell r="K1155" t="str">
            <v>Solar (Rooftop)</v>
          </cell>
          <cell r="L1155" t="str">
            <v>Solar</v>
          </cell>
          <cell r="M1155" t="str">
            <v>Dx</v>
          </cell>
          <cell r="N1155" t="str">
            <v>St. Catharines</v>
          </cell>
          <cell r="O1155" t="str">
            <v>Niagara</v>
          </cell>
          <cell r="P1155" t="str">
            <v>Niagara</v>
          </cell>
        </row>
        <row r="1156">
          <cell r="C1156" t="str">
            <v>Horizon Utilities - St. Catharines Location</v>
          </cell>
          <cell r="D1156" t="str">
            <v>Solar Sunbelt General Partnership</v>
          </cell>
          <cell r="E1156" t="str">
            <v>CO</v>
          </cell>
          <cell r="F1156">
            <v>41797</v>
          </cell>
          <cell r="G1156">
            <v>41264</v>
          </cell>
          <cell r="H1156">
            <v>48568</v>
          </cell>
          <cell r="I1156" t="str">
            <v>19 years, 11 months, 29 days</v>
          </cell>
          <cell r="J1156" t="str">
            <v>Renewables</v>
          </cell>
          <cell r="K1156" t="str">
            <v>Solar (Rooftop)</v>
          </cell>
          <cell r="L1156" t="str">
            <v>Solar</v>
          </cell>
          <cell r="M1156" t="str">
            <v>Dx</v>
          </cell>
          <cell r="N1156" t="str">
            <v>St. Catharines</v>
          </cell>
          <cell r="O1156" t="str">
            <v>Niagara</v>
          </cell>
          <cell r="P1156" t="str">
            <v>Niagara</v>
          </cell>
        </row>
        <row r="1157">
          <cell r="C1157" t="str">
            <v>Canadian Solar Developers Ltd. L.P.#7</v>
          </cell>
          <cell r="D1157" t="str">
            <v>Mann Ground Mount Solar Ltd.</v>
          </cell>
          <cell r="E1157" t="str">
            <v>CO</v>
          </cell>
          <cell r="F1157">
            <v>41510</v>
          </cell>
          <cell r="G1157">
            <v>41779</v>
          </cell>
          <cell r="H1157">
            <v>48814</v>
          </cell>
          <cell r="I1157" t="str">
            <v>19 years, 3 months, 3 days</v>
          </cell>
          <cell r="J1157" t="str">
            <v>Renewables</v>
          </cell>
          <cell r="K1157" t="str">
            <v>Solar (Ground Mounted)</v>
          </cell>
          <cell r="L1157" t="str">
            <v>Solar</v>
          </cell>
          <cell r="M1157" t="str">
            <v>Dx</v>
          </cell>
          <cell r="N1157" t="str">
            <v>Mount Brydges</v>
          </cell>
          <cell r="O1157" t="str">
            <v>Middlesex</v>
          </cell>
          <cell r="P1157" t="str">
            <v>West</v>
          </cell>
        </row>
        <row r="1158">
          <cell r="C1158" t="str">
            <v>M01-8305 Jane</v>
          </cell>
          <cell r="D1158" t="str">
            <v>Rowhedge Construction Limited</v>
          </cell>
          <cell r="E1158" t="str">
            <v>CO</v>
          </cell>
          <cell r="F1158">
            <v>41811</v>
          </cell>
          <cell r="G1158">
            <v>41977</v>
          </cell>
          <cell r="H1158">
            <v>49281</v>
          </cell>
          <cell r="I1158" t="str">
            <v>19 years, 11 months, 29 days</v>
          </cell>
          <cell r="J1158" t="str">
            <v>Renewables</v>
          </cell>
          <cell r="K1158" t="str">
            <v>Solar (Rooftop)</v>
          </cell>
          <cell r="L1158" t="str">
            <v>Solar</v>
          </cell>
          <cell r="M1158" t="str">
            <v>Dx</v>
          </cell>
          <cell r="N1158" t="str">
            <v>Concord</v>
          </cell>
          <cell r="O1158" t="str">
            <v>York</v>
          </cell>
          <cell r="P1158" t="str">
            <v>Toronto</v>
          </cell>
        </row>
        <row r="1159">
          <cell r="C1159" t="str">
            <v>Bluewater Solar 250 Queen</v>
          </cell>
          <cell r="D1159" t="str">
            <v>1835914 Ontario Inc.</v>
          </cell>
          <cell r="E1159" t="str">
            <v>CO</v>
          </cell>
          <cell r="F1159">
            <v>41472</v>
          </cell>
          <cell r="G1159">
            <v>41592</v>
          </cell>
          <cell r="H1159">
            <v>48776</v>
          </cell>
          <cell r="I1159" t="str">
            <v>19 years, 8 months, 2 days</v>
          </cell>
          <cell r="J1159" t="str">
            <v>Renewables</v>
          </cell>
          <cell r="K1159" t="str">
            <v>Solar (Rooftop)</v>
          </cell>
          <cell r="L1159" t="str">
            <v>Solar</v>
          </cell>
          <cell r="M1159" t="str">
            <v>Dx</v>
          </cell>
          <cell r="N1159" t="str">
            <v>Sarnia</v>
          </cell>
          <cell r="O1159" t="str">
            <v>Lambton</v>
          </cell>
          <cell r="P1159" t="str">
            <v>West</v>
          </cell>
        </row>
        <row r="1160">
          <cell r="C1160" t="str">
            <v>H06-2121 10TH LINE</v>
          </cell>
          <cell r="D1160" t="str">
            <v>PSI Solar Finance 1 Limited Partnership</v>
          </cell>
          <cell r="E1160" t="str">
            <v>CO</v>
          </cell>
          <cell r="F1160">
            <v>41805</v>
          </cell>
          <cell r="G1160">
            <v>41918</v>
          </cell>
          <cell r="H1160">
            <v>49109</v>
          </cell>
          <cell r="I1160" t="str">
            <v>19 years, 8 months, 8 days</v>
          </cell>
          <cell r="J1160" t="str">
            <v>Renewables</v>
          </cell>
          <cell r="K1160" t="str">
            <v>Solar (Rooftop)</v>
          </cell>
          <cell r="L1160" t="str">
            <v>Solar</v>
          </cell>
          <cell r="M1160" t="str">
            <v>Dx</v>
          </cell>
          <cell r="N1160" t="str">
            <v>Ottawa</v>
          </cell>
          <cell r="O1160" t="str">
            <v>Ottawa</v>
          </cell>
          <cell r="P1160" t="str">
            <v>Ottawa</v>
          </cell>
        </row>
        <row r="1161">
          <cell r="C1161" t="str">
            <v>GEDSB St. George-German</v>
          </cell>
          <cell r="D1161" t="str">
            <v>Ameresco GEDSB Solar Inc.</v>
          </cell>
          <cell r="E1161" t="str">
            <v>CO</v>
          </cell>
          <cell r="F1161">
            <v>41442</v>
          </cell>
          <cell r="G1161">
            <v>41589</v>
          </cell>
          <cell r="H1161">
            <v>48746</v>
          </cell>
          <cell r="I1161" t="str">
            <v>19 years, 7 months, 5 days</v>
          </cell>
          <cell r="J1161" t="str">
            <v>Renewables</v>
          </cell>
          <cell r="K1161" t="str">
            <v>Solar (Rooftop)</v>
          </cell>
          <cell r="L1161" t="str">
            <v>Solar</v>
          </cell>
          <cell r="M1161" t="str">
            <v>Dx</v>
          </cell>
          <cell r="N1161" t="str">
            <v>St. George</v>
          </cell>
          <cell r="O1161" t="str">
            <v>Brant</v>
          </cell>
          <cell r="P1161" t="str">
            <v>Southwest</v>
          </cell>
        </row>
        <row r="1162">
          <cell r="C1162" t="str">
            <v>Northam Industrial Park</v>
          </cell>
          <cell r="D1162" t="str">
            <v>Solar Income Fund LP (#5)</v>
          </cell>
          <cell r="E1162" t="str">
            <v>CO</v>
          </cell>
          <cell r="F1162">
            <v>41820</v>
          </cell>
          <cell r="G1162">
            <v>41862</v>
          </cell>
          <cell r="H1162">
            <v>49166</v>
          </cell>
          <cell r="I1162" t="str">
            <v>19 years, 11 months, 30 days</v>
          </cell>
          <cell r="J1162" t="str">
            <v>Renewables</v>
          </cell>
          <cell r="K1162" t="str">
            <v>Solar (Rooftop)</v>
          </cell>
          <cell r="L1162" t="str">
            <v>Solar</v>
          </cell>
          <cell r="M1162" t="str">
            <v>Dx</v>
          </cell>
          <cell r="N1162" t="str">
            <v>Cobourg</v>
          </cell>
          <cell r="O1162" t="str">
            <v>Northumberland</v>
          </cell>
          <cell r="P1162" t="str">
            <v>East</v>
          </cell>
        </row>
        <row r="1163">
          <cell r="C1163" t="str">
            <v>#664 30 Lyndon Rd, Brantford</v>
          </cell>
          <cell r="D1163" t="str">
            <v>PSI Solar Finance 1 Limited Partnership</v>
          </cell>
          <cell r="E1163" t="str">
            <v>CO</v>
          </cell>
          <cell r="F1163">
            <v>41897</v>
          </cell>
          <cell r="G1163">
            <v>41474</v>
          </cell>
          <cell r="H1163">
            <v>48778</v>
          </cell>
          <cell r="I1163" t="str">
            <v>19 years, 11 months, 29 days</v>
          </cell>
          <cell r="J1163" t="str">
            <v>Renewables</v>
          </cell>
          <cell r="K1163" t="str">
            <v>Solar (Rooftop)</v>
          </cell>
          <cell r="L1163" t="str">
            <v>Solar</v>
          </cell>
          <cell r="M1163" t="str">
            <v>Dx</v>
          </cell>
          <cell r="N1163" t="str">
            <v>Brantford</v>
          </cell>
          <cell r="O1163" t="str">
            <v>Brant</v>
          </cell>
          <cell r="P1163" t="str">
            <v>Southwest</v>
          </cell>
        </row>
        <row r="1164">
          <cell r="C1164" t="str">
            <v>S10-400 Maplegrove</v>
          </cell>
          <cell r="D1164" t="str">
            <v>Signature Centre Co-Tenancy</v>
          </cell>
          <cell r="E1164" t="str">
            <v>CO</v>
          </cell>
          <cell r="F1164">
            <v>41875</v>
          </cell>
          <cell r="G1164">
            <v>41957</v>
          </cell>
          <cell r="H1164">
            <v>49261</v>
          </cell>
          <cell r="I1164" t="str">
            <v>19 years, 11 months, 30 days</v>
          </cell>
          <cell r="J1164" t="str">
            <v>Renewables</v>
          </cell>
          <cell r="K1164" t="str">
            <v>Solar (Rooftop)</v>
          </cell>
          <cell r="L1164" t="str">
            <v>Solar</v>
          </cell>
          <cell r="M1164" t="str">
            <v>Dx</v>
          </cell>
          <cell r="N1164" t="str">
            <v>Ottawa</v>
          </cell>
          <cell r="O1164" t="str">
            <v>Ottawa</v>
          </cell>
          <cell r="P1164" t="str">
            <v>Ottawa</v>
          </cell>
        </row>
        <row r="1165">
          <cell r="C1165" t="str">
            <v>H06-256-260 KINGSTON</v>
          </cell>
          <cell r="D1165" t="str">
            <v>PSI Solar Finance 1 Limited Partnership</v>
          </cell>
          <cell r="E1165" t="str">
            <v>CO</v>
          </cell>
          <cell r="F1165">
            <v>41720</v>
          </cell>
          <cell r="G1165">
            <v>41878</v>
          </cell>
          <cell r="H1165">
            <v>49182</v>
          </cell>
          <cell r="I1165" t="str">
            <v>19 years, 11 months, 30 days</v>
          </cell>
          <cell r="J1165" t="str">
            <v>Renewables</v>
          </cell>
          <cell r="K1165" t="str">
            <v>Solar (Rooftop)</v>
          </cell>
          <cell r="L1165" t="str">
            <v>Solar</v>
          </cell>
          <cell r="M1165" t="str">
            <v>Dx</v>
          </cell>
          <cell r="N1165" t="str">
            <v>Ajax</v>
          </cell>
          <cell r="O1165" t="str">
            <v>Durham</v>
          </cell>
          <cell r="P1165" t="str">
            <v>Toronto</v>
          </cell>
        </row>
        <row r="1166">
          <cell r="C1166" t="str">
            <v>1173 Michener Rd</v>
          </cell>
          <cell r="D1166" t="str">
            <v>1835914 Ontario Inc.</v>
          </cell>
          <cell r="E1166" t="str">
            <v>CO</v>
          </cell>
          <cell r="F1166">
            <v>41790</v>
          </cell>
          <cell r="G1166">
            <v>41349</v>
          </cell>
          <cell r="H1166">
            <v>48653</v>
          </cell>
          <cell r="I1166" t="str">
            <v>19 years, 11 months, 27 days</v>
          </cell>
          <cell r="J1166" t="str">
            <v>Renewables</v>
          </cell>
          <cell r="K1166" t="str">
            <v>Solar (Rooftop)</v>
          </cell>
          <cell r="L1166" t="str">
            <v>Solar</v>
          </cell>
          <cell r="M1166" t="str">
            <v>Dx</v>
          </cell>
          <cell r="N1166" t="str">
            <v>Sarnia</v>
          </cell>
          <cell r="O1166" t="str">
            <v>Lambton</v>
          </cell>
          <cell r="P1166" t="str">
            <v>West</v>
          </cell>
        </row>
        <row r="1167">
          <cell r="C1167" t="str">
            <v>Perpetual Cleanpower Oro 4 Line</v>
          </cell>
          <cell r="D1167" t="str">
            <v>Oro LP</v>
          </cell>
          <cell r="E1167" t="str">
            <v>CO</v>
          </cell>
          <cell r="F1167">
            <v>41710</v>
          </cell>
          <cell r="G1167">
            <v>42032</v>
          </cell>
          <cell r="H1167">
            <v>49336</v>
          </cell>
          <cell r="I1167" t="str">
            <v>19 years, 11 months, 30 days</v>
          </cell>
          <cell r="J1167" t="str">
            <v>Renewables</v>
          </cell>
          <cell r="K1167" t="str">
            <v>Solar (Ground Mounted)</v>
          </cell>
          <cell r="L1167" t="str">
            <v>Solar</v>
          </cell>
          <cell r="M1167" t="str">
            <v>Dx</v>
          </cell>
          <cell r="N1167" t="str">
            <v>Hawkestone</v>
          </cell>
          <cell r="O1167" t="str">
            <v>Simcoe</v>
          </cell>
          <cell r="P1167" t="str">
            <v>Essa</v>
          </cell>
        </row>
        <row r="1168">
          <cell r="C1168" t="str">
            <v>50 Keith</v>
          </cell>
          <cell r="D1168" t="str">
            <v>Fovere Glenbarra Energy Fund I Limited Partnership</v>
          </cell>
          <cell r="E1168" t="str">
            <v>CO</v>
          </cell>
          <cell r="F1168">
            <v>41834</v>
          </cell>
          <cell r="G1168">
            <v>41975</v>
          </cell>
          <cell r="H1168">
            <v>49279</v>
          </cell>
          <cell r="I1168" t="str">
            <v>19 years, 11 months, 29 days</v>
          </cell>
          <cell r="J1168" t="str">
            <v>Renewables</v>
          </cell>
          <cell r="K1168" t="str">
            <v>Solar (Rooftop)</v>
          </cell>
          <cell r="L1168" t="str">
            <v>Solar</v>
          </cell>
          <cell r="M1168" t="str">
            <v>Dx</v>
          </cell>
          <cell r="N1168" t="str">
            <v>Bracebridge</v>
          </cell>
          <cell r="O1168" t="str">
            <v>Muskoka</v>
          </cell>
          <cell r="P1168" t="str">
            <v>Essa</v>
          </cell>
        </row>
        <row r="1169">
          <cell r="C1169" t="str">
            <v>T04-947 Warden</v>
          </cell>
          <cell r="D1169" t="str">
            <v>Alectra Utilities Corporation</v>
          </cell>
          <cell r="E1169" t="str">
            <v>CO</v>
          </cell>
          <cell r="F1169">
            <v>41720</v>
          </cell>
          <cell r="G1169">
            <v>41823</v>
          </cell>
          <cell r="H1169">
            <v>49127</v>
          </cell>
          <cell r="I1169" t="str">
            <v>19 years, 11 months, 29 days</v>
          </cell>
          <cell r="J1169" t="str">
            <v>Renewables</v>
          </cell>
          <cell r="K1169" t="str">
            <v>Solar (Rooftop)</v>
          </cell>
          <cell r="L1169" t="str">
            <v>Solar</v>
          </cell>
          <cell r="M1169" t="str">
            <v>Dx</v>
          </cell>
          <cell r="N1169" t="str">
            <v>Toronto</v>
          </cell>
          <cell r="O1169" t="str">
            <v>Toronto</v>
          </cell>
          <cell r="P1169" t="str">
            <v>Toronto</v>
          </cell>
        </row>
        <row r="1170">
          <cell r="C1170" t="str">
            <v>15825 Robins Hill</v>
          </cell>
          <cell r="D1170" t="str">
            <v>PSI Solar Finance 1 Limited Partnership</v>
          </cell>
          <cell r="E1170" t="str">
            <v>CO</v>
          </cell>
          <cell r="F1170">
            <v>41841</v>
          </cell>
          <cell r="G1170">
            <v>41504</v>
          </cell>
          <cell r="H1170">
            <v>48808</v>
          </cell>
          <cell r="I1170" t="str">
            <v>19 years, 11 months, 30 days</v>
          </cell>
          <cell r="J1170" t="str">
            <v>Renewables</v>
          </cell>
          <cell r="K1170" t="str">
            <v>Solar (Rooftop)</v>
          </cell>
          <cell r="L1170" t="str">
            <v>Solar</v>
          </cell>
          <cell r="M1170" t="str">
            <v>Dx</v>
          </cell>
          <cell r="N1170" t="str">
            <v>London</v>
          </cell>
          <cell r="O1170" t="str">
            <v>Middlesex</v>
          </cell>
          <cell r="P1170" t="str">
            <v>West</v>
          </cell>
        </row>
        <row r="1171">
          <cell r="C1171" t="str">
            <v>Solar Beams 2</v>
          </cell>
          <cell r="D1171" t="str">
            <v>Sparta Plantations Limited</v>
          </cell>
          <cell r="E1171" t="str">
            <v>CO</v>
          </cell>
          <cell r="F1171">
            <v>41029</v>
          </cell>
          <cell r="G1171">
            <v>41114</v>
          </cell>
          <cell r="H1171">
            <v>48418</v>
          </cell>
          <cell r="I1171" t="str">
            <v>19 years, 11 months, 29 days</v>
          </cell>
          <cell r="J1171" t="str">
            <v>Renewables</v>
          </cell>
          <cell r="K1171" t="str">
            <v>Solar (Rooftop)</v>
          </cell>
          <cell r="L1171" t="str">
            <v>Solar</v>
          </cell>
          <cell r="M1171" t="str">
            <v>Dx</v>
          </cell>
          <cell r="N1171" t="str">
            <v>Sparta</v>
          </cell>
          <cell r="O1171" t="str">
            <v>Elgin</v>
          </cell>
          <cell r="P1171" t="str">
            <v>West</v>
          </cell>
        </row>
        <row r="1172">
          <cell r="C1172" t="str">
            <v>Intech number 4 - N0L 2C0</v>
          </cell>
          <cell r="D1172" t="str">
            <v>Intech Clean Energy Inc.</v>
          </cell>
          <cell r="E1172" t="str">
            <v>CO</v>
          </cell>
          <cell r="F1172">
            <v>41877</v>
          </cell>
          <cell r="G1172">
            <v>41544</v>
          </cell>
          <cell r="H1172">
            <v>48848</v>
          </cell>
          <cell r="I1172" t="str">
            <v>19 years, 11 months, 30 days</v>
          </cell>
          <cell r="J1172" t="str">
            <v>Renewables</v>
          </cell>
          <cell r="K1172" t="str">
            <v>Solar (Ground Mounted)</v>
          </cell>
          <cell r="L1172" t="str">
            <v>Solar</v>
          </cell>
          <cell r="M1172" t="str">
            <v>Dx</v>
          </cell>
          <cell r="N1172" t="str">
            <v>Rodney</v>
          </cell>
          <cell r="O1172" t="str">
            <v>Elgin</v>
          </cell>
          <cell r="P1172" t="str">
            <v>West</v>
          </cell>
        </row>
        <row r="1173">
          <cell r="C1173" t="str">
            <v>A07-65 Riviera</v>
          </cell>
          <cell r="D1173" t="str">
            <v>2421553 Ontario Inc.</v>
          </cell>
          <cell r="E1173" t="str">
            <v>CO</v>
          </cell>
          <cell r="F1173">
            <v>41724</v>
          </cell>
          <cell r="G1173">
            <v>41900</v>
          </cell>
          <cell r="H1173">
            <v>49204</v>
          </cell>
          <cell r="I1173" t="str">
            <v>19 years, 11 months, 30 days</v>
          </cell>
          <cell r="J1173" t="str">
            <v>Renewables</v>
          </cell>
          <cell r="K1173" t="str">
            <v>Solar (Rooftop)</v>
          </cell>
          <cell r="L1173" t="str">
            <v>Solar</v>
          </cell>
          <cell r="M1173" t="str">
            <v>Dx</v>
          </cell>
          <cell r="N1173" t="str">
            <v>Markham</v>
          </cell>
          <cell r="O1173" t="str">
            <v>York</v>
          </cell>
          <cell r="P1173" t="str">
            <v>Toronto</v>
          </cell>
        </row>
        <row r="1174">
          <cell r="C1174" t="str">
            <v>Northland Power Solar Empire</v>
          </cell>
          <cell r="D1174" t="str">
            <v>Northland Power Solar Empire L.P.</v>
          </cell>
          <cell r="E1174" t="str">
            <v>CO</v>
          </cell>
          <cell r="F1174">
            <v>41888</v>
          </cell>
          <cell r="G1174">
            <v>42198</v>
          </cell>
          <cell r="H1174">
            <v>49502</v>
          </cell>
          <cell r="I1174" t="str">
            <v>19 years, 11 months, 29 days</v>
          </cell>
          <cell r="J1174" t="str">
            <v>Renewables</v>
          </cell>
          <cell r="K1174" t="str">
            <v>Solar (Ground Mounted)</v>
          </cell>
          <cell r="L1174" t="str">
            <v>Solar</v>
          </cell>
          <cell r="M1174" t="str">
            <v>Tx</v>
          </cell>
          <cell r="N1174" t="str">
            <v>Cochrane</v>
          </cell>
          <cell r="O1174" t="str">
            <v>Cochrane</v>
          </cell>
          <cell r="P1174" t="str">
            <v>Northeast</v>
          </cell>
        </row>
        <row r="1175">
          <cell r="C1175" t="str">
            <v>RE Waubaushene 4</v>
          </cell>
          <cell r="D1175" t="str">
            <v>Aurora Waubaushene 4 Limited Partnership</v>
          </cell>
          <cell r="E1175" t="str">
            <v>CO</v>
          </cell>
          <cell r="F1175">
            <v>41395</v>
          </cell>
          <cell r="G1175">
            <v>41395</v>
          </cell>
          <cell r="H1175">
            <v>48699</v>
          </cell>
          <cell r="I1175" t="str">
            <v>19 years, 11 months, 29 days</v>
          </cell>
          <cell r="J1175" t="str">
            <v>Renewables</v>
          </cell>
          <cell r="K1175" t="str">
            <v>Solar (Ground Mounted)</v>
          </cell>
          <cell r="L1175" t="str">
            <v>Solar</v>
          </cell>
          <cell r="M1175" t="str">
            <v>Dx</v>
          </cell>
          <cell r="N1175" t="str">
            <v>Coldwater</v>
          </cell>
          <cell r="O1175" t="str">
            <v>Simcoe</v>
          </cell>
          <cell r="P1175" t="str">
            <v>Essa</v>
          </cell>
        </row>
        <row r="1176">
          <cell r="C1176" t="str">
            <v>#30 1901 Eglinton Ave E, Toronto</v>
          </cell>
          <cell r="D1176" t="str">
            <v>PSI Solar Finance 1 Limited Partnership</v>
          </cell>
          <cell r="E1176" t="str">
            <v>CO</v>
          </cell>
          <cell r="F1176">
            <v>41897</v>
          </cell>
          <cell r="G1176">
            <v>41477</v>
          </cell>
          <cell r="H1176">
            <v>48781</v>
          </cell>
          <cell r="I1176" t="str">
            <v>19 years, 11 months, 29 days</v>
          </cell>
          <cell r="J1176" t="str">
            <v>Renewables</v>
          </cell>
          <cell r="K1176" t="str">
            <v>Solar (Rooftop)</v>
          </cell>
          <cell r="L1176" t="str">
            <v>Solar</v>
          </cell>
          <cell r="M1176" t="str">
            <v>Dx</v>
          </cell>
          <cell r="N1176" t="str">
            <v>Toronto</v>
          </cell>
          <cell r="O1176" t="str">
            <v>Toronto</v>
          </cell>
          <cell r="P1176" t="str">
            <v>Toronto</v>
          </cell>
        </row>
        <row r="1177">
          <cell r="C1177" t="str">
            <v>St. Lawrence College Solar PV - Brockville Campus</v>
          </cell>
          <cell r="D1177" t="str">
            <v>The St. Lawrence College of Applied Arts and Technology</v>
          </cell>
          <cell r="E1177" t="str">
            <v>CO</v>
          </cell>
          <cell r="F1177">
            <v>41804</v>
          </cell>
          <cell r="G1177">
            <v>41183</v>
          </cell>
          <cell r="H1177">
            <v>48487</v>
          </cell>
          <cell r="I1177" t="str">
            <v>19 years, 11 months, 29 days</v>
          </cell>
          <cell r="J1177" t="str">
            <v>Renewables</v>
          </cell>
          <cell r="K1177" t="str">
            <v>Solar (Rooftop)</v>
          </cell>
          <cell r="L1177" t="str">
            <v>Solar</v>
          </cell>
          <cell r="M1177" t="str">
            <v>Dx</v>
          </cell>
          <cell r="N1177" t="str">
            <v>Brockville</v>
          </cell>
          <cell r="O1177" t="str">
            <v>Leeds and Grenville</v>
          </cell>
          <cell r="P1177" t="str">
            <v>East</v>
          </cell>
        </row>
        <row r="1178">
          <cell r="C1178" t="str">
            <v>755 Queensway Avenue East</v>
          </cell>
          <cell r="D1178" t="str">
            <v>PSI Solar Finance 1 Limited Partnership</v>
          </cell>
          <cell r="E1178" t="str">
            <v>CO</v>
          </cell>
          <cell r="F1178">
            <v>41029</v>
          </cell>
          <cell r="G1178">
            <v>40799</v>
          </cell>
          <cell r="H1178">
            <v>48103</v>
          </cell>
          <cell r="I1178" t="str">
            <v>19 years, 11 months, 30 days</v>
          </cell>
          <cell r="J1178" t="str">
            <v>Renewables</v>
          </cell>
          <cell r="K1178" t="str">
            <v>Solar (Rooftop)</v>
          </cell>
          <cell r="L1178" t="str">
            <v>Solar</v>
          </cell>
          <cell r="M1178" t="str">
            <v>Dx</v>
          </cell>
          <cell r="N1178" t="str">
            <v>Mississauga</v>
          </cell>
          <cell r="O1178" t="str">
            <v>Peel</v>
          </cell>
          <cell r="P1178" t="str">
            <v>Toronto</v>
          </cell>
        </row>
        <row r="1179">
          <cell r="C1179" t="str">
            <v>Binnsolar</v>
          </cell>
          <cell r="D1179" t="str">
            <v>Woodbury Holdings Inc.</v>
          </cell>
          <cell r="E1179" t="str">
            <v>CO</v>
          </cell>
          <cell r="F1179">
            <v>41806</v>
          </cell>
          <cell r="G1179">
            <v>41074</v>
          </cell>
          <cell r="H1179">
            <v>48378</v>
          </cell>
          <cell r="I1179" t="str">
            <v>19 years, 11 months, 30 days</v>
          </cell>
          <cell r="J1179" t="str">
            <v>Renewables</v>
          </cell>
          <cell r="K1179" t="str">
            <v>Solar (Rooftop)</v>
          </cell>
          <cell r="L1179" t="str">
            <v>Solar</v>
          </cell>
          <cell r="M1179" t="str">
            <v>Dx</v>
          </cell>
          <cell r="N1179" t="str">
            <v>Kingston</v>
          </cell>
          <cell r="O1179" t="str">
            <v>Frontenac</v>
          </cell>
          <cell r="P1179" t="str">
            <v>East</v>
          </cell>
        </row>
        <row r="1180">
          <cell r="C1180" t="str">
            <v>Saentis Farms Inc.</v>
          </cell>
          <cell r="D1180" t="str">
            <v>Saentis Farms Inc</v>
          </cell>
          <cell r="E1180" t="str">
            <v>CO</v>
          </cell>
          <cell r="F1180">
            <v>41470</v>
          </cell>
          <cell r="G1180">
            <v>40970</v>
          </cell>
          <cell r="H1180">
            <v>48274</v>
          </cell>
          <cell r="I1180" t="str">
            <v>19 years, 11 months, 28 days</v>
          </cell>
          <cell r="J1180" t="str">
            <v>Renewables</v>
          </cell>
          <cell r="K1180" t="str">
            <v>Solar (Rooftop)</v>
          </cell>
          <cell r="L1180" t="str">
            <v>Solar</v>
          </cell>
          <cell r="M1180" t="str">
            <v>Dx</v>
          </cell>
          <cell r="N1180" t="str">
            <v>Shallow Lake</v>
          </cell>
          <cell r="O1180" t="str">
            <v>Grey</v>
          </cell>
          <cell r="P1180" t="str">
            <v>Southwest</v>
          </cell>
        </row>
        <row r="1181">
          <cell r="C1181" t="str">
            <v>Intech number 2 - N0P 1V0</v>
          </cell>
          <cell r="D1181" t="str">
            <v>Intech Clean Energy Inc.</v>
          </cell>
          <cell r="E1181" t="str">
            <v>CO</v>
          </cell>
          <cell r="F1181">
            <v>41533</v>
          </cell>
          <cell r="G1181">
            <v>42062</v>
          </cell>
          <cell r="H1181">
            <v>48837</v>
          </cell>
          <cell r="I1181" t="str">
            <v>18 years, 6 months, 19 days</v>
          </cell>
          <cell r="J1181" t="str">
            <v>Renewables</v>
          </cell>
          <cell r="K1181" t="str">
            <v>Solar (Ground Mounted)</v>
          </cell>
          <cell r="L1181" t="str">
            <v>Solar</v>
          </cell>
          <cell r="M1181" t="str">
            <v>Dx</v>
          </cell>
          <cell r="N1181" t="str">
            <v>Kent Bridge</v>
          </cell>
          <cell r="O1181" t="str">
            <v>Chatham-Kent</v>
          </cell>
          <cell r="P1181" t="str">
            <v>West</v>
          </cell>
        </row>
        <row r="1182">
          <cell r="C1182" t="str">
            <v>Burritts Rapids</v>
          </cell>
          <cell r="D1182" t="str">
            <v>Axium Infinity Solar LP</v>
          </cell>
          <cell r="E1182" t="str">
            <v>CO</v>
          </cell>
          <cell r="F1182">
            <v>41655</v>
          </cell>
          <cell r="G1182">
            <v>41425</v>
          </cell>
          <cell r="H1182">
            <v>48729</v>
          </cell>
          <cell r="I1182" t="str">
            <v>19 years, 11 months, 29 days</v>
          </cell>
          <cell r="J1182" t="str">
            <v>Renewables</v>
          </cell>
          <cell r="K1182" t="str">
            <v>Solar (Ground Mounted)</v>
          </cell>
          <cell r="L1182" t="str">
            <v>Solar</v>
          </cell>
          <cell r="M1182" t="str">
            <v>Dx</v>
          </cell>
          <cell r="N1182" t="str">
            <v>Merrickville</v>
          </cell>
          <cell r="O1182" t="str">
            <v>Leeds and Grenville</v>
          </cell>
          <cell r="P1182" t="str">
            <v>East</v>
          </cell>
        </row>
        <row r="1183">
          <cell r="C1183" t="str">
            <v>1111944 Ontario Limited</v>
          </cell>
          <cell r="D1183" t="str">
            <v>1111944 Ontario Limited</v>
          </cell>
          <cell r="E1183" t="str">
            <v>CO</v>
          </cell>
          <cell r="F1183">
            <v>41489</v>
          </cell>
          <cell r="G1183">
            <v>41404</v>
          </cell>
          <cell r="H1183">
            <v>48708</v>
          </cell>
          <cell r="I1183" t="str">
            <v>19 years, 11 months, 29 days</v>
          </cell>
          <cell r="J1183" t="str">
            <v>Renewables</v>
          </cell>
          <cell r="K1183" t="str">
            <v>Solar (Rooftop)</v>
          </cell>
          <cell r="L1183" t="str">
            <v>Solar</v>
          </cell>
          <cell r="M1183" t="str">
            <v>Dx</v>
          </cell>
          <cell r="N1183" t="str">
            <v>Aylmer</v>
          </cell>
          <cell r="O1183" t="str">
            <v>Elgin</v>
          </cell>
          <cell r="P1183" t="str">
            <v>West</v>
          </cell>
        </row>
        <row r="1184">
          <cell r="C1184" t="str">
            <v>(O2) Fountain Street Warehouse</v>
          </cell>
          <cell r="D1184" t="str">
            <v>Firelight Solar LP</v>
          </cell>
          <cell r="E1184" t="str">
            <v>CO</v>
          </cell>
          <cell r="F1184">
            <v>41715</v>
          </cell>
          <cell r="G1184">
            <v>41816</v>
          </cell>
          <cell r="H1184">
            <v>49120</v>
          </cell>
          <cell r="I1184" t="str">
            <v>19 years, 11 months, 30 days</v>
          </cell>
          <cell r="J1184" t="str">
            <v>Renewables</v>
          </cell>
          <cell r="K1184" t="str">
            <v>Solar (Rooftop)</v>
          </cell>
          <cell r="L1184" t="str">
            <v>Solar</v>
          </cell>
          <cell r="M1184" t="str">
            <v>Dx</v>
          </cell>
          <cell r="N1184" t="str">
            <v>Cambridge</v>
          </cell>
          <cell r="O1184" t="str">
            <v>Waterloo</v>
          </cell>
          <cell r="P1184" t="str">
            <v>Southwest</v>
          </cell>
        </row>
        <row r="1185">
          <cell r="C1185" t="str">
            <v>St. Clair Business Park</v>
          </cell>
          <cell r="D1185" t="str">
            <v>Skyline Clean Energy Holdings (II) Inc.</v>
          </cell>
          <cell r="E1185" t="str">
            <v>CO</v>
          </cell>
          <cell r="F1185">
            <v>41832</v>
          </cell>
          <cell r="G1185">
            <v>41856</v>
          </cell>
          <cell r="H1185">
            <v>49160</v>
          </cell>
          <cell r="I1185" t="str">
            <v>19 years, 11 months, 30 days</v>
          </cell>
          <cell r="J1185" t="str">
            <v>Renewables</v>
          </cell>
          <cell r="K1185" t="str">
            <v>Solar (Rooftop)</v>
          </cell>
          <cell r="L1185" t="str">
            <v>Solar</v>
          </cell>
          <cell r="M1185" t="str">
            <v>Dx</v>
          </cell>
          <cell r="N1185" t="str">
            <v>Corunna</v>
          </cell>
          <cell r="O1185" t="str">
            <v>Lambton</v>
          </cell>
          <cell r="P1185" t="str">
            <v>West</v>
          </cell>
        </row>
        <row r="1186">
          <cell r="C1186" t="str">
            <v>30 Kern Rd</v>
          </cell>
          <cell r="D1186" t="str">
            <v>30 Kern Road Limited</v>
          </cell>
          <cell r="E1186" t="str">
            <v>CO</v>
          </cell>
          <cell r="F1186">
            <v>41029</v>
          </cell>
          <cell r="G1186">
            <v>40785</v>
          </cell>
          <cell r="H1186">
            <v>48089</v>
          </cell>
          <cell r="I1186" t="str">
            <v>19 years, 11 months, 30 days</v>
          </cell>
          <cell r="J1186" t="str">
            <v>Renewables</v>
          </cell>
          <cell r="K1186" t="str">
            <v>Solar (Rooftop)</v>
          </cell>
          <cell r="L1186" t="str">
            <v>Solar</v>
          </cell>
          <cell r="M1186" t="str">
            <v>Dx</v>
          </cell>
          <cell r="N1186" t="str">
            <v>Toronto</v>
          </cell>
          <cell r="O1186" t="str">
            <v>Toronto</v>
          </cell>
          <cell r="P1186" t="str">
            <v>Toronto</v>
          </cell>
        </row>
        <row r="1187">
          <cell r="C1187" t="str">
            <v>Clayton Armstrong Farms Rooftop Solar</v>
          </cell>
          <cell r="D1187" t="str">
            <v>Clayton Armstrong Farms Inc.</v>
          </cell>
          <cell r="E1187" t="str">
            <v>CO</v>
          </cell>
          <cell r="F1187">
            <v>41804</v>
          </cell>
          <cell r="G1187">
            <v>41555</v>
          </cell>
          <cell r="H1187">
            <v>48859</v>
          </cell>
          <cell r="I1187" t="str">
            <v>19 years, 11 months, 29 days</v>
          </cell>
          <cell r="J1187" t="str">
            <v>Renewables</v>
          </cell>
          <cell r="K1187" t="str">
            <v>Solar (Rooftop)</v>
          </cell>
          <cell r="L1187" t="str">
            <v>Solar</v>
          </cell>
          <cell r="M1187" t="str">
            <v>Dx</v>
          </cell>
          <cell r="N1187" t="str">
            <v>Belle River</v>
          </cell>
          <cell r="O1187" t="str">
            <v>Essex</v>
          </cell>
          <cell r="P1187" t="str">
            <v>West</v>
          </cell>
        </row>
        <row r="1188">
          <cell r="C1188" t="str">
            <v>(F19) No Frills Eglinton Avenue East</v>
          </cell>
          <cell r="D1188" t="str">
            <v>Firelight Solar LP</v>
          </cell>
          <cell r="E1188" t="str">
            <v>CO</v>
          </cell>
          <cell r="F1188">
            <v>41715</v>
          </cell>
          <cell r="G1188">
            <v>41529</v>
          </cell>
          <cell r="H1188">
            <v>48833</v>
          </cell>
          <cell r="I1188" t="str">
            <v>19 years, 11 months, 30 days</v>
          </cell>
          <cell r="J1188" t="str">
            <v>Renewables</v>
          </cell>
          <cell r="K1188" t="str">
            <v>Solar (Rooftop)</v>
          </cell>
          <cell r="L1188" t="str">
            <v>Solar</v>
          </cell>
          <cell r="M1188" t="str">
            <v>Dx</v>
          </cell>
          <cell r="N1188" t="str">
            <v>Toronto</v>
          </cell>
          <cell r="O1188" t="str">
            <v>Toronto</v>
          </cell>
          <cell r="P1188" t="str">
            <v>Toronto</v>
          </cell>
        </row>
        <row r="1189">
          <cell r="C1189" t="str">
            <v>(C76) Real Canadian Superstore Lasalle Boulevard</v>
          </cell>
          <cell r="D1189" t="str">
            <v>Firelight Solar LP</v>
          </cell>
          <cell r="E1189" t="str">
            <v>CO</v>
          </cell>
          <cell r="F1189">
            <v>41805</v>
          </cell>
          <cell r="G1189">
            <v>41775</v>
          </cell>
          <cell r="H1189">
            <v>49079</v>
          </cell>
          <cell r="I1189" t="str">
            <v>19 years, 11 months, 29 days</v>
          </cell>
          <cell r="J1189" t="str">
            <v>Renewables</v>
          </cell>
          <cell r="K1189" t="str">
            <v>Solar (Rooftop)</v>
          </cell>
          <cell r="L1189" t="str">
            <v>Solar</v>
          </cell>
          <cell r="M1189" t="str">
            <v>Dx</v>
          </cell>
          <cell r="N1189" t="str">
            <v>Sudbury</v>
          </cell>
          <cell r="O1189" t="str">
            <v>Greater Sudbury</v>
          </cell>
          <cell r="P1189" t="str">
            <v>Northeast</v>
          </cell>
        </row>
        <row r="1190">
          <cell r="C1190" t="str">
            <v>Penn Energy - Hamilton_Port Hope-4</v>
          </cell>
          <cell r="D1190" t="str">
            <v>Hamilton Solar Farm Partnership</v>
          </cell>
          <cell r="E1190" t="str">
            <v>CO</v>
          </cell>
          <cell r="F1190">
            <v>42228</v>
          </cell>
          <cell r="G1190">
            <v>41862</v>
          </cell>
          <cell r="H1190">
            <v>49166</v>
          </cell>
          <cell r="I1190" t="str">
            <v>19 years, 11 months, 30 days</v>
          </cell>
          <cell r="J1190" t="str">
            <v>Renewables</v>
          </cell>
          <cell r="K1190" t="str">
            <v>Solar (Ground Mounted)</v>
          </cell>
          <cell r="L1190" t="str">
            <v>Solar</v>
          </cell>
          <cell r="M1190" t="str">
            <v>Dx</v>
          </cell>
          <cell r="N1190" t="str">
            <v>Baltimore</v>
          </cell>
          <cell r="O1190" t="str">
            <v>Northumberland</v>
          </cell>
          <cell r="P1190" t="str">
            <v>East</v>
          </cell>
        </row>
        <row r="1191">
          <cell r="C1191" t="str">
            <v>2280 - 2300 Stevenage Drive</v>
          </cell>
          <cell r="D1191" t="str">
            <v>PSI Solar Finance 1 Limited Partnership</v>
          </cell>
          <cell r="E1191" t="str">
            <v>CO</v>
          </cell>
          <cell r="F1191">
            <v>41723</v>
          </cell>
          <cell r="G1191">
            <v>41808</v>
          </cell>
          <cell r="H1191">
            <v>49027</v>
          </cell>
          <cell r="I1191" t="str">
            <v>19 years, 9 months, 6 days</v>
          </cell>
          <cell r="J1191" t="str">
            <v>Renewables</v>
          </cell>
          <cell r="K1191" t="str">
            <v>Solar (Rooftop)</v>
          </cell>
          <cell r="L1191" t="str">
            <v>Solar</v>
          </cell>
          <cell r="M1191" t="str">
            <v>Dx</v>
          </cell>
          <cell r="N1191" t="str">
            <v>Ottawa</v>
          </cell>
          <cell r="O1191" t="str">
            <v>Ottawa</v>
          </cell>
          <cell r="P1191" t="str">
            <v>Ottawa</v>
          </cell>
        </row>
        <row r="1192">
          <cell r="C1192" t="str">
            <v>GREY HIGHLANDS ZERO EMISSION PEOPLE</v>
          </cell>
          <cell r="D1192" t="str">
            <v>SLGR Wind LP</v>
          </cell>
          <cell r="E1192" t="str">
            <v>CO</v>
          </cell>
          <cell r="F1192">
            <v>41715</v>
          </cell>
          <cell r="G1192">
            <v>42426</v>
          </cell>
          <cell r="H1192">
            <v>49730</v>
          </cell>
          <cell r="I1192" t="str">
            <v>19 years, 11 months, 30 days</v>
          </cell>
          <cell r="J1192" t="str">
            <v>Renewables</v>
          </cell>
          <cell r="K1192" t="str">
            <v>Wind (On-Shore)</v>
          </cell>
          <cell r="L1192" t="str">
            <v>Wind</v>
          </cell>
          <cell r="M1192" t="str">
            <v>Dx</v>
          </cell>
          <cell r="N1192" t="str">
            <v>Singhampton</v>
          </cell>
          <cell r="O1192" t="str">
            <v>Grey</v>
          </cell>
          <cell r="P1192" t="str">
            <v>Essa</v>
          </cell>
        </row>
        <row r="1193">
          <cell r="C1193" t="str">
            <v>BLT Farms FIT Project</v>
          </cell>
          <cell r="D1193" t="str">
            <v>Mapleton Layer Farms Ltd.</v>
          </cell>
          <cell r="E1193" t="str">
            <v>CO</v>
          </cell>
          <cell r="F1193">
            <v>41029</v>
          </cell>
          <cell r="G1193">
            <v>40752</v>
          </cell>
          <cell r="H1193">
            <v>48056</v>
          </cell>
          <cell r="I1193" t="str">
            <v>19 years, 11 months, 29 days</v>
          </cell>
          <cell r="J1193" t="str">
            <v>Renewables</v>
          </cell>
          <cell r="K1193" t="str">
            <v>Solar (Rooftop)</v>
          </cell>
          <cell r="L1193" t="str">
            <v>Solar</v>
          </cell>
          <cell r="M1193" t="str">
            <v>Dx</v>
          </cell>
          <cell r="N1193" t="str">
            <v>Moorefield</v>
          </cell>
          <cell r="O1193" t="str">
            <v>Wellington</v>
          </cell>
          <cell r="P1193" t="str">
            <v>Southwest</v>
          </cell>
        </row>
        <row r="1194">
          <cell r="C1194" t="str">
            <v>Carling/Queensway Self Storage Corporation</v>
          </cell>
          <cell r="D1194" t="str">
            <v>Dymon Storage (Ottawa) Corporation</v>
          </cell>
          <cell r="E1194" t="str">
            <v>CO</v>
          </cell>
          <cell r="F1194">
            <v>41822</v>
          </cell>
          <cell r="G1194">
            <v>41949</v>
          </cell>
          <cell r="H1194">
            <v>49253</v>
          </cell>
          <cell r="I1194" t="str">
            <v>19 years, 11 months, 30 days</v>
          </cell>
          <cell r="J1194" t="str">
            <v>Renewables</v>
          </cell>
          <cell r="K1194" t="str">
            <v>Solar (Rooftop)</v>
          </cell>
          <cell r="L1194" t="str">
            <v>Solar</v>
          </cell>
          <cell r="M1194" t="str">
            <v>Dx</v>
          </cell>
          <cell r="N1194" t="str">
            <v>Ottawa</v>
          </cell>
          <cell r="O1194" t="str">
            <v>Ottawa</v>
          </cell>
          <cell r="P1194" t="str">
            <v>Ottawa</v>
          </cell>
        </row>
        <row r="1195">
          <cell r="C1195" t="str">
            <v>119 memorial</v>
          </cell>
          <cell r="D1195" t="str">
            <v>Marsevliev Corp.</v>
          </cell>
          <cell r="E1195" t="str">
            <v>CO</v>
          </cell>
          <cell r="F1195">
            <v>41029</v>
          </cell>
          <cell r="G1195">
            <v>41213</v>
          </cell>
          <cell r="H1195">
            <v>48333</v>
          </cell>
          <cell r="I1195" t="str">
            <v>19 years, 5 months, 29 days</v>
          </cell>
          <cell r="J1195" t="str">
            <v>Renewables</v>
          </cell>
          <cell r="K1195" t="str">
            <v>Solar (Rooftop)</v>
          </cell>
          <cell r="L1195" t="str">
            <v>Solar</v>
          </cell>
          <cell r="M1195" t="str">
            <v>Dx</v>
          </cell>
          <cell r="N1195" t="str">
            <v>Orillia</v>
          </cell>
          <cell r="O1195" t="str">
            <v>Simcoe</v>
          </cell>
          <cell r="P1195" t="str">
            <v>Essa</v>
          </cell>
        </row>
        <row r="1196">
          <cell r="C1196" t="str">
            <v>Solar Beams 1</v>
          </cell>
          <cell r="D1196" t="str">
            <v>1106141 Ontario Inc.</v>
          </cell>
          <cell r="E1196" t="str">
            <v>CO</v>
          </cell>
          <cell r="F1196">
            <v>41029</v>
          </cell>
          <cell r="G1196">
            <v>40827</v>
          </cell>
          <cell r="H1196">
            <v>48131</v>
          </cell>
          <cell r="I1196" t="str">
            <v>19 years, 11 months, 29 days</v>
          </cell>
          <cell r="J1196" t="str">
            <v>Renewables</v>
          </cell>
          <cell r="K1196" t="str">
            <v>Solar (Rooftop)</v>
          </cell>
          <cell r="L1196" t="str">
            <v>Solar</v>
          </cell>
          <cell r="M1196" t="str">
            <v>Dx</v>
          </cell>
          <cell r="N1196" t="str">
            <v>Sparta</v>
          </cell>
          <cell r="O1196" t="str">
            <v>Elgin</v>
          </cell>
          <cell r="P1196" t="str">
            <v>West</v>
          </cell>
        </row>
        <row r="1197">
          <cell r="C1197" t="str">
            <v>Casselman Tire 82KW</v>
          </cell>
          <cell r="D1197" t="str">
            <v>1799511 Ontario Inc</v>
          </cell>
          <cell r="E1197" t="str">
            <v>CO</v>
          </cell>
          <cell r="F1197">
            <v>41029</v>
          </cell>
          <cell r="G1197">
            <v>40971</v>
          </cell>
          <cell r="H1197">
            <v>48275</v>
          </cell>
          <cell r="I1197" t="str">
            <v>19 years, 11 months, 28 days</v>
          </cell>
          <cell r="J1197" t="str">
            <v>Renewables</v>
          </cell>
          <cell r="K1197" t="str">
            <v>Solar (Rooftop)</v>
          </cell>
          <cell r="L1197" t="str">
            <v>Solar</v>
          </cell>
          <cell r="M1197" t="str">
            <v>Dx</v>
          </cell>
          <cell r="N1197" t="str">
            <v>Casselman</v>
          </cell>
          <cell r="O1197" t="str">
            <v>Prescott and Russell</v>
          </cell>
          <cell r="P1197" t="str">
            <v>Ottawa</v>
          </cell>
        </row>
        <row r="1198">
          <cell r="C1198" t="str">
            <v>Merivale Roof Top Solar</v>
          </cell>
          <cell r="D1198" t="str">
            <v>Hydro Ottawa Limited</v>
          </cell>
          <cell r="E1198" t="str">
            <v>CO</v>
          </cell>
          <cell r="F1198">
            <v>41029</v>
          </cell>
          <cell r="G1198">
            <v>40663</v>
          </cell>
          <cell r="H1198">
            <v>47967</v>
          </cell>
          <cell r="I1198" t="str">
            <v>19 years, 11 months, 30 days</v>
          </cell>
          <cell r="J1198" t="str">
            <v>Renewables</v>
          </cell>
          <cell r="K1198" t="str">
            <v>Solar (Rooftop)</v>
          </cell>
          <cell r="L1198" t="str">
            <v>Solar</v>
          </cell>
          <cell r="M1198" t="str">
            <v>Dx</v>
          </cell>
          <cell r="N1198" t="str">
            <v>Ottawa</v>
          </cell>
          <cell r="O1198" t="str">
            <v>Ottawa</v>
          </cell>
          <cell r="P1198" t="str">
            <v>Ottawa</v>
          </cell>
        </row>
        <row r="1199">
          <cell r="C1199" t="str">
            <v>Goulding Park Community Centre Solar PV</v>
          </cell>
          <cell r="D1199" t="str">
            <v>Toronto Hydro-Electric System Limited</v>
          </cell>
          <cell r="E1199" t="str">
            <v>CO</v>
          </cell>
          <cell r="F1199">
            <v>41804</v>
          </cell>
          <cell r="G1199">
            <v>41334</v>
          </cell>
          <cell r="H1199">
            <v>48638</v>
          </cell>
          <cell r="I1199" t="str">
            <v>19 years, 11 months, 27 days</v>
          </cell>
          <cell r="J1199" t="str">
            <v>Renewables</v>
          </cell>
          <cell r="K1199" t="str">
            <v>Solar (Rooftop)</v>
          </cell>
          <cell r="L1199" t="str">
            <v>Solar</v>
          </cell>
          <cell r="M1199" t="str">
            <v>Dx</v>
          </cell>
          <cell r="N1199" t="str">
            <v>Toronto</v>
          </cell>
          <cell r="O1199" t="str">
            <v>Toronto</v>
          </cell>
          <cell r="P1199" t="str">
            <v>Toronto</v>
          </cell>
        </row>
        <row r="1200">
          <cell r="C1200" t="str">
            <v>Morrison Line Solar</v>
          </cell>
          <cell r="D1200" t="str">
            <v>Wayne Cantelon</v>
          </cell>
          <cell r="E1200" t="str">
            <v>CO</v>
          </cell>
          <cell r="F1200">
            <v>41797</v>
          </cell>
          <cell r="G1200">
            <v>41851</v>
          </cell>
          <cell r="H1200">
            <v>49101</v>
          </cell>
          <cell r="I1200" t="str">
            <v>19 years, 10 months, 6 days</v>
          </cell>
          <cell r="J1200" t="str">
            <v>Renewables</v>
          </cell>
          <cell r="K1200" t="str">
            <v>Solar (Rooftop)</v>
          </cell>
          <cell r="L1200" t="str">
            <v>Solar</v>
          </cell>
          <cell r="M1200" t="str">
            <v>Dx</v>
          </cell>
          <cell r="N1200" t="str">
            <v>Seaforth</v>
          </cell>
          <cell r="O1200" t="str">
            <v>Huron</v>
          </cell>
          <cell r="P1200" t="str">
            <v>Southwest</v>
          </cell>
        </row>
        <row r="1201">
          <cell r="C1201" t="str">
            <v>Springwood Wind Farm</v>
          </cell>
          <cell r="D1201" t="str">
            <v>SWNS Wind LP</v>
          </cell>
          <cell r="E1201" t="str">
            <v>CO</v>
          </cell>
          <cell r="F1201">
            <v>42084</v>
          </cell>
          <cell r="G1201">
            <v>41964</v>
          </cell>
          <cell r="H1201">
            <v>49268</v>
          </cell>
          <cell r="I1201" t="str">
            <v>19 years, 11 months, 30 days</v>
          </cell>
          <cell r="J1201" t="str">
            <v>Renewables</v>
          </cell>
          <cell r="K1201" t="str">
            <v>Wind (On-Shore)</v>
          </cell>
          <cell r="L1201" t="str">
            <v>Wind</v>
          </cell>
          <cell r="M1201" t="str">
            <v>Dx</v>
          </cell>
          <cell r="N1201" t="str">
            <v>Fergus</v>
          </cell>
          <cell r="O1201" t="str">
            <v>Wellington</v>
          </cell>
          <cell r="P1201" t="str">
            <v>Southwest</v>
          </cell>
        </row>
        <row r="1202">
          <cell r="C1202" t="str">
            <v>Sunshine Solar Power Project</v>
          </cell>
          <cell r="D1202" t="str">
            <v>Peterborough Housing Corporation</v>
          </cell>
          <cell r="E1202" t="str">
            <v>CO</v>
          </cell>
          <cell r="F1202">
            <v>41813</v>
          </cell>
          <cell r="G1202">
            <v>41010</v>
          </cell>
          <cell r="H1202">
            <v>48314</v>
          </cell>
          <cell r="I1202" t="str">
            <v>19 years, 11 months, 30 days</v>
          </cell>
          <cell r="J1202" t="str">
            <v>Renewables</v>
          </cell>
          <cell r="K1202" t="str">
            <v>Solar (Rooftop)</v>
          </cell>
          <cell r="L1202" t="str">
            <v>Solar</v>
          </cell>
          <cell r="M1202" t="str">
            <v>Dx</v>
          </cell>
          <cell r="N1202" t="str">
            <v>Peterborough</v>
          </cell>
          <cell r="O1202" t="str">
            <v>Peterborough</v>
          </cell>
          <cell r="P1202" t="str">
            <v>East</v>
          </cell>
        </row>
        <row r="1203">
          <cell r="C1203" t="str">
            <v>Saptashva Solar, S.A - FIT - Gulu 40</v>
          </cell>
          <cell r="D1203" t="str">
            <v>Tuxedo Solar Ltd.</v>
          </cell>
          <cell r="E1203" t="str">
            <v>CO</v>
          </cell>
          <cell r="F1203">
            <v>41797</v>
          </cell>
          <cell r="G1203">
            <v>42024</v>
          </cell>
          <cell r="H1203">
            <v>49328</v>
          </cell>
          <cell r="I1203" t="str">
            <v>19 years, 11 months, 30 days</v>
          </cell>
          <cell r="J1203" t="str">
            <v>Renewables</v>
          </cell>
          <cell r="K1203" t="str">
            <v>Solar (Rooftop)</v>
          </cell>
          <cell r="L1203" t="str">
            <v>Solar</v>
          </cell>
          <cell r="M1203" t="str">
            <v>Dx</v>
          </cell>
          <cell r="N1203" t="str">
            <v>Toronto</v>
          </cell>
          <cell r="O1203" t="str">
            <v>Toronto</v>
          </cell>
          <cell r="P1203" t="str">
            <v>Toronto</v>
          </cell>
        </row>
        <row r="1204">
          <cell r="C1204" t="str">
            <v>Floradale 1</v>
          </cell>
          <cell r="D1204" t="str">
            <v>999663 Ontario Limited</v>
          </cell>
          <cell r="E1204" t="str">
            <v>CO</v>
          </cell>
          <cell r="F1204">
            <v>41454</v>
          </cell>
          <cell r="G1204">
            <v>41099</v>
          </cell>
          <cell r="H1204">
            <v>48403</v>
          </cell>
          <cell r="I1204" t="str">
            <v>19 years, 11 months, 29 days</v>
          </cell>
          <cell r="J1204" t="str">
            <v>Renewables</v>
          </cell>
          <cell r="K1204" t="str">
            <v>Solar (Rooftop)</v>
          </cell>
          <cell r="L1204" t="str">
            <v>Solar</v>
          </cell>
          <cell r="M1204" t="str">
            <v>Dx</v>
          </cell>
          <cell r="N1204" t="str">
            <v>Elmira</v>
          </cell>
          <cell r="O1204" t="str">
            <v>Waterloo</v>
          </cell>
          <cell r="P1204" t="str">
            <v>Southwest</v>
          </cell>
        </row>
        <row r="1205">
          <cell r="C1205" t="str">
            <v>K03-168 Colborne</v>
          </cell>
          <cell r="D1205" t="str">
            <v>GS 2013 LP</v>
          </cell>
          <cell r="E1205" t="str">
            <v>CO</v>
          </cell>
          <cell r="F1205">
            <v>41714</v>
          </cell>
          <cell r="G1205">
            <v>41628</v>
          </cell>
          <cell r="H1205">
            <v>48932</v>
          </cell>
          <cell r="I1205" t="str">
            <v>19 years, 11 months, 29 days</v>
          </cell>
          <cell r="J1205" t="str">
            <v>Renewables</v>
          </cell>
          <cell r="K1205" t="str">
            <v>Solar (Rooftop)</v>
          </cell>
          <cell r="L1205" t="str">
            <v>Solar</v>
          </cell>
          <cell r="M1205" t="str">
            <v>Dx</v>
          </cell>
          <cell r="N1205" t="str">
            <v>Brantford</v>
          </cell>
          <cell r="O1205" t="str">
            <v>Brant</v>
          </cell>
          <cell r="P1205" t="str">
            <v>Southwest</v>
          </cell>
        </row>
        <row r="1206">
          <cell r="C1206" t="str">
            <v>M01-5295 John Lucas</v>
          </cell>
          <cell r="D1206" t="str">
            <v>Melrose Investments Inc.</v>
          </cell>
          <cell r="E1206" t="str">
            <v>CO</v>
          </cell>
          <cell r="F1206">
            <v>41811</v>
          </cell>
          <cell r="G1206">
            <v>41600</v>
          </cell>
          <cell r="H1206">
            <v>48904</v>
          </cell>
          <cell r="I1206" t="str">
            <v>19 years, 11 months, 30 days</v>
          </cell>
          <cell r="J1206" t="str">
            <v>Renewables</v>
          </cell>
          <cell r="K1206" t="str">
            <v>Solar (Rooftop)</v>
          </cell>
          <cell r="L1206" t="str">
            <v>Solar</v>
          </cell>
          <cell r="M1206" t="str">
            <v>Dx</v>
          </cell>
          <cell r="N1206" t="str">
            <v>Burlington</v>
          </cell>
          <cell r="O1206" t="str">
            <v>Halton</v>
          </cell>
          <cell r="P1206" t="str">
            <v>Southwest</v>
          </cell>
        </row>
        <row r="1207">
          <cell r="C1207" t="str">
            <v>2410 Tedlo St</v>
          </cell>
          <cell r="D1207" t="str">
            <v>PSI Solar Finance 1 Limited Partnership</v>
          </cell>
          <cell r="E1207" t="str">
            <v>CO</v>
          </cell>
          <cell r="F1207">
            <v>40663</v>
          </cell>
          <cell r="G1207">
            <v>40619</v>
          </cell>
          <cell r="H1207">
            <v>47923</v>
          </cell>
          <cell r="I1207" t="str">
            <v>19 years, 11 months, 27 days</v>
          </cell>
          <cell r="J1207" t="str">
            <v>Renewables</v>
          </cell>
          <cell r="K1207" t="str">
            <v>Solar (Rooftop)</v>
          </cell>
          <cell r="L1207" t="str">
            <v>Solar</v>
          </cell>
          <cell r="M1207" t="str">
            <v>Dx</v>
          </cell>
          <cell r="N1207" t="str">
            <v>Mississauga</v>
          </cell>
          <cell r="O1207" t="str">
            <v>Peel</v>
          </cell>
          <cell r="P1207" t="str">
            <v>Toronto</v>
          </cell>
        </row>
        <row r="1208">
          <cell r="C1208" t="str">
            <v>O02-2625 Draper</v>
          </cell>
          <cell r="D1208" t="str">
            <v>Fengate (FGDI) Limited Partnership</v>
          </cell>
          <cell r="E1208" t="str">
            <v>CO</v>
          </cell>
          <cell r="F1208">
            <v>41832</v>
          </cell>
          <cell r="G1208">
            <v>42058</v>
          </cell>
          <cell r="H1208">
            <v>49362</v>
          </cell>
          <cell r="I1208" t="str">
            <v>19 years, 11 months, 30 days</v>
          </cell>
          <cell r="J1208" t="str">
            <v>Renewables</v>
          </cell>
          <cell r="K1208" t="str">
            <v>Solar (Rooftop)</v>
          </cell>
          <cell r="L1208" t="str">
            <v>Solar</v>
          </cell>
          <cell r="M1208" t="str">
            <v>Dx</v>
          </cell>
          <cell r="N1208" t="str">
            <v>Ottawa</v>
          </cell>
          <cell r="O1208" t="str">
            <v>Ottawa</v>
          </cell>
          <cell r="P1208" t="str">
            <v>Ottawa</v>
          </cell>
        </row>
        <row r="1209">
          <cell r="C1209" t="str">
            <v>H06-4200 Garden</v>
          </cell>
          <cell r="D1209" t="str">
            <v>MOM Solar Limited Partnership</v>
          </cell>
          <cell r="E1209" t="str">
            <v>CO</v>
          </cell>
          <cell r="F1209">
            <v>41029</v>
          </cell>
          <cell r="G1209">
            <v>41206</v>
          </cell>
          <cell r="H1209">
            <v>48510</v>
          </cell>
          <cell r="I1209" t="str">
            <v>19 years, 11 months, 29 days</v>
          </cell>
          <cell r="J1209" t="str">
            <v>Renewables</v>
          </cell>
          <cell r="K1209" t="str">
            <v>Solar (Rooftop)</v>
          </cell>
          <cell r="L1209" t="str">
            <v>Solar</v>
          </cell>
          <cell r="M1209" t="str">
            <v>Dx</v>
          </cell>
          <cell r="N1209" t="str">
            <v>Whitby</v>
          </cell>
          <cell r="O1209" t="str">
            <v>Durham</v>
          </cell>
          <cell r="P1209" t="str">
            <v>Toronto</v>
          </cell>
        </row>
        <row r="1210">
          <cell r="C1210" t="str">
            <v>Lindsay B Solar Farm</v>
          </cell>
          <cell r="D1210" t="str">
            <v>Alectra Utilities Corporation</v>
          </cell>
          <cell r="E1210" t="str">
            <v>CO</v>
          </cell>
          <cell r="F1210">
            <v>41457</v>
          </cell>
          <cell r="G1210">
            <v>41453</v>
          </cell>
          <cell r="H1210">
            <v>48757</v>
          </cell>
          <cell r="I1210" t="str">
            <v>19 years, 11 months, 30 days</v>
          </cell>
          <cell r="J1210" t="str">
            <v>Renewables</v>
          </cell>
          <cell r="K1210" t="str">
            <v>Solar (Rooftop)</v>
          </cell>
          <cell r="L1210" t="str">
            <v>Solar</v>
          </cell>
          <cell r="M1210" t="str">
            <v>Dx</v>
          </cell>
          <cell r="N1210" t="str">
            <v>Lindsay</v>
          </cell>
          <cell r="O1210" t="str">
            <v>Kawartha Lakes</v>
          </cell>
          <cell r="P1210" t="str">
            <v>Essa</v>
          </cell>
        </row>
        <row r="1211">
          <cell r="C1211" t="str">
            <v>H06-1450 OTTAWA</v>
          </cell>
          <cell r="D1211" t="str">
            <v>PSI Solar Finance 1 Limited Partnership</v>
          </cell>
          <cell r="E1211" t="str">
            <v>CO</v>
          </cell>
          <cell r="F1211">
            <v>41805</v>
          </cell>
          <cell r="G1211">
            <v>41743</v>
          </cell>
          <cell r="H1211">
            <v>49047</v>
          </cell>
          <cell r="I1211" t="str">
            <v>19 years, 11 months, 30 days</v>
          </cell>
          <cell r="J1211" t="str">
            <v>Renewables</v>
          </cell>
          <cell r="K1211" t="str">
            <v>Solar (Rooftop)</v>
          </cell>
          <cell r="L1211" t="str">
            <v>Solar</v>
          </cell>
          <cell r="M1211" t="str">
            <v>Dx</v>
          </cell>
          <cell r="N1211" t="str">
            <v>Kitchener</v>
          </cell>
          <cell r="O1211" t="str">
            <v>Waterloo</v>
          </cell>
          <cell r="P1211" t="str">
            <v>Southwest</v>
          </cell>
        </row>
        <row r="1212">
          <cell r="C1212" t="str">
            <v>100 Cavell Ave.</v>
          </cell>
          <cell r="D1212" t="str">
            <v>Toronto Community Housing Corporation</v>
          </cell>
          <cell r="E1212" t="str">
            <v>CO</v>
          </cell>
          <cell r="F1212">
            <v>41029</v>
          </cell>
          <cell r="G1212">
            <v>40919</v>
          </cell>
          <cell r="H1212">
            <v>48223</v>
          </cell>
          <cell r="I1212" t="str">
            <v>19 years, 11 months, 30 days</v>
          </cell>
          <cell r="J1212" t="str">
            <v>Renewables</v>
          </cell>
          <cell r="K1212" t="str">
            <v>Solar (Rooftop)</v>
          </cell>
          <cell r="L1212" t="str">
            <v>Solar</v>
          </cell>
          <cell r="M1212" t="str">
            <v>Dx</v>
          </cell>
          <cell r="N1212" t="str">
            <v>Toronto</v>
          </cell>
          <cell r="O1212" t="str">
            <v>Toronto</v>
          </cell>
          <cell r="P1212" t="str">
            <v>Toronto</v>
          </cell>
        </row>
        <row r="1213">
          <cell r="C1213" t="str">
            <v>#90 431 Louth Street, St.Catharines</v>
          </cell>
          <cell r="D1213" t="str">
            <v>PSI Solar Finance 1 Limited Partnership</v>
          </cell>
          <cell r="E1213" t="str">
            <v>CO</v>
          </cell>
          <cell r="F1213">
            <v>41910</v>
          </cell>
          <cell r="G1213">
            <v>41684</v>
          </cell>
          <cell r="H1213">
            <v>48988</v>
          </cell>
          <cell r="I1213" t="str">
            <v>19 years, 11 months, 30 days</v>
          </cell>
          <cell r="J1213" t="str">
            <v>Renewables</v>
          </cell>
          <cell r="K1213" t="str">
            <v>Solar (Rooftop)</v>
          </cell>
          <cell r="L1213" t="str">
            <v>Solar</v>
          </cell>
          <cell r="M1213" t="str">
            <v>Dx</v>
          </cell>
          <cell r="N1213" t="str">
            <v>St. Catharines</v>
          </cell>
          <cell r="O1213" t="str">
            <v>Niagara</v>
          </cell>
          <cell r="P1213" t="str">
            <v>Niagara</v>
          </cell>
        </row>
        <row r="1214">
          <cell r="C1214" t="str">
            <v>Ferme Claude Castonguay</v>
          </cell>
          <cell r="D1214" t="str">
            <v>Claude Castonguay</v>
          </cell>
          <cell r="E1214" t="str">
            <v>CO</v>
          </cell>
          <cell r="F1214">
            <v>41029</v>
          </cell>
          <cell r="G1214">
            <v>40718</v>
          </cell>
          <cell r="H1214">
            <v>48022</v>
          </cell>
          <cell r="I1214" t="str">
            <v>19 years, 11 months, 30 days</v>
          </cell>
          <cell r="J1214" t="str">
            <v>Renewables</v>
          </cell>
          <cell r="K1214" t="str">
            <v>Solar (Rooftop)</v>
          </cell>
          <cell r="L1214" t="str">
            <v>Solar</v>
          </cell>
          <cell r="M1214" t="str">
            <v>Dx</v>
          </cell>
          <cell r="N1214" t="str">
            <v>Moose Creek</v>
          </cell>
          <cell r="O1214" t="str">
            <v>Stormont, Dundas and Glengarry</v>
          </cell>
          <cell r="P1214" t="str">
            <v>East</v>
          </cell>
        </row>
        <row r="1215">
          <cell r="C1215" t="str">
            <v>Transgear Manufacturing</v>
          </cell>
          <cell r="D1215" t="str">
            <v>Linamar Corporation</v>
          </cell>
          <cell r="E1215" t="str">
            <v>CO</v>
          </cell>
          <cell r="F1215">
            <v>41029</v>
          </cell>
          <cell r="G1215">
            <v>41109</v>
          </cell>
          <cell r="H1215">
            <v>48413</v>
          </cell>
          <cell r="I1215" t="str">
            <v>19 years, 11 months, 29 days</v>
          </cell>
          <cell r="J1215" t="str">
            <v>Renewables</v>
          </cell>
          <cell r="K1215" t="str">
            <v>Solar (Rooftop)</v>
          </cell>
          <cell r="L1215" t="str">
            <v>Solar</v>
          </cell>
          <cell r="M1215" t="str">
            <v>Dx</v>
          </cell>
          <cell r="N1215" t="str">
            <v>Guelph</v>
          </cell>
          <cell r="O1215" t="str">
            <v>Wellington</v>
          </cell>
          <cell r="P1215" t="str">
            <v>Southwest</v>
          </cell>
        </row>
        <row r="1216">
          <cell r="C1216" t="str">
            <v>#187 155 CONSUMERS DRIVE, WHITBY</v>
          </cell>
          <cell r="D1216" t="str">
            <v>PSI Solar Finance 1 Limited Partnership</v>
          </cell>
          <cell r="E1216" t="str">
            <v>CO</v>
          </cell>
          <cell r="F1216">
            <v>41796</v>
          </cell>
          <cell r="G1216">
            <v>41486</v>
          </cell>
          <cell r="H1216">
            <v>48790</v>
          </cell>
          <cell r="I1216" t="str">
            <v>19 years, 11 months, 29 days</v>
          </cell>
          <cell r="J1216" t="str">
            <v>Renewables</v>
          </cell>
          <cell r="K1216" t="str">
            <v>Solar (Rooftop)</v>
          </cell>
          <cell r="L1216" t="str">
            <v>Solar</v>
          </cell>
          <cell r="M1216" t="str">
            <v>Dx</v>
          </cell>
          <cell r="N1216" t="str">
            <v>Whitby</v>
          </cell>
          <cell r="O1216" t="str">
            <v>Durham</v>
          </cell>
          <cell r="P1216" t="str">
            <v>Toronto</v>
          </cell>
        </row>
        <row r="1217">
          <cell r="C1217" t="str">
            <v>H06-9105 AIRPORT</v>
          </cell>
          <cell r="D1217" t="str">
            <v>MOM Solar Limited Partnership</v>
          </cell>
          <cell r="E1217" t="str">
            <v>CO</v>
          </cell>
          <cell r="F1217">
            <v>41029</v>
          </cell>
          <cell r="G1217">
            <v>41199</v>
          </cell>
          <cell r="H1217">
            <v>48503</v>
          </cell>
          <cell r="I1217" t="str">
            <v>19 years, 11 months, 29 days</v>
          </cell>
          <cell r="J1217" t="str">
            <v>Renewables</v>
          </cell>
          <cell r="K1217" t="str">
            <v>Solar (Rooftop)</v>
          </cell>
          <cell r="L1217" t="str">
            <v>Solar</v>
          </cell>
          <cell r="M1217" t="str">
            <v>Dx</v>
          </cell>
          <cell r="N1217" t="str">
            <v>Brampton</v>
          </cell>
          <cell r="O1217" t="str">
            <v>Peel</v>
          </cell>
          <cell r="P1217" t="str">
            <v>Toronto</v>
          </cell>
        </row>
        <row r="1218">
          <cell r="C1218" t="str">
            <v>H06-10 FRANK NIGHBOR</v>
          </cell>
          <cell r="D1218" t="str">
            <v>PSI Solar Finance 1 Limited Partnership</v>
          </cell>
          <cell r="E1218" t="str">
            <v>CO</v>
          </cell>
          <cell r="F1218">
            <v>41735</v>
          </cell>
          <cell r="G1218">
            <v>41901</v>
          </cell>
          <cell r="H1218">
            <v>49205</v>
          </cell>
          <cell r="I1218" t="str">
            <v>19 years, 11 months, 30 days</v>
          </cell>
          <cell r="J1218" t="str">
            <v>Renewables</v>
          </cell>
          <cell r="K1218" t="str">
            <v>Solar (Rooftop)</v>
          </cell>
          <cell r="L1218" t="str">
            <v>Solar</v>
          </cell>
          <cell r="M1218" t="str">
            <v>Dx</v>
          </cell>
          <cell r="N1218" t="str">
            <v>Ottawa</v>
          </cell>
          <cell r="O1218" t="str">
            <v>Ottawa</v>
          </cell>
          <cell r="P1218" t="str">
            <v>Ottawa</v>
          </cell>
        </row>
        <row r="1219">
          <cell r="C1219" t="str">
            <v>Alderville 3</v>
          </cell>
          <cell r="D1219" t="str">
            <v>Alderville Solar Limited Partnership</v>
          </cell>
          <cell r="E1219" t="str">
            <v>CO</v>
          </cell>
          <cell r="F1219">
            <v>41392</v>
          </cell>
          <cell r="G1219">
            <v>41575</v>
          </cell>
          <cell r="H1219">
            <v>48696</v>
          </cell>
          <cell r="I1219" t="str">
            <v>19 years, 5 months, 30 days</v>
          </cell>
          <cell r="J1219" t="str">
            <v>Renewables</v>
          </cell>
          <cell r="K1219" t="str">
            <v>Solar (Ground Mounted)</v>
          </cell>
          <cell r="L1219" t="str">
            <v>Solar</v>
          </cell>
          <cell r="M1219" t="str">
            <v>Dx</v>
          </cell>
          <cell r="N1219" t="str">
            <v>Roseneath</v>
          </cell>
          <cell r="O1219" t="str">
            <v>Northumberland</v>
          </cell>
          <cell r="P1219" t="str">
            <v>East</v>
          </cell>
        </row>
        <row r="1220">
          <cell r="C1220" t="str">
            <v>EffiSolar Beckwith Solar Farm (10MW)</v>
          </cell>
          <cell r="D1220" t="str">
            <v>Beckwith Solar Inc.</v>
          </cell>
          <cell r="E1220" t="str">
            <v>CO</v>
          </cell>
          <cell r="F1220">
            <v>41699</v>
          </cell>
          <cell r="G1220">
            <v>41662</v>
          </cell>
          <cell r="H1220">
            <v>48966</v>
          </cell>
          <cell r="I1220" t="str">
            <v>19 years, 11 months, 30 days</v>
          </cell>
          <cell r="J1220" t="str">
            <v>Renewables</v>
          </cell>
          <cell r="K1220" t="str">
            <v>Solar (Ground Mounted)</v>
          </cell>
          <cell r="L1220" t="str">
            <v>Solar</v>
          </cell>
          <cell r="M1220" t="str">
            <v>Dx</v>
          </cell>
          <cell r="N1220" t="str">
            <v>Smiths Falls</v>
          </cell>
          <cell r="O1220" t="str">
            <v>Lanark</v>
          </cell>
          <cell r="P1220" t="str">
            <v>East</v>
          </cell>
        </row>
        <row r="1221">
          <cell r="C1221" t="str">
            <v>Petrolia</v>
          </cell>
          <cell r="D1221" t="str">
            <v>Fovere Glenbarra Energy Fund II Limited Partnership</v>
          </cell>
          <cell r="E1221" t="str">
            <v>CO</v>
          </cell>
          <cell r="F1221">
            <v>41813</v>
          </cell>
          <cell r="G1221">
            <v>41242</v>
          </cell>
          <cell r="H1221">
            <v>48546</v>
          </cell>
          <cell r="I1221" t="str">
            <v>19 years, 11 months, 30 days</v>
          </cell>
          <cell r="J1221" t="str">
            <v>Renewables</v>
          </cell>
          <cell r="K1221" t="str">
            <v>Solar (Rooftop)</v>
          </cell>
          <cell r="L1221" t="str">
            <v>Solar</v>
          </cell>
          <cell r="M1221" t="str">
            <v>Dx</v>
          </cell>
          <cell r="N1221" t="str">
            <v>Petrolia</v>
          </cell>
          <cell r="O1221" t="str">
            <v>Lambton</v>
          </cell>
          <cell r="P1221" t="str">
            <v>West</v>
          </cell>
        </row>
        <row r="1222">
          <cell r="C1222" t="str">
            <v>J &amp; J Dominion Collision Services Limited</v>
          </cell>
          <cell r="D1222" t="str">
            <v>Alectra Utilities Corporation</v>
          </cell>
          <cell r="E1222" t="str">
            <v>CO</v>
          </cell>
          <cell r="F1222">
            <v>41813</v>
          </cell>
          <cell r="G1222">
            <v>41870</v>
          </cell>
          <cell r="H1222">
            <v>49174</v>
          </cell>
          <cell r="I1222" t="str">
            <v>19 years, 11 months, 30 days</v>
          </cell>
          <cell r="J1222" t="str">
            <v>Renewables</v>
          </cell>
          <cell r="K1222" t="str">
            <v>Solar (Rooftop)</v>
          </cell>
          <cell r="L1222" t="str">
            <v>Solar</v>
          </cell>
          <cell r="M1222" t="str">
            <v>Dx</v>
          </cell>
          <cell r="N1222" t="str">
            <v>Windsor</v>
          </cell>
          <cell r="O1222" t="str">
            <v>Essex</v>
          </cell>
          <cell r="P1222" t="str">
            <v>West</v>
          </cell>
        </row>
        <row r="1223">
          <cell r="C1223" t="str">
            <v>(F27) Your Independent Grocer Scott Street</v>
          </cell>
          <cell r="D1223" t="str">
            <v>Firelight Solar LP</v>
          </cell>
          <cell r="E1223" t="str">
            <v>CO</v>
          </cell>
          <cell r="F1223">
            <v>41721</v>
          </cell>
          <cell r="G1223">
            <v>41887</v>
          </cell>
          <cell r="H1223">
            <v>49191</v>
          </cell>
          <cell r="I1223" t="str">
            <v>19 years, 11 months, 30 days</v>
          </cell>
          <cell r="J1223" t="str">
            <v>Renewables</v>
          </cell>
          <cell r="K1223" t="str">
            <v>Solar (Rooftop)</v>
          </cell>
          <cell r="L1223" t="str">
            <v>Solar</v>
          </cell>
          <cell r="M1223" t="str">
            <v>Dx</v>
          </cell>
          <cell r="N1223" t="str">
            <v>New Liskeard</v>
          </cell>
          <cell r="O1223" t="str">
            <v>Timiskaming</v>
          </cell>
          <cell r="P1223" t="str">
            <v>Northeast</v>
          </cell>
        </row>
        <row r="1224">
          <cell r="C1224" t="str">
            <v>Nor-Weld</v>
          </cell>
          <cell r="D1224" t="str">
            <v>Nor-Weld Limited</v>
          </cell>
          <cell r="E1224" t="str">
            <v>CO</v>
          </cell>
          <cell r="F1224">
            <v>41029</v>
          </cell>
          <cell r="G1224">
            <v>41204</v>
          </cell>
          <cell r="H1224">
            <v>48508</v>
          </cell>
          <cell r="I1224" t="str">
            <v>19 years, 11 months, 29 days</v>
          </cell>
          <cell r="J1224" t="str">
            <v>Renewables</v>
          </cell>
          <cell r="K1224" t="str">
            <v>Solar (Rooftop)</v>
          </cell>
          <cell r="L1224" t="str">
            <v>Solar</v>
          </cell>
          <cell r="M1224" t="str">
            <v>Dx</v>
          </cell>
          <cell r="N1224" t="str">
            <v>Orillia</v>
          </cell>
          <cell r="O1224" t="str">
            <v>Simcoe</v>
          </cell>
          <cell r="P1224" t="str">
            <v>Essa</v>
          </cell>
        </row>
        <row r="1225">
          <cell r="C1225" t="str">
            <v>10031 McLaughlin Rd. Brampton</v>
          </cell>
          <cell r="D1225" t="str">
            <v>MOM Solar Limited Partnership</v>
          </cell>
          <cell r="E1225" t="str">
            <v>CO</v>
          </cell>
          <cell r="F1225">
            <v>41029</v>
          </cell>
          <cell r="G1225">
            <v>41186</v>
          </cell>
          <cell r="H1225">
            <v>48490</v>
          </cell>
          <cell r="I1225" t="str">
            <v>19 years, 11 months, 29 days</v>
          </cell>
          <cell r="J1225" t="str">
            <v>Renewables</v>
          </cell>
          <cell r="K1225" t="str">
            <v>Solar (Rooftop)</v>
          </cell>
          <cell r="L1225" t="str">
            <v>Solar</v>
          </cell>
          <cell r="M1225" t="str">
            <v>Dx</v>
          </cell>
          <cell r="N1225" t="str">
            <v>Brampton</v>
          </cell>
          <cell r="O1225" t="str">
            <v>Peel</v>
          </cell>
          <cell r="P1225" t="str">
            <v>Toronto</v>
          </cell>
        </row>
        <row r="1226">
          <cell r="C1226" t="str">
            <v>RE Smiths Falls 3</v>
          </cell>
          <cell r="D1226" t="str">
            <v>Aurora Smiths Falls 3 Limited Partnership</v>
          </cell>
          <cell r="E1226" t="str">
            <v>CO</v>
          </cell>
          <cell r="F1226">
            <v>41475</v>
          </cell>
          <cell r="G1226">
            <v>41726</v>
          </cell>
          <cell r="H1226">
            <v>49030</v>
          </cell>
          <cell r="I1226" t="str">
            <v>19 years, 11 months, 27 days</v>
          </cell>
          <cell r="J1226" t="str">
            <v>Renewables</v>
          </cell>
          <cell r="K1226" t="str">
            <v>Solar (Ground Mounted)</v>
          </cell>
          <cell r="L1226" t="str">
            <v>Solar</v>
          </cell>
          <cell r="M1226" t="str">
            <v>Dx</v>
          </cell>
          <cell r="N1226" t="str">
            <v>Smiths Falls</v>
          </cell>
          <cell r="O1226" t="str">
            <v>Lanark</v>
          </cell>
          <cell r="P1226" t="str">
            <v>East</v>
          </cell>
        </row>
        <row r="1227">
          <cell r="C1227" t="str">
            <v>10043R - Wills Transfer Brockville</v>
          </cell>
          <cell r="D1227" t="str">
            <v>PRI RT Solar LP</v>
          </cell>
          <cell r="E1227" t="str">
            <v>CO</v>
          </cell>
          <cell r="F1227">
            <v>41804</v>
          </cell>
          <cell r="G1227">
            <v>41583</v>
          </cell>
          <cell r="H1227">
            <v>48887</v>
          </cell>
          <cell r="I1227" t="str">
            <v>19 years, 11 months, 30 days</v>
          </cell>
          <cell r="J1227" t="str">
            <v>Renewables</v>
          </cell>
          <cell r="K1227" t="str">
            <v>Solar (Rooftop)</v>
          </cell>
          <cell r="L1227" t="str">
            <v>Solar</v>
          </cell>
          <cell r="M1227" t="str">
            <v>Dx</v>
          </cell>
          <cell r="N1227" t="str">
            <v>Brockville</v>
          </cell>
          <cell r="O1227" t="str">
            <v>Leeds and Grenville</v>
          </cell>
          <cell r="P1227" t="str">
            <v>East</v>
          </cell>
        </row>
        <row r="1228">
          <cell r="C1228" t="str">
            <v>TBHEDI-1</v>
          </cell>
          <cell r="D1228" t="str">
            <v>Synergy North Corporation</v>
          </cell>
          <cell r="E1228" t="str">
            <v>CO</v>
          </cell>
          <cell r="F1228">
            <v>41825</v>
          </cell>
          <cell r="G1228">
            <v>41297</v>
          </cell>
          <cell r="H1228">
            <v>48601</v>
          </cell>
          <cell r="I1228" t="str">
            <v>19 years, 11 months, 30 days</v>
          </cell>
          <cell r="J1228" t="str">
            <v>Renewables</v>
          </cell>
          <cell r="K1228" t="str">
            <v>Solar (Rooftop)</v>
          </cell>
          <cell r="L1228" t="str">
            <v>Solar</v>
          </cell>
          <cell r="M1228" t="str">
            <v>Dx</v>
          </cell>
          <cell r="N1228" t="str">
            <v>Thunder Bay</v>
          </cell>
          <cell r="O1228" t="str">
            <v>Thunder Bay</v>
          </cell>
          <cell r="P1228" t="str">
            <v>Northwest</v>
          </cell>
        </row>
        <row r="1229">
          <cell r="C1229" t="str">
            <v>1680 Mattawa Avenue</v>
          </cell>
          <cell r="D1229" t="str">
            <v>TerraForm MP Solar, LLC</v>
          </cell>
          <cell r="E1229" t="str">
            <v>CO</v>
          </cell>
          <cell r="F1229">
            <v>41820</v>
          </cell>
          <cell r="G1229">
            <v>41299</v>
          </cell>
          <cell r="H1229">
            <v>48603</v>
          </cell>
          <cell r="I1229" t="str">
            <v>19 years, 11 months, 30 days</v>
          </cell>
          <cell r="J1229" t="str">
            <v>Renewables</v>
          </cell>
          <cell r="K1229" t="str">
            <v>Solar (Rooftop)</v>
          </cell>
          <cell r="L1229" t="str">
            <v>Solar</v>
          </cell>
          <cell r="M1229" t="str">
            <v>Dx</v>
          </cell>
          <cell r="N1229" t="str">
            <v>Mississauga</v>
          </cell>
          <cell r="O1229" t="str">
            <v>Peel</v>
          </cell>
          <cell r="P1229" t="str">
            <v>Toronto</v>
          </cell>
        </row>
        <row r="1230">
          <cell r="C1230" t="str">
            <v>REACH Complex Solar PV Project</v>
          </cell>
          <cell r="D1230" t="str">
            <v>Municipality of Central Huron</v>
          </cell>
          <cell r="E1230" t="str">
            <v>CO</v>
          </cell>
          <cell r="F1230">
            <v>41827</v>
          </cell>
          <cell r="G1230">
            <v>41698</v>
          </cell>
          <cell r="H1230">
            <v>49002</v>
          </cell>
          <cell r="I1230" t="str">
            <v>19 years, 11 months, 30 days</v>
          </cell>
          <cell r="J1230" t="str">
            <v>Renewables</v>
          </cell>
          <cell r="K1230" t="str">
            <v>Solar (Rooftop)</v>
          </cell>
          <cell r="L1230" t="str">
            <v>Solar</v>
          </cell>
          <cell r="M1230" t="str">
            <v>Dx</v>
          </cell>
          <cell r="N1230" t="str">
            <v>Clinton</v>
          </cell>
          <cell r="O1230" t="str">
            <v>Huron</v>
          </cell>
          <cell r="P1230" t="str">
            <v>Southwest</v>
          </cell>
        </row>
        <row r="1231">
          <cell r="C1231" t="str">
            <v>900 Vances Side Road</v>
          </cell>
          <cell r="D1231" t="str">
            <v>CSE-OREC JV</v>
          </cell>
          <cell r="E1231" t="str">
            <v>CO</v>
          </cell>
          <cell r="F1231">
            <v>41435</v>
          </cell>
          <cell r="G1231">
            <v>41323</v>
          </cell>
          <cell r="H1231">
            <v>48627</v>
          </cell>
          <cell r="I1231" t="str">
            <v>19 years, 11 months, 30 days</v>
          </cell>
          <cell r="J1231" t="str">
            <v>Renewables</v>
          </cell>
          <cell r="K1231" t="str">
            <v>Solar (Rooftop)</v>
          </cell>
          <cell r="L1231" t="str">
            <v>Solar</v>
          </cell>
          <cell r="M1231" t="str">
            <v>Dx</v>
          </cell>
          <cell r="N1231" t="str">
            <v>Dunrobin</v>
          </cell>
          <cell r="O1231" t="str">
            <v>Ottawa</v>
          </cell>
          <cell r="P1231" t="str">
            <v>East</v>
          </cell>
        </row>
        <row r="1232">
          <cell r="C1232" t="str">
            <v>Solray Energy Epsom</v>
          </cell>
          <cell r="D1232" t="str">
            <v>Marsh Hill III LP</v>
          </cell>
          <cell r="E1232" t="str">
            <v>CO</v>
          </cell>
          <cell r="F1232">
            <v>41695</v>
          </cell>
          <cell r="G1232">
            <v>42094</v>
          </cell>
          <cell r="H1232">
            <v>49398</v>
          </cell>
          <cell r="I1232" t="str">
            <v>19 years, 11 months, 27 days</v>
          </cell>
          <cell r="J1232" t="str">
            <v>Renewables</v>
          </cell>
          <cell r="K1232" t="str">
            <v>Solar (Ground Mounted)</v>
          </cell>
          <cell r="L1232" t="str">
            <v>Solar</v>
          </cell>
          <cell r="M1232" t="str">
            <v>Dx</v>
          </cell>
          <cell r="N1232" t="str">
            <v>Uxbridge</v>
          </cell>
          <cell r="O1232" t="str">
            <v>Durham</v>
          </cell>
          <cell r="P1232" t="str">
            <v>Toronto</v>
          </cell>
        </row>
        <row r="1233">
          <cell r="C1233" t="str">
            <v>Poultry Power</v>
          </cell>
          <cell r="D1233" t="str">
            <v>Matthew Bruce Munro</v>
          </cell>
          <cell r="E1233" t="str">
            <v>CO</v>
          </cell>
          <cell r="F1233">
            <v>41512</v>
          </cell>
          <cell r="G1233">
            <v>41621</v>
          </cell>
          <cell r="H1233">
            <v>48925</v>
          </cell>
          <cell r="I1233" t="str">
            <v>19 years, 11 months, 29 days</v>
          </cell>
          <cell r="J1233" t="str">
            <v>Renewables</v>
          </cell>
          <cell r="K1233" t="str">
            <v>Solar (Rooftop)</v>
          </cell>
          <cell r="L1233" t="str">
            <v>Solar</v>
          </cell>
          <cell r="M1233" t="str">
            <v>Dx</v>
          </cell>
          <cell r="N1233" t="str">
            <v>Carp</v>
          </cell>
          <cell r="O1233" t="str">
            <v>Ottawa</v>
          </cell>
          <cell r="P1233" t="str">
            <v>Ottawa</v>
          </cell>
        </row>
        <row r="1234">
          <cell r="C1234" t="str">
            <v>Camtac Manufacturing</v>
          </cell>
          <cell r="D1234" t="str">
            <v>Linamar Corporation</v>
          </cell>
          <cell r="E1234" t="str">
            <v>CO</v>
          </cell>
          <cell r="F1234">
            <v>41029</v>
          </cell>
          <cell r="G1234">
            <v>41036</v>
          </cell>
          <cell r="H1234">
            <v>48333</v>
          </cell>
          <cell r="I1234" t="str">
            <v>19 years, 11 months, 22 days</v>
          </cell>
          <cell r="J1234" t="str">
            <v>Renewables</v>
          </cell>
          <cell r="K1234" t="str">
            <v>Solar (Rooftop)</v>
          </cell>
          <cell r="L1234" t="str">
            <v>Solar</v>
          </cell>
          <cell r="M1234" t="str">
            <v>Dx</v>
          </cell>
          <cell r="N1234" t="str">
            <v>Guelph</v>
          </cell>
          <cell r="O1234" t="str">
            <v>Wellington</v>
          </cell>
          <cell r="P1234" t="str">
            <v>Southwest</v>
          </cell>
        </row>
        <row r="1235">
          <cell r="C1235" t="str">
            <v>H06-2920 ARGENTIA</v>
          </cell>
          <cell r="D1235" t="str">
            <v>PSI Solar Finance 1 Limited Partnership</v>
          </cell>
          <cell r="E1235" t="str">
            <v>CO</v>
          </cell>
          <cell r="F1235">
            <v>41722</v>
          </cell>
          <cell r="G1235">
            <v>41858</v>
          </cell>
          <cell r="H1235">
            <v>49162</v>
          </cell>
          <cell r="I1235" t="str">
            <v>19 years, 11 months, 30 days</v>
          </cell>
          <cell r="J1235" t="str">
            <v>Renewables</v>
          </cell>
          <cell r="K1235" t="str">
            <v>Solar (Rooftop)</v>
          </cell>
          <cell r="L1235" t="str">
            <v>Solar</v>
          </cell>
          <cell r="M1235" t="str">
            <v>Dx</v>
          </cell>
          <cell r="N1235" t="str">
            <v>Mississauga</v>
          </cell>
          <cell r="O1235" t="str">
            <v>Peel</v>
          </cell>
          <cell r="P1235" t="str">
            <v>Southwest</v>
          </cell>
        </row>
        <row r="1236">
          <cell r="C1236" t="str">
            <v>O02-145 Woodridge</v>
          </cell>
          <cell r="D1236" t="str">
            <v>Ferguslea Solar Limited Partnership</v>
          </cell>
          <cell r="E1236" t="str">
            <v>CO</v>
          </cell>
          <cell r="F1236">
            <v>41827</v>
          </cell>
          <cell r="G1236">
            <v>41990</v>
          </cell>
          <cell r="H1236">
            <v>49294</v>
          </cell>
          <cell r="I1236" t="str">
            <v>19 years, 11 months, 29 days</v>
          </cell>
          <cell r="J1236" t="str">
            <v>Renewables</v>
          </cell>
          <cell r="K1236" t="str">
            <v>Solar (Rooftop)</v>
          </cell>
          <cell r="L1236" t="str">
            <v>Solar</v>
          </cell>
          <cell r="M1236" t="str">
            <v>Dx</v>
          </cell>
          <cell r="N1236" t="str">
            <v>Ottawa</v>
          </cell>
          <cell r="O1236" t="str">
            <v>Ottawa</v>
          </cell>
          <cell r="P1236" t="str">
            <v>Ottawa</v>
          </cell>
        </row>
        <row r="1237">
          <cell r="C1237" t="str">
            <v>Delft Blue Veal Inc - Biogas</v>
          </cell>
          <cell r="D1237" t="str">
            <v>Delft Blue Veal Inc</v>
          </cell>
          <cell r="E1237" t="str">
            <v>CO</v>
          </cell>
          <cell r="F1237">
            <v>41373</v>
          </cell>
          <cell r="G1237">
            <v>40436</v>
          </cell>
          <cell r="H1237">
            <v>47740</v>
          </cell>
          <cell r="I1237" t="str">
            <v>19 years, 11 months, 30 days</v>
          </cell>
          <cell r="J1237" t="str">
            <v>Renewables</v>
          </cell>
          <cell r="K1237" t="str">
            <v>Bioenergy</v>
          </cell>
          <cell r="L1237" t="str">
            <v>Biogas</v>
          </cell>
          <cell r="M1237" t="str">
            <v>Dx</v>
          </cell>
          <cell r="N1237" t="str">
            <v>Cambridge</v>
          </cell>
          <cell r="O1237" t="str">
            <v>Waterloo</v>
          </cell>
          <cell r="P1237" t="str">
            <v>Southwest</v>
          </cell>
        </row>
        <row r="1238">
          <cell r="C1238" t="str">
            <v>Waterview Ontario 1 Ltd.</v>
          </cell>
          <cell r="D1238" t="str">
            <v>TREC SolarShare Co-operative (No.1) Inc.</v>
          </cell>
          <cell r="E1238" t="str">
            <v>CO</v>
          </cell>
          <cell r="F1238">
            <v>41029</v>
          </cell>
          <cell r="G1238">
            <v>40866</v>
          </cell>
          <cell r="H1238">
            <v>48170</v>
          </cell>
          <cell r="I1238" t="str">
            <v>19 years, 11 months, 30 days</v>
          </cell>
          <cell r="J1238" t="str">
            <v>Renewables</v>
          </cell>
          <cell r="K1238" t="str">
            <v>Solar (Rooftop)</v>
          </cell>
          <cell r="L1238" t="str">
            <v>Solar</v>
          </cell>
          <cell r="M1238" t="str">
            <v>Dx</v>
          </cell>
          <cell r="N1238" t="str">
            <v>Mississauga</v>
          </cell>
          <cell r="O1238" t="str">
            <v>Peel</v>
          </cell>
          <cell r="P1238" t="str">
            <v>Toronto</v>
          </cell>
        </row>
        <row r="1239">
          <cell r="C1239" t="str">
            <v>114 Sass Road</v>
          </cell>
          <cell r="D1239" t="str">
            <v>Brightroof Solar Limited Partnership</v>
          </cell>
          <cell r="E1239" t="str">
            <v>CO</v>
          </cell>
          <cell r="F1239">
            <v>41796</v>
          </cell>
          <cell r="G1239">
            <v>41764</v>
          </cell>
          <cell r="H1239">
            <v>49068</v>
          </cell>
          <cell r="I1239" t="str">
            <v>19 years, 11 months, 29 days</v>
          </cell>
          <cell r="J1239" t="str">
            <v>Renewables</v>
          </cell>
          <cell r="K1239" t="str">
            <v>Solar (Rooftop)</v>
          </cell>
          <cell r="L1239" t="str">
            <v>Solar</v>
          </cell>
          <cell r="M1239" t="str">
            <v>Dx</v>
          </cell>
          <cell r="N1239" t="str">
            <v>Chatham</v>
          </cell>
          <cell r="O1239" t="str">
            <v>Chatham-Kent</v>
          </cell>
          <cell r="P1239" t="str">
            <v>West</v>
          </cell>
        </row>
        <row r="1240">
          <cell r="C1240" t="str">
            <v>IDA Jarvis 51KW</v>
          </cell>
          <cell r="D1240" t="str">
            <v>Ontario Inc. 914999</v>
          </cell>
          <cell r="E1240" t="str">
            <v>CO</v>
          </cell>
          <cell r="F1240">
            <v>41841</v>
          </cell>
          <cell r="G1240">
            <v>41282</v>
          </cell>
          <cell r="H1240">
            <v>48586</v>
          </cell>
          <cell r="I1240" t="str">
            <v>19 years, 11 months, 30 days</v>
          </cell>
          <cell r="J1240" t="str">
            <v>Renewables</v>
          </cell>
          <cell r="K1240" t="str">
            <v>Solar (Rooftop)</v>
          </cell>
          <cell r="L1240" t="str">
            <v>Solar</v>
          </cell>
          <cell r="M1240" t="str">
            <v>Dx</v>
          </cell>
          <cell r="N1240" t="str">
            <v>Jarvis</v>
          </cell>
          <cell r="O1240" t="str">
            <v>Haldimand</v>
          </cell>
          <cell r="P1240" t="str">
            <v>Southwest</v>
          </cell>
        </row>
        <row r="1241">
          <cell r="C1241" t="str">
            <v>394Orenda</v>
          </cell>
          <cell r="D1241" t="str">
            <v>2222270 Ontario inc.</v>
          </cell>
          <cell r="E1241" t="str">
            <v>CO</v>
          </cell>
          <cell r="F1241">
            <v>41834</v>
          </cell>
          <cell r="G1241">
            <v>41582</v>
          </cell>
          <cell r="H1241">
            <v>48886</v>
          </cell>
          <cell r="I1241" t="str">
            <v>19 years, 11 months, 30 days</v>
          </cell>
          <cell r="J1241" t="str">
            <v>Renewables</v>
          </cell>
          <cell r="K1241" t="str">
            <v>Solar (Rooftop)</v>
          </cell>
          <cell r="L1241" t="str">
            <v>Solar</v>
          </cell>
          <cell r="M1241" t="str">
            <v>Dx</v>
          </cell>
          <cell r="N1241" t="str">
            <v>Brampton</v>
          </cell>
          <cell r="O1241" t="str">
            <v>Peel</v>
          </cell>
          <cell r="P1241" t="str">
            <v>Toronto</v>
          </cell>
        </row>
        <row r="1242">
          <cell r="C1242" t="str">
            <v>H06-101 WICKSTEED</v>
          </cell>
          <cell r="D1242" t="str">
            <v>MOM Solar Limited Partnership</v>
          </cell>
          <cell r="E1242" t="str">
            <v>CO</v>
          </cell>
          <cell r="F1242">
            <v>41029</v>
          </cell>
          <cell r="G1242">
            <v>41156</v>
          </cell>
          <cell r="H1242">
            <v>48333</v>
          </cell>
          <cell r="I1242" t="str">
            <v>19 years, 7 months, 25 days</v>
          </cell>
          <cell r="J1242" t="str">
            <v>Renewables</v>
          </cell>
          <cell r="K1242" t="str">
            <v>Solar (Rooftop)</v>
          </cell>
          <cell r="L1242" t="str">
            <v>Solar</v>
          </cell>
          <cell r="M1242" t="str">
            <v>Dx</v>
          </cell>
          <cell r="N1242" t="str">
            <v>Toronto</v>
          </cell>
          <cell r="O1242" t="str">
            <v>Toronto</v>
          </cell>
          <cell r="P1242" t="str">
            <v>Toronto</v>
          </cell>
        </row>
        <row r="1243">
          <cell r="C1243" t="str">
            <v>Jericho Wind Energy Centre</v>
          </cell>
          <cell r="D1243" t="str">
            <v>Jericho Wind, LP</v>
          </cell>
          <cell r="E1243" t="str">
            <v>CO</v>
          </cell>
          <cell r="F1243">
            <v>41965</v>
          </cell>
          <cell r="G1243">
            <v>41965</v>
          </cell>
          <cell r="H1243">
            <v>49269</v>
          </cell>
          <cell r="I1243" t="str">
            <v>19 years, 11 months, 30 days</v>
          </cell>
          <cell r="J1243" t="str">
            <v>Renewables</v>
          </cell>
          <cell r="K1243" t="str">
            <v>Wind (On-Shore)</v>
          </cell>
          <cell r="L1243" t="str">
            <v>Wind</v>
          </cell>
          <cell r="M1243" t="str">
            <v>Tx</v>
          </cell>
          <cell r="N1243" t="str">
            <v>Thedford</v>
          </cell>
          <cell r="O1243" t="str">
            <v>Lambton</v>
          </cell>
          <cell r="P1243" t="str">
            <v>Bruce</v>
          </cell>
        </row>
        <row r="1244">
          <cell r="C1244" t="str">
            <v>Shelswell Farm</v>
          </cell>
          <cell r="D1244" t="str">
            <v>Douglas Ian Shelswell</v>
          </cell>
          <cell r="E1244" t="str">
            <v>CO</v>
          </cell>
          <cell r="F1244">
            <v>41818</v>
          </cell>
          <cell r="G1244">
            <v>41255</v>
          </cell>
          <cell r="H1244">
            <v>48559</v>
          </cell>
          <cell r="I1244" t="str">
            <v>19 years, 11 months, 29 days</v>
          </cell>
          <cell r="J1244" t="str">
            <v>Renewables</v>
          </cell>
          <cell r="K1244" t="str">
            <v>Solar (Rooftop)</v>
          </cell>
          <cell r="L1244" t="str">
            <v>Solar</v>
          </cell>
          <cell r="M1244" t="str">
            <v>Dx</v>
          </cell>
          <cell r="N1244" t="str">
            <v>Hawkestone</v>
          </cell>
          <cell r="O1244" t="str">
            <v>Simcoe</v>
          </cell>
          <cell r="P1244" t="str">
            <v>Essa</v>
          </cell>
        </row>
        <row r="1245">
          <cell r="C1245" t="str">
            <v>Tracy1</v>
          </cell>
          <cell r="D1245" t="str">
            <v>Fit Solar Systems Limited</v>
          </cell>
          <cell r="E1245" t="str">
            <v>CO</v>
          </cell>
          <cell r="F1245">
            <v>41029</v>
          </cell>
          <cell r="G1245">
            <v>40777</v>
          </cell>
          <cell r="H1245">
            <v>48081</v>
          </cell>
          <cell r="I1245" t="str">
            <v>19 years, 11 months, 30 days</v>
          </cell>
          <cell r="J1245" t="str">
            <v>Renewables</v>
          </cell>
          <cell r="K1245" t="str">
            <v>Solar (Rooftop)</v>
          </cell>
          <cell r="L1245" t="str">
            <v>Solar</v>
          </cell>
          <cell r="M1245" t="str">
            <v>Dx</v>
          </cell>
          <cell r="N1245" t="str">
            <v>Brampton</v>
          </cell>
          <cell r="O1245" t="str">
            <v>Peel</v>
          </cell>
          <cell r="P1245" t="str">
            <v>Toronto</v>
          </cell>
        </row>
        <row r="1246">
          <cell r="C1246" t="str">
            <v>P05-15 Blair</v>
          </cell>
          <cell r="D1246" t="str">
            <v>Skyline Clean Energy Holdings (II) Inc.</v>
          </cell>
          <cell r="E1246" t="str">
            <v>CO</v>
          </cell>
          <cell r="F1246">
            <v>41849</v>
          </cell>
          <cell r="G1246">
            <v>41995</v>
          </cell>
          <cell r="H1246">
            <v>49299</v>
          </cell>
          <cell r="I1246" t="str">
            <v>19 years, 11 months, 29 days</v>
          </cell>
          <cell r="J1246" t="str">
            <v>Renewables</v>
          </cell>
          <cell r="K1246" t="str">
            <v>Solar (Rooftop)</v>
          </cell>
          <cell r="L1246" t="str">
            <v>Solar</v>
          </cell>
          <cell r="M1246" t="str">
            <v>Dx</v>
          </cell>
          <cell r="N1246" t="str">
            <v>Brampton</v>
          </cell>
          <cell r="O1246" t="str">
            <v>Peel</v>
          </cell>
          <cell r="P1246" t="str">
            <v>Toronto</v>
          </cell>
        </row>
        <row r="1247">
          <cell r="C1247" t="str">
            <v>70 Birmingham Solar PV</v>
          </cell>
          <cell r="D1247" t="str">
            <v>Toronto Hydro-Electric System Limited</v>
          </cell>
          <cell r="E1247" t="str">
            <v>CO</v>
          </cell>
          <cell r="F1247">
            <v>41804</v>
          </cell>
          <cell r="G1247">
            <v>41359</v>
          </cell>
          <cell r="H1247">
            <v>48663</v>
          </cell>
          <cell r="I1247" t="str">
            <v>19 years, 11 months, 27 days</v>
          </cell>
          <cell r="J1247" t="str">
            <v>Renewables</v>
          </cell>
          <cell r="K1247" t="str">
            <v>Solar (Rooftop)</v>
          </cell>
          <cell r="L1247" t="str">
            <v>Solar</v>
          </cell>
          <cell r="M1247" t="str">
            <v>Dx</v>
          </cell>
          <cell r="N1247" t="str">
            <v>Toronto</v>
          </cell>
          <cell r="O1247" t="str">
            <v>Toronto</v>
          </cell>
          <cell r="P1247" t="str">
            <v>Toronto</v>
          </cell>
        </row>
        <row r="1248">
          <cell r="C1248" t="str">
            <v>M07-1385 Huntingwood</v>
          </cell>
          <cell r="D1248" t="str">
            <v>Skyline Clean Energy Holdings (II) Inc.</v>
          </cell>
          <cell r="E1248" t="str">
            <v>CO</v>
          </cell>
          <cell r="F1248">
            <v>41710</v>
          </cell>
          <cell r="G1248">
            <v>41873</v>
          </cell>
          <cell r="H1248">
            <v>49177</v>
          </cell>
          <cell r="I1248" t="str">
            <v>19 years, 11 months, 30 days</v>
          </cell>
          <cell r="J1248" t="str">
            <v>Renewables</v>
          </cell>
          <cell r="K1248" t="str">
            <v>Solar (Rooftop)</v>
          </cell>
          <cell r="L1248" t="str">
            <v>Solar</v>
          </cell>
          <cell r="M1248" t="str">
            <v>Dx</v>
          </cell>
          <cell r="N1248" t="str">
            <v>Toronto</v>
          </cell>
          <cell r="O1248" t="str">
            <v>Toronto</v>
          </cell>
          <cell r="P1248" t="str">
            <v>Toronto</v>
          </cell>
        </row>
        <row r="1249">
          <cell r="C1249" t="str">
            <v>Appleby</v>
          </cell>
          <cell r="D1249" t="str">
            <v>Samuel, Son &amp; Co., Ltd.</v>
          </cell>
          <cell r="E1249" t="str">
            <v>CO</v>
          </cell>
          <cell r="F1249">
            <v>41806</v>
          </cell>
          <cell r="G1249">
            <v>41891</v>
          </cell>
          <cell r="H1249">
            <v>49110</v>
          </cell>
          <cell r="I1249" t="str">
            <v>19 years, 9 months, 6 days</v>
          </cell>
          <cell r="J1249" t="str">
            <v>Renewables</v>
          </cell>
          <cell r="K1249" t="str">
            <v>Solar (Rooftop)</v>
          </cell>
          <cell r="L1249" t="str">
            <v>Solar</v>
          </cell>
          <cell r="M1249" t="str">
            <v>Dx</v>
          </cell>
          <cell r="N1249" t="str">
            <v>Burlington</v>
          </cell>
          <cell r="O1249" t="str">
            <v>Halton</v>
          </cell>
          <cell r="P1249" t="str">
            <v>Southwest</v>
          </cell>
        </row>
        <row r="1250">
          <cell r="C1250" t="str">
            <v>Lafleche Landfill Gas Utilization</v>
          </cell>
          <cell r="D1250" t="str">
            <v>Moose Creek Energy LP</v>
          </cell>
          <cell r="E1250" t="str">
            <v>CO</v>
          </cell>
          <cell r="F1250">
            <v>41386</v>
          </cell>
          <cell r="G1250">
            <v>41299</v>
          </cell>
          <cell r="H1250">
            <v>48603</v>
          </cell>
          <cell r="I1250" t="str">
            <v>19 years, 11 months, 30 days</v>
          </cell>
          <cell r="J1250" t="str">
            <v>Renewables</v>
          </cell>
          <cell r="K1250" t="str">
            <v>Bioenergy</v>
          </cell>
          <cell r="L1250" t="str">
            <v>Landfill Gas</v>
          </cell>
          <cell r="M1250" t="str">
            <v>Dx</v>
          </cell>
          <cell r="N1250" t="str">
            <v>Moose Creek</v>
          </cell>
          <cell r="O1250" t="str">
            <v>Stormont, Dundas and Glengarry</v>
          </cell>
          <cell r="P1250" t="str">
            <v>Ottawa</v>
          </cell>
        </row>
        <row r="1251">
          <cell r="C1251" t="str">
            <v>GNE Solar PV</v>
          </cell>
          <cell r="D1251" t="str">
            <v>Colingwood Agricultural Society</v>
          </cell>
          <cell r="E1251" t="str">
            <v>CO</v>
          </cell>
          <cell r="F1251">
            <v>41827</v>
          </cell>
          <cell r="G1251">
            <v>41870</v>
          </cell>
          <cell r="H1251">
            <v>49131</v>
          </cell>
          <cell r="I1251" t="str">
            <v>19 years, 10 months, 17 days</v>
          </cell>
          <cell r="J1251" t="str">
            <v>Renewables</v>
          </cell>
          <cell r="K1251" t="str">
            <v>Solar (Rooftop)</v>
          </cell>
          <cell r="L1251" t="str">
            <v>Solar</v>
          </cell>
          <cell r="M1251" t="str">
            <v>Dx</v>
          </cell>
          <cell r="N1251" t="str">
            <v>Stayner</v>
          </cell>
          <cell r="O1251" t="str">
            <v>Simcoe</v>
          </cell>
          <cell r="P1251" t="str">
            <v>Southwest</v>
          </cell>
        </row>
        <row r="1252">
          <cell r="C1252" t="str">
            <v>P05-1 summerlea</v>
          </cell>
          <cell r="D1252" t="str">
            <v>Sky Solar (Canada) FIT 1 Limited Partnership</v>
          </cell>
          <cell r="E1252" t="str">
            <v>CO</v>
          </cell>
          <cell r="F1252">
            <v>41849</v>
          </cell>
          <cell r="G1252">
            <v>42032</v>
          </cell>
          <cell r="H1252">
            <v>49336</v>
          </cell>
          <cell r="I1252" t="str">
            <v>19 years, 11 months, 30 days</v>
          </cell>
          <cell r="J1252" t="str">
            <v>Renewables</v>
          </cell>
          <cell r="K1252" t="str">
            <v>Solar (Rooftop)</v>
          </cell>
          <cell r="L1252" t="str">
            <v>Solar</v>
          </cell>
          <cell r="M1252" t="str">
            <v>Dx</v>
          </cell>
          <cell r="N1252" t="str">
            <v>Brampton</v>
          </cell>
          <cell r="O1252" t="str">
            <v>Peel</v>
          </cell>
          <cell r="P1252" t="str">
            <v>Toronto</v>
          </cell>
        </row>
        <row r="1253">
          <cell r="C1253" t="str">
            <v>Merrickville CR15</v>
          </cell>
          <cell r="D1253" t="str">
            <v>Thomas Cavanagh Construction Limited</v>
          </cell>
          <cell r="E1253" t="str">
            <v>CO</v>
          </cell>
          <cell r="F1253">
            <v>41435</v>
          </cell>
          <cell r="G1253">
            <v>41604</v>
          </cell>
          <cell r="H1253">
            <v>48908</v>
          </cell>
          <cell r="I1253" t="str">
            <v>19 years, 11 months, 30 days</v>
          </cell>
          <cell r="J1253" t="str">
            <v>Renewables</v>
          </cell>
          <cell r="K1253" t="str">
            <v>Solar (Rooftop)</v>
          </cell>
          <cell r="L1253" t="str">
            <v>Solar</v>
          </cell>
          <cell r="M1253" t="str">
            <v>Dx</v>
          </cell>
          <cell r="N1253" t="str">
            <v>Merrickville</v>
          </cell>
          <cell r="O1253" t="str">
            <v>Leeds and Grenville</v>
          </cell>
          <cell r="P1253" t="str">
            <v>East</v>
          </cell>
        </row>
        <row r="1254">
          <cell r="C1254" t="str">
            <v>Blower Engineering - 40 Industrial Pkwy N</v>
          </cell>
          <cell r="D1254" t="str">
            <v>Bytosco Investments Ltd.</v>
          </cell>
          <cell r="E1254" t="str">
            <v>CO</v>
          </cell>
          <cell r="F1254">
            <v>41029</v>
          </cell>
          <cell r="G1254">
            <v>40709</v>
          </cell>
          <cell r="H1254">
            <v>48013</v>
          </cell>
          <cell r="I1254" t="str">
            <v>19 years, 11 months, 30 days</v>
          </cell>
          <cell r="J1254" t="str">
            <v>Renewables</v>
          </cell>
          <cell r="K1254" t="str">
            <v>Solar (Rooftop)</v>
          </cell>
          <cell r="L1254" t="str">
            <v>Solar</v>
          </cell>
          <cell r="M1254" t="str">
            <v>Dx</v>
          </cell>
          <cell r="N1254" t="str">
            <v>Aurora</v>
          </cell>
          <cell r="O1254" t="str">
            <v>York</v>
          </cell>
          <cell r="P1254" t="str">
            <v>Essa</v>
          </cell>
        </row>
        <row r="1255">
          <cell r="C1255" t="str">
            <v>H06-63 WOODLAWN</v>
          </cell>
          <cell r="D1255" t="str">
            <v>MOM Solar Limited Partnership</v>
          </cell>
          <cell r="E1255" t="str">
            <v>CO</v>
          </cell>
          <cell r="F1255">
            <v>41029</v>
          </cell>
          <cell r="G1255">
            <v>41078</v>
          </cell>
          <cell r="H1255">
            <v>48333</v>
          </cell>
          <cell r="I1255" t="str">
            <v>19 years, 10 months, 11 days</v>
          </cell>
          <cell r="J1255" t="str">
            <v>Renewables</v>
          </cell>
          <cell r="K1255" t="str">
            <v>Solar (Rooftop)</v>
          </cell>
          <cell r="L1255" t="str">
            <v>Solar</v>
          </cell>
          <cell r="M1255" t="str">
            <v>Dx</v>
          </cell>
          <cell r="N1255" t="str">
            <v>Guelph</v>
          </cell>
          <cell r="O1255" t="str">
            <v>Wellington</v>
          </cell>
          <cell r="P1255" t="str">
            <v>Southwest</v>
          </cell>
        </row>
        <row r="1256">
          <cell r="C1256" t="str">
            <v>GM Livestock Solar</v>
          </cell>
          <cell r="D1256" t="str">
            <v>Skyline Clean Energy Holdings (III) Inc.</v>
          </cell>
          <cell r="E1256" t="str">
            <v>CO</v>
          </cell>
          <cell r="F1256">
            <v>41029</v>
          </cell>
          <cell r="G1256">
            <v>41211</v>
          </cell>
          <cell r="H1256">
            <v>48515</v>
          </cell>
          <cell r="I1256" t="str">
            <v>19 years, 11 months, 29 days</v>
          </cell>
          <cell r="J1256" t="str">
            <v>Renewables</v>
          </cell>
          <cell r="K1256" t="str">
            <v>Solar (Rooftop)</v>
          </cell>
          <cell r="L1256" t="str">
            <v>Solar</v>
          </cell>
          <cell r="M1256" t="str">
            <v>Dx</v>
          </cell>
          <cell r="N1256" t="str">
            <v>Teeswater</v>
          </cell>
          <cell r="O1256" t="str">
            <v>Bruce</v>
          </cell>
          <cell r="P1256" t="str">
            <v>Southwest</v>
          </cell>
        </row>
        <row r="1257">
          <cell r="C1257" t="str">
            <v>25 Cuddy</v>
          </cell>
          <cell r="D1257" t="str">
            <v>2370649 Ontario Inc.</v>
          </cell>
          <cell r="E1257" t="str">
            <v>CO</v>
          </cell>
          <cell r="F1257">
            <v>41841</v>
          </cell>
          <cell r="G1257">
            <v>41744</v>
          </cell>
          <cell r="H1257">
            <v>49048</v>
          </cell>
          <cell r="I1257" t="str">
            <v>19 years, 11 months, 30 days</v>
          </cell>
          <cell r="J1257" t="str">
            <v>Renewables</v>
          </cell>
          <cell r="K1257" t="str">
            <v>Solar (Rooftop)</v>
          </cell>
          <cell r="L1257" t="str">
            <v>Solar</v>
          </cell>
          <cell r="M1257" t="str">
            <v>Dx</v>
          </cell>
          <cell r="N1257" t="str">
            <v>London</v>
          </cell>
          <cell r="O1257" t="str">
            <v>Middlesex</v>
          </cell>
          <cell r="P1257" t="str">
            <v>West</v>
          </cell>
        </row>
        <row r="1258">
          <cell r="C1258" t="str">
            <v>1898 Sheppard Ave W</v>
          </cell>
          <cell r="D1258" t="str">
            <v>Toronto Community Housing Corporation</v>
          </cell>
          <cell r="E1258" t="str">
            <v>CO</v>
          </cell>
          <cell r="F1258">
            <v>41029</v>
          </cell>
          <cell r="G1258">
            <v>40941</v>
          </cell>
          <cell r="H1258">
            <v>48245</v>
          </cell>
          <cell r="I1258" t="str">
            <v>19 years, 11 months, 30 days</v>
          </cell>
          <cell r="J1258" t="str">
            <v>Renewables</v>
          </cell>
          <cell r="K1258" t="str">
            <v>Solar (Rooftop)</v>
          </cell>
          <cell r="L1258" t="str">
            <v>Solar</v>
          </cell>
          <cell r="M1258" t="str">
            <v>Dx</v>
          </cell>
          <cell r="N1258" t="str">
            <v>Toronto</v>
          </cell>
          <cell r="O1258" t="str">
            <v>Toronto</v>
          </cell>
          <cell r="P1258" t="str">
            <v>Toronto</v>
          </cell>
        </row>
        <row r="1259">
          <cell r="C1259" t="str">
            <v>Rainham Road Solar</v>
          </cell>
          <cell r="D1259" t="str">
            <v>William John Vanderheide and Betty Vanderheide</v>
          </cell>
          <cell r="E1259" t="str">
            <v>CO</v>
          </cell>
          <cell r="F1259">
            <v>41875</v>
          </cell>
          <cell r="G1259">
            <v>41523</v>
          </cell>
          <cell r="H1259">
            <v>48827</v>
          </cell>
          <cell r="I1259" t="str">
            <v>19 years, 11 months, 30 days</v>
          </cell>
          <cell r="J1259" t="str">
            <v>Renewables</v>
          </cell>
          <cell r="K1259" t="str">
            <v>Solar (Rooftop)</v>
          </cell>
          <cell r="L1259" t="str">
            <v>Solar</v>
          </cell>
          <cell r="M1259" t="str">
            <v>Dx</v>
          </cell>
          <cell r="N1259" t="str">
            <v>Nanticoke</v>
          </cell>
          <cell r="O1259" t="str">
            <v>Haldimand</v>
          </cell>
          <cell r="P1259" t="str">
            <v>Southwest</v>
          </cell>
        </row>
        <row r="1260">
          <cell r="C1260" t="str">
            <v>Maxwell Farm</v>
          </cell>
          <cell r="D1260" t="str">
            <v>Hiview Solar Ltd</v>
          </cell>
          <cell r="E1260" t="str">
            <v>CO</v>
          </cell>
          <cell r="F1260">
            <v>41790</v>
          </cell>
          <cell r="G1260">
            <v>41375</v>
          </cell>
          <cell r="H1260">
            <v>48679</v>
          </cell>
          <cell r="I1260" t="str">
            <v>19 years, 11 months, 30 days</v>
          </cell>
          <cell r="J1260" t="str">
            <v>Renewables</v>
          </cell>
          <cell r="K1260" t="str">
            <v>Solar (Rooftop)</v>
          </cell>
          <cell r="L1260" t="str">
            <v>Solar</v>
          </cell>
          <cell r="M1260" t="str">
            <v>Dx</v>
          </cell>
          <cell r="N1260" t="str">
            <v>Flesherton</v>
          </cell>
          <cell r="O1260" t="str">
            <v>Grey</v>
          </cell>
          <cell r="P1260" t="str">
            <v>Southwest</v>
          </cell>
        </row>
        <row r="1261">
          <cell r="C1261" t="str">
            <v>Dufferin Wind Farm</v>
          </cell>
          <cell r="D1261" t="str">
            <v>Dufferin Wind Power Inc.</v>
          </cell>
          <cell r="E1261" t="str">
            <v>CO</v>
          </cell>
          <cell r="F1261">
            <v>41850</v>
          </cell>
          <cell r="G1261">
            <v>41974</v>
          </cell>
          <cell r="H1261">
            <v>49278</v>
          </cell>
          <cell r="I1261" t="str">
            <v>19 years, 11 months, 29 days</v>
          </cell>
          <cell r="J1261" t="str">
            <v>Renewables</v>
          </cell>
          <cell r="K1261" t="str">
            <v>Wind (On-Shore)</v>
          </cell>
          <cell r="L1261" t="str">
            <v>Wind</v>
          </cell>
          <cell r="M1261" t="str">
            <v>Tx</v>
          </cell>
          <cell r="N1261" t="str">
            <v>Shelburne</v>
          </cell>
          <cell r="O1261" t="str">
            <v>Dufferin</v>
          </cell>
          <cell r="P1261" t="str">
            <v>Southwest</v>
          </cell>
        </row>
        <row r="1262">
          <cell r="C1262" t="str">
            <v>C13-100 Trainyards</v>
          </cell>
          <cell r="D1262" t="str">
            <v>PSI Solar Finance 1 Limited Partnership</v>
          </cell>
          <cell r="E1262" t="str">
            <v>CO</v>
          </cell>
          <cell r="F1262">
            <v>41799</v>
          </cell>
          <cell r="G1262">
            <v>41751</v>
          </cell>
          <cell r="H1262">
            <v>49055</v>
          </cell>
          <cell r="I1262" t="str">
            <v>19 years, 11 months, 30 days</v>
          </cell>
          <cell r="J1262" t="str">
            <v>Renewables</v>
          </cell>
          <cell r="K1262" t="str">
            <v>Solar (Rooftop)</v>
          </cell>
          <cell r="L1262" t="str">
            <v>Solar</v>
          </cell>
          <cell r="M1262" t="str">
            <v>Dx</v>
          </cell>
          <cell r="N1262" t="str">
            <v>Ottawa</v>
          </cell>
          <cell r="O1262" t="str">
            <v>Ottawa</v>
          </cell>
          <cell r="P1262" t="str">
            <v>Ottawa</v>
          </cell>
        </row>
        <row r="1263">
          <cell r="C1263" t="str">
            <v>Gunn's Hill Wind Farm</v>
          </cell>
          <cell r="D1263" t="str">
            <v>Gunn's Hill LP</v>
          </cell>
          <cell r="E1263" t="str">
            <v>CO</v>
          </cell>
          <cell r="F1263">
            <v>41972</v>
          </cell>
          <cell r="G1263">
            <v>42688</v>
          </cell>
          <cell r="H1263">
            <v>49992</v>
          </cell>
          <cell r="I1263" t="str">
            <v>19 years, 11 months, 30 days</v>
          </cell>
          <cell r="J1263" t="str">
            <v>Renewables</v>
          </cell>
          <cell r="K1263" t="str">
            <v>Wind (On-Shore)</v>
          </cell>
          <cell r="L1263" t="str">
            <v>Wind</v>
          </cell>
          <cell r="M1263" t="str">
            <v>Dx</v>
          </cell>
          <cell r="N1263" t="str">
            <v>Woodstock</v>
          </cell>
          <cell r="O1263" t="str">
            <v>Oxford</v>
          </cell>
          <cell r="P1263" t="str">
            <v>Southwest</v>
          </cell>
        </row>
        <row r="1264">
          <cell r="C1264" t="str">
            <v>St. Joseph's Hospital 100kW</v>
          </cell>
          <cell r="D1264" t="str">
            <v>St. Joseph's Hospital Services Association of Chatham</v>
          </cell>
          <cell r="E1264" t="str">
            <v>CO</v>
          </cell>
          <cell r="F1264">
            <v>41029</v>
          </cell>
          <cell r="G1264">
            <v>41008</v>
          </cell>
          <cell r="H1264">
            <v>48312</v>
          </cell>
          <cell r="I1264" t="str">
            <v>19 years, 11 months, 30 days</v>
          </cell>
          <cell r="J1264" t="str">
            <v>Renewables</v>
          </cell>
          <cell r="K1264" t="str">
            <v>Solar (Rooftop)</v>
          </cell>
          <cell r="L1264" t="str">
            <v>Solar</v>
          </cell>
          <cell r="M1264" t="str">
            <v>Dx</v>
          </cell>
          <cell r="N1264" t="str">
            <v>Chatham</v>
          </cell>
          <cell r="O1264" t="str">
            <v>Chatham-Kent</v>
          </cell>
          <cell r="P1264" t="str">
            <v>West</v>
          </cell>
        </row>
        <row r="1265">
          <cell r="C1265" t="str">
            <v>Mapleton 1</v>
          </cell>
          <cell r="D1265" t="str">
            <v>Mapleton Energy Inc.</v>
          </cell>
          <cell r="E1265" t="str">
            <v>CO</v>
          </cell>
          <cell r="F1265">
            <v>41863</v>
          </cell>
          <cell r="G1265">
            <v>41669</v>
          </cell>
          <cell r="H1265">
            <v>48973</v>
          </cell>
          <cell r="I1265" t="str">
            <v>19 years, 11 months, 30 days</v>
          </cell>
          <cell r="J1265" t="str">
            <v>Renewables</v>
          </cell>
          <cell r="K1265" t="str">
            <v>Solar (Rooftop)</v>
          </cell>
          <cell r="L1265" t="str">
            <v>Solar</v>
          </cell>
          <cell r="M1265" t="str">
            <v>Dx</v>
          </cell>
          <cell r="N1265" t="str">
            <v>Moorefield</v>
          </cell>
          <cell r="O1265" t="str">
            <v>Wellington</v>
          </cell>
          <cell r="P1265" t="str">
            <v>Southwest</v>
          </cell>
        </row>
        <row r="1266">
          <cell r="C1266" t="str">
            <v>Ramore Solar Park</v>
          </cell>
          <cell r="D1266" t="str">
            <v>New OSPVF 11 Limited Partnership</v>
          </cell>
          <cell r="E1266" t="str">
            <v>CO</v>
          </cell>
          <cell r="F1266">
            <v>41409</v>
          </cell>
          <cell r="G1266">
            <v>41907</v>
          </cell>
          <cell r="H1266">
            <v>49211</v>
          </cell>
          <cell r="I1266" t="str">
            <v>19 years, 11 months, 30 days</v>
          </cell>
          <cell r="J1266" t="str">
            <v>Renewables</v>
          </cell>
          <cell r="K1266" t="str">
            <v>Solar (Ground Mounted)</v>
          </cell>
          <cell r="L1266" t="str">
            <v>Solar</v>
          </cell>
          <cell r="M1266" t="str">
            <v>Dx</v>
          </cell>
          <cell r="N1266" t="str">
            <v>Ramore</v>
          </cell>
          <cell r="O1266" t="str">
            <v>Cochrane</v>
          </cell>
          <cell r="P1266" t="str">
            <v>Northeast</v>
          </cell>
        </row>
        <row r="1267">
          <cell r="C1267" t="str">
            <v>H06-50 KIRKHAM</v>
          </cell>
          <cell r="D1267" t="str">
            <v>PSI Solar Finance 1 Limited Partnership</v>
          </cell>
          <cell r="E1267" t="str">
            <v>CO</v>
          </cell>
          <cell r="F1267">
            <v>41862</v>
          </cell>
          <cell r="G1267">
            <v>41652</v>
          </cell>
          <cell r="H1267">
            <v>48956</v>
          </cell>
          <cell r="I1267" t="str">
            <v>19 years, 11 months, 30 days</v>
          </cell>
          <cell r="J1267" t="str">
            <v>Renewables</v>
          </cell>
          <cell r="K1267" t="str">
            <v>Solar (Rooftop)</v>
          </cell>
          <cell r="L1267" t="str">
            <v>Solar</v>
          </cell>
          <cell r="M1267" t="str">
            <v>Dx</v>
          </cell>
          <cell r="N1267" t="str">
            <v>Markham</v>
          </cell>
          <cell r="O1267" t="str">
            <v>York</v>
          </cell>
          <cell r="P1267" t="str">
            <v>Toronto</v>
          </cell>
        </row>
        <row r="1268">
          <cell r="C1268" t="str">
            <v>T04-605 Alden</v>
          </cell>
          <cell r="D1268" t="str">
            <v>Alectra Utilities Corporation</v>
          </cell>
          <cell r="E1268" t="str">
            <v>CO</v>
          </cell>
          <cell r="F1268">
            <v>41734</v>
          </cell>
          <cell r="G1268">
            <v>41645</v>
          </cell>
          <cell r="H1268">
            <v>48949</v>
          </cell>
          <cell r="I1268" t="str">
            <v>19 years, 11 months, 30 days</v>
          </cell>
          <cell r="J1268" t="str">
            <v>Renewables</v>
          </cell>
          <cell r="K1268" t="str">
            <v>Solar (Rooftop)</v>
          </cell>
          <cell r="L1268" t="str">
            <v>Solar</v>
          </cell>
          <cell r="M1268" t="str">
            <v>Dx</v>
          </cell>
          <cell r="N1268" t="str">
            <v>Markham</v>
          </cell>
          <cell r="O1268" t="str">
            <v>York</v>
          </cell>
          <cell r="P1268" t="str">
            <v>Toronto</v>
          </cell>
        </row>
        <row r="1269">
          <cell r="C1269" t="str">
            <v>Gitchi Animki Niizh Generating Station</v>
          </cell>
          <cell r="D1269" t="str">
            <v>Pic Mobert Hydro Inc.</v>
          </cell>
          <cell r="E1269" t="str">
            <v>CO</v>
          </cell>
          <cell r="F1269">
            <v>42932</v>
          </cell>
          <cell r="G1269">
            <v>42489</v>
          </cell>
          <cell r="H1269">
            <v>57098</v>
          </cell>
          <cell r="I1269" t="str">
            <v>39 years, 11 months, 30 days</v>
          </cell>
          <cell r="J1269" t="str">
            <v>Renewables</v>
          </cell>
          <cell r="K1269" t="str">
            <v>Run-of-River</v>
          </cell>
          <cell r="L1269" t="str">
            <v>Waterpower</v>
          </cell>
          <cell r="M1269" t="str">
            <v>Tx</v>
          </cell>
          <cell r="N1269" t="str">
            <v>Tilbury</v>
          </cell>
          <cell r="O1269" t="str">
            <v>Chatham-Kent</v>
          </cell>
          <cell r="P1269" t="str">
            <v>Northwest</v>
          </cell>
        </row>
        <row r="1270">
          <cell r="C1270" t="str">
            <v>Lindsay Fairgrounds 250kW</v>
          </cell>
          <cell r="D1270" t="str">
            <v>Lindsay Agricultural Society</v>
          </cell>
          <cell r="E1270" t="str">
            <v>CO</v>
          </cell>
          <cell r="F1270">
            <v>41825</v>
          </cell>
          <cell r="G1270">
            <v>41179</v>
          </cell>
          <cell r="H1270">
            <v>48483</v>
          </cell>
          <cell r="I1270" t="str">
            <v>19 years, 11 months, 30 days</v>
          </cell>
          <cell r="J1270" t="str">
            <v>Renewables</v>
          </cell>
          <cell r="K1270" t="str">
            <v>Solar (Rooftop)</v>
          </cell>
          <cell r="L1270" t="str">
            <v>Solar</v>
          </cell>
          <cell r="M1270" t="str">
            <v>Dx</v>
          </cell>
          <cell r="N1270" t="str">
            <v>Lindsay</v>
          </cell>
          <cell r="O1270" t="str">
            <v>Kawartha Lakes</v>
          </cell>
          <cell r="P1270" t="str">
            <v>Essa</v>
          </cell>
        </row>
        <row r="1271">
          <cell r="C1271" t="str">
            <v>2500 - 10 Tedlo Street</v>
          </cell>
          <cell r="D1271" t="str">
            <v>PSI Solar Finance 1 Limited Partnership</v>
          </cell>
          <cell r="E1271" t="str">
            <v>CO</v>
          </cell>
          <cell r="F1271">
            <v>41029</v>
          </cell>
          <cell r="G1271">
            <v>40693</v>
          </cell>
          <cell r="H1271">
            <v>47997</v>
          </cell>
          <cell r="I1271" t="str">
            <v>19 years, 11 months, 29 days</v>
          </cell>
          <cell r="J1271" t="str">
            <v>Renewables</v>
          </cell>
          <cell r="K1271" t="str">
            <v>Solar (Rooftop)</v>
          </cell>
          <cell r="L1271" t="str">
            <v>Solar</v>
          </cell>
          <cell r="M1271" t="str">
            <v>Dx</v>
          </cell>
          <cell r="N1271" t="str">
            <v>Mississauga</v>
          </cell>
          <cell r="O1271" t="str">
            <v>Peel</v>
          </cell>
          <cell r="P1271" t="str">
            <v>Toronto</v>
          </cell>
        </row>
        <row r="1272">
          <cell r="C1272" t="str">
            <v>RE Adelaide 1</v>
          </cell>
          <cell r="D1272" t="str">
            <v>Met Axium Solar Adelaide 1 L.P.</v>
          </cell>
          <cell r="E1272" t="str">
            <v>CO</v>
          </cell>
          <cell r="F1272">
            <v>41832</v>
          </cell>
          <cell r="G1272">
            <v>41631</v>
          </cell>
          <cell r="H1272">
            <v>48935</v>
          </cell>
          <cell r="I1272" t="str">
            <v>19 years, 11 months, 29 days</v>
          </cell>
          <cell r="J1272" t="str">
            <v>Renewables</v>
          </cell>
          <cell r="K1272" t="str">
            <v>Solar (Ground Mounted)</v>
          </cell>
          <cell r="L1272" t="str">
            <v>Solar</v>
          </cell>
          <cell r="M1272" t="str">
            <v>Dx</v>
          </cell>
          <cell r="N1272" t="str">
            <v>Strathroy</v>
          </cell>
          <cell r="O1272" t="str">
            <v>Middlesex</v>
          </cell>
          <cell r="P1272" t="str">
            <v>West</v>
          </cell>
        </row>
        <row r="1273">
          <cell r="C1273" t="str">
            <v>South Coast Solar</v>
          </cell>
          <cell r="D1273" t="str">
            <v>Uwe Sandner</v>
          </cell>
          <cell r="E1273" t="str">
            <v>CO</v>
          </cell>
          <cell r="F1273">
            <v>41510</v>
          </cell>
          <cell r="G1273">
            <v>41106</v>
          </cell>
          <cell r="H1273">
            <v>48410</v>
          </cell>
          <cell r="I1273" t="str">
            <v>19 years, 11 months, 29 days</v>
          </cell>
          <cell r="J1273" t="str">
            <v>Renewables</v>
          </cell>
          <cell r="K1273" t="str">
            <v>Solar (Rooftop)</v>
          </cell>
          <cell r="L1273" t="str">
            <v>Solar</v>
          </cell>
          <cell r="M1273" t="str">
            <v>Dx</v>
          </cell>
          <cell r="N1273" t="str">
            <v>Nanticoke</v>
          </cell>
          <cell r="O1273" t="str">
            <v>Haldimand</v>
          </cell>
          <cell r="P1273" t="str">
            <v>Southwest</v>
          </cell>
        </row>
        <row r="1274">
          <cell r="C1274" t="str">
            <v>Whitby Campus</v>
          </cell>
          <cell r="D1274" t="str">
            <v>Durham College of Applied Arts and Technology</v>
          </cell>
          <cell r="E1274" t="str">
            <v>CO</v>
          </cell>
          <cell r="F1274">
            <v>40663</v>
          </cell>
          <cell r="G1274">
            <v>40634</v>
          </cell>
          <cell r="H1274">
            <v>47938</v>
          </cell>
          <cell r="I1274" t="str">
            <v>19 years, 11 months, 30 days</v>
          </cell>
          <cell r="J1274" t="str">
            <v>Renewables</v>
          </cell>
          <cell r="K1274" t="str">
            <v>Solar (Rooftop)</v>
          </cell>
          <cell r="L1274" t="str">
            <v>Solar</v>
          </cell>
          <cell r="M1274" t="str">
            <v>Dx</v>
          </cell>
          <cell r="N1274" t="str">
            <v>Whitby</v>
          </cell>
          <cell r="O1274" t="str">
            <v>Durham</v>
          </cell>
          <cell r="P1274" t="str">
            <v>Toronto</v>
          </cell>
        </row>
        <row r="1275">
          <cell r="C1275" t="str">
            <v>Warwick Business Park</v>
          </cell>
          <cell r="D1275" t="str">
            <v>Skyline Clean Energy Holdings (II) Inc.</v>
          </cell>
          <cell r="E1275" t="str">
            <v>CO</v>
          </cell>
          <cell r="F1275">
            <v>41827</v>
          </cell>
          <cell r="G1275">
            <v>41862</v>
          </cell>
          <cell r="H1275">
            <v>49166</v>
          </cell>
          <cell r="I1275" t="str">
            <v>19 years, 11 months, 30 days</v>
          </cell>
          <cell r="J1275" t="str">
            <v>Renewables</v>
          </cell>
          <cell r="K1275" t="str">
            <v>Solar (Rooftop)</v>
          </cell>
          <cell r="L1275" t="str">
            <v>Solar</v>
          </cell>
          <cell r="M1275" t="str">
            <v>Dx</v>
          </cell>
          <cell r="N1275" t="str">
            <v>Watford</v>
          </cell>
          <cell r="O1275" t="str">
            <v>Lambton</v>
          </cell>
          <cell r="P1275" t="str">
            <v>West</v>
          </cell>
        </row>
        <row r="1276">
          <cell r="C1276" t="str">
            <v>25 Royal Crest Court</v>
          </cell>
          <cell r="D1276" t="str">
            <v>GBG Solar 2010 Partnership</v>
          </cell>
          <cell r="E1276" t="str">
            <v>CO</v>
          </cell>
          <cell r="F1276">
            <v>41512</v>
          </cell>
          <cell r="G1276">
            <v>41404</v>
          </cell>
          <cell r="H1276">
            <v>48708</v>
          </cell>
          <cell r="I1276" t="str">
            <v>19 years, 11 months, 29 days</v>
          </cell>
          <cell r="J1276" t="str">
            <v>Renewables</v>
          </cell>
          <cell r="K1276" t="str">
            <v>Solar (Rooftop)</v>
          </cell>
          <cell r="L1276" t="str">
            <v>Solar</v>
          </cell>
          <cell r="M1276" t="str">
            <v>Dx</v>
          </cell>
          <cell r="N1276" t="str">
            <v>Markham</v>
          </cell>
          <cell r="O1276" t="str">
            <v>York</v>
          </cell>
          <cell r="P1276" t="str">
            <v>Toronto</v>
          </cell>
        </row>
        <row r="1277">
          <cell r="C1277" t="str">
            <v>550 Industrial Drive</v>
          </cell>
          <cell r="D1277" t="str">
            <v>Stellarbridge Management Inc.</v>
          </cell>
          <cell r="E1277" t="str">
            <v>CO</v>
          </cell>
          <cell r="F1277">
            <v>41854</v>
          </cell>
          <cell r="G1277">
            <v>41604</v>
          </cell>
          <cell r="H1277">
            <v>48908</v>
          </cell>
          <cell r="I1277" t="str">
            <v>19 years, 11 months, 30 days</v>
          </cell>
          <cell r="J1277" t="str">
            <v>Renewables</v>
          </cell>
          <cell r="K1277" t="str">
            <v>Solar (Rooftop)</v>
          </cell>
          <cell r="L1277" t="str">
            <v>Solar</v>
          </cell>
          <cell r="M1277" t="str">
            <v>Dx</v>
          </cell>
          <cell r="N1277" t="str">
            <v>Milton</v>
          </cell>
          <cell r="O1277" t="str">
            <v>Halton</v>
          </cell>
          <cell r="P1277" t="str">
            <v>Southwest</v>
          </cell>
        </row>
        <row r="1278">
          <cell r="C1278" t="str">
            <v>Quite West: North Murray Business Park #1</v>
          </cell>
          <cell r="D1278" t="str">
            <v>1382839 Ontario Inc.</v>
          </cell>
          <cell r="E1278" t="str">
            <v>CO</v>
          </cell>
          <cell r="F1278">
            <v>41832</v>
          </cell>
          <cell r="G1278">
            <v>41554</v>
          </cell>
          <cell r="H1278">
            <v>48858</v>
          </cell>
          <cell r="I1278" t="str">
            <v>19 years, 11 months, 29 days</v>
          </cell>
          <cell r="J1278" t="str">
            <v>Renewables</v>
          </cell>
          <cell r="K1278" t="str">
            <v>Solar (Rooftop)</v>
          </cell>
          <cell r="L1278" t="str">
            <v>Solar</v>
          </cell>
          <cell r="M1278" t="str">
            <v>Dx</v>
          </cell>
          <cell r="N1278" t="str">
            <v>Astra</v>
          </cell>
          <cell r="O1278" t="str">
            <v>Hastings</v>
          </cell>
          <cell r="P1278" t="str">
            <v>East</v>
          </cell>
        </row>
        <row r="1279">
          <cell r="C1279" t="str">
            <v>DeLellis Farms roof</v>
          </cell>
          <cell r="D1279" t="str">
            <v>De Lellis Farms Limited</v>
          </cell>
          <cell r="E1279" t="str">
            <v>CO</v>
          </cell>
          <cell r="F1279">
            <v>41849</v>
          </cell>
          <cell r="G1279">
            <v>41166</v>
          </cell>
          <cell r="H1279">
            <v>48470</v>
          </cell>
          <cell r="I1279" t="str">
            <v>19 years, 11 months, 30 days</v>
          </cell>
          <cell r="J1279" t="str">
            <v>Renewables</v>
          </cell>
          <cell r="K1279" t="str">
            <v>Solar (Rooftop)</v>
          </cell>
          <cell r="L1279" t="str">
            <v>Solar</v>
          </cell>
          <cell r="M1279" t="str">
            <v>Dx</v>
          </cell>
          <cell r="N1279" t="str">
            <v>Kingsville</v>
          </cell>
          <cell r="O1279" t="str">
            <v>Essex</v>
          </cell>
          <cell r="P1279" t="str">
            <v>West</v>
          </cell>
        </row>
        <row r="1280">
          <cell r="C1280" t="str">
            <v>Goulais Wind Farm</v>
          </cell>
          <cell r="D1280" t="str">
            <v>Chi-Wiikwedong LP</v>
          </cell>
          <cell r="E1280" t="str">
            <v>CO</v>
          </cell>
          <cell r="F1280">
            <v>42033</v>
          </cell>
          <cell r="G1280">
            <v>42145</v>
          </cell>
          <cell r="H1280">
            <v>49449</v>
          </cell>
          <cell r="I1280" t="str">
            <v>19 years, 11 months, 29 days</v>
          </cell>
          <cell r="J1280" t="str">
            <v>Renewables</v>
          </cell>
          <cell r="K1280" t="str">
            <v>Wind (On-Shore)</v>
          </cell>
          <cell r="L1280" t="str">
            <v>Wind</v>
          </cell>
          <cell r="M1280" t="str">
            <v>Tx</v>
          </cell>
          <cell r="N1280" t="str">
            <v>Sault Ste. Marie</v>
          </cell>
          <cell r="O1280" t="str">
            <v>Algoma</v>
          </cell>
          <cell r="P1280" t="str">
            <v>Northeast</v>
          </cell>
        </row>
        <row r="1281">
          <cell r="C1281" t="str">
            <v>Comber East - C24Z Wind Project</v>
          </cell>
          <cell r="D1281" t="str">
            <v>2016 Comber Wind Limited Partnership</v>
          </cell>
          <cell r="E1281" t="str">
            <v>CO</v>
          </cell>
          <cell r="F1281">
            <v>41107</v>
          </cell>
          <cell r="G1281">
            <v>40872</v>
          </cell>
          <cell r="H1281">
            <v>48176</v>
          </cell>
          <cell r="I1281" t="str">
            <v>19 years, 11 months, 30 days</v>
          </cell>
          <cell r="J1281" t="str">
            <v>Renewables</v>
          </cell>
          <cell r="K1281" t="str">
            <v>Wind (On-Shore)</v>
          </cell>
          <cell r="L1281" t="str">
            <v>Wind</v>
          </cell>
          <cell r="M1281" t="str">
            <v>Tx</v>
          </cell>
          <cell r="N1281" t="str">
            <v>Comber</v>
          </cell>
          <cell r="O1281" t="str">
            <v>Chatham-Kent</v>
          </cell>
          <cell r="P1281" t="str">
            <v>West</v>
          </cell>
        </row>
        <row r="1282">
          <cell r="C1282" t="str">
            <v>Toronto Parking Authority - 2 Church Street</v>
          </cell>
          <cell r="D1282" t="str">
            <v>Toronto Parking Authority</v>
          </cell>
          <cell r="E1282" t="str">
            <v>CO</v>
          </cell>
          <cell r="F1282">
            <v>41352</v>
          </cell>
          <cell r="G1282">
            <v>41131</v>
          </cell>
          <cell r="H1282">
            <v>48435</v>
          </cell>
          <cell r="I1282" t="str">
            <v>19 years, 11 months, 30 days</v>
          </cell>
          <cell r="J1282" t="str">
            <v>Renewables</v>
          </cell>
          <cell r="K1282" t="str">
            <v>Solar (Rooftop)</v>
          </cell>
          <cell r="L1282" t="str">
            <v>Solar</v>
          </cell>
          <cell r="M1282" t="str">
            <v>Dx</v>
          </cell>
          <cell r="N1282" t="str">
            <v>Toronto</v>
          </cell>
          <cell r="O1282" t="str">
            <v>Toronto</v>
          </cell>
          <cell r="P1282" t="str">
            <v>Toronto</v>
          </cell>
        </row>
        <row r="1283">
          <cell r="C1283" t="str">
            <v>M07-326 Humber College</v>
          </cell>
          <cell r="D1283" t="str">
            <v>Firelight Solar LP</v>
          </cell>
          <cell r="E1283" t="str">
            <v>CO</v>
          </cell>
          <cell r="F1283">
            <v>41710</v>
          </cell>
          <cell r="G1283">
            <v>41759</v>
          </cell>
          <cell r="H1283">
            <v>49063</v>
          </cell>
          <cell r="I1283" t="str">
            <v>19 years, 11 months, 30 days</v>
          </cell>
          <cell r="J1283" t="str">
            <v>Renewables</v>
          </cell>
          <cell r="K1283" t="str">
            <v>Solar (Rooftop)</v>
          </cell>
          <cell r="L1283" t="str">
            <v>Solar</v>
          </cell>
          <cell r="M1283" t="str">
            <v>Dx</v>
          </cell>
          <cell r="N1283" t="str">
            <v>Toronto</v>
          </cell>
          <cell r="O1283" t="str">
            <v>Toronto</v>
          </cell>
          <cell r="P1283" t="str">
            <v>Toronto</v>
          </cell>
        </row>
        <row r="1284">
          <cell r="C1284" t="str">
            <v>Roctel Manufacturing</v>
          </cell>
          <cell r="D1284" t="str">
            <v>Linamar Corporation</v>
          </cell>
          <cell r="E1284" t="str">
            <v>CO</v>
          </cell>
          <cell r="F1284">
            <v>41029</v>
          </cell>
          <cell r="G1284">
            <v>41109</v>
          </cell>
          <cell r="H1284">
            <v>48413</v>
          </cell>
          <cell r="I1284" t="str">
            <v>19 years, 11 months, 29 days</v>
          </cell>
          <cell r="J1284" t="str">
            <v>Renewables</v>
          </cell>
          <cell r="K1284" t="str">
            <v>Solar (Rooftop)</v>
          </cell>
          <cell r="L1284" t="str">
            <v>Solar</v>
          </cell>
          <cell r="M1284" t="str">
            <v>Dx</v>
          </cell>
          <cell r="N1284" t="str">
            <v>Guelph</v>
          </cell>
          <cell r="O1284" t="str">
            <v>Wellington</v>
          </cell>
          <cell r="P1284" t="str">
            <v>Southwest</v>
          </cell>
        </row>
        <row r="1285">
          <cell r="C1285" t="str">
            <v>Dayton Manufacturing Company Ltd.</v>
          </cell>
          <cell r="D1285" t="str">
            <v>Alectra Utilities Corporation</v>
          </cell>
          <cell r="E1285" t="str">
            <v>CO</v>
          </cell>
          <cell r="F1285">
            <v>41818</v>
          </cell>
          <cell r="G1285">
            <v>41802</v>
          </cell>
          <cell r="H1285">
            <v>49106</v>
          </cell>
          <cell r="I1285" t="str">
            <v>19 years, 11 months, 30 days</v>
          </cell>
          <cell r="J1285" t="str">
            <v>Renewables</v>
          </cell>
          <cell r="K1285" t="str">
            <v>Solar (Rooftop)</v>
          </cell>
          <cell r="L1285" t="str">
            <v>Solar</v>
          </cell>
          <cell r="M1285" t="str">
            <v>Dx</v>
          </cell>
          <cell r="N1285" t="str">
            <v>Windsor</v>
          </cell>
          <cell r="O1285" t="str">
            <v>Essex</v>
          </cell>
          <cell r="P1285" t="str">
            <v>West</v>
          </cell>
        </row>
        <row r="1286">
          <cell r="C1286" t="str">
            <v>Ridgetown Campus Anaerobic Digester Fed Dev CAF pr</v>
          </cell>
          <cell r="D1286" t="str">
            <v>University of Guelph</v>
          </cell>
          <cell r="E1286" t="str">
            <v>CO</v>
          </cell>
          <cell r="F1286">
            <v>41512</v>
          </cell>
          <cell r="G1286">
            <v>41431</v>
          </cell>
          <cell r="H1286">
            <v>48735</v>
          </cell>
          <cell r="I1286" t="str">
            <v>19 years, 11 months, 30 days</v>
          </cell>
          <cell r="J1286" t="str">
            <v>Renewables</v>
          </cell>
          <cell r="K1286" t="str">
            <v>Bioenergy</v>
          </cell>
          <cell r="L1286" t="str">
            <v>Biogas (On-Farm)</v>
          </cell>
          <cell r="M1286" t="str">
            <v>Dx</v>
          </cell>
          <cell r="N1286" t="str">
            <v>Ridgetown</v>
          </cell>
          <cell r="O1286" t="str">
            <v>Chatham-Kent</v>
          </cell>
          <cell r="P1286" t="str">
            <v>West</v>
          </cell>
        </row>
        <row r="1287">
          <cell r="C1287" t="str">
            <v>Namewaminikan Waterpower Project</v>
          </cell>
          <cell r="D1287" t="str">
            <v>Namewaminikan Hydro Inc.</v>
          </cell>
          <cell r="E1287" t="str">
            <v>CO</v>
          </cell>
          <cell r="F1287">
            <v>43212</v>
          </cell>
          <cell r="G1287">
            <v>42971</v>
          </cell>
          <cell r="H1287">
            <v>57580</v>
          </cell>
          <cell r="I1287" t="str">
            <v>39 years, 11 months, 30 days</v>
          </cell>
          <cell r="J1287" t="str">
            <v>Renewables</v>
          </cell>
          <cell r="K1287" t="str">
            <v>Run-of-River</v>
          </cell>
          <cell r="L1287" t="str">
            <v>Waterpower</v>
          </cell>
          <cell r="M1287" t="str">
            <v>Tx</v>
          </cell>
          <cell r="N1287" t="str">
            <v>Beardmore</v>
          </cell>
          <cell r="O1287" t="str">
            <v>Thunder Bay</v>
          </cell>
          <cell r="P1287" t="str">
            <v>Northwest</v>
          </cell>
        </row>
        <row r="1288">
          <cell r="C1288" t="str">
            <v>Windsor Renewable Energy L2</v>
          </cell>
          <cell r="D1288" t="str">
            <v>1277032 Ontario Inc.</v>
          </cell>
          <cell r="E1288" t="str">
            <v>CO</v>
          </cell>
          <cell r="F1288">
            <v>42019</v>
          </cell>
          <cell r="G1288">
            <v>42048</v>
          </cell>
          <cell r="H1288">
            <v>49323</v>
          </cell>
          <cell r="I1288" t="str">
            <v>19 years, 11 months, 1 days</v>
          </cell>
          <cell r="J1288" t="str">
            <v>Renewables</v>
          </cell>
          <cell r="K1288" t="str">
            <v>Solar (Rooftop)</v>
          </cell>
          <cell r="L1288" t="str">
            <v>Solar</v>
          </cell>
          <cell r="M1288" t="str">
            <v>Dx</v>
          </cell>
          <cell r="N1288" t="str">
            <v>Windsor</v>
          </cell>
          <cell r="O1288" t="str">
            <v>Essex</v>
          </cell>
          <cell r="P1288" t="str">
            <v>West</v>
          </cell>
        </row>
        <row r="1289">
          <cell r="C1289" t="str">
            <v>South Branch Wind Farm</v>
          </cell>
          <cell r="D1289" t="str">
            <v>South Dundas Windfarm Limited Partnership</v>
          </cell>
          <cell r="E1289" t="str">
            <v>CO</v>
          </cell>
          <cell r="F1289">
            <v>41720</v>
          </cell>
          <cell r="G1289">
            <v>41702</v>
          </cell>
          <cell r="H1289">
            <v>49006</v>
          </cell>
          <cell r="I1289" t="str">
            <v>19 years, 11 months, 27 days</v>
          </cell>
          <cell r="J1289" t="str">
            <v>Renewables</v>
          </cell>
          <cell r="K1289" t="str">
            <v>Wind (On-Shore)</v>
          </cell>
          <cell r="L1289" t="str">
            <v>Wind</v>
          </cell>
          <cell r="M1289" t="str">
            <v>Dx</v>
          </cell>
          <cell r="N1289" t="str">
            <v>Brinston</v>
          </cell>
          <cell r="O1289" t="str">
            <v>Stormont, Dundas and Glengarry</v>
          </cell>
          <cell r="P1289" t="str">
            <v>East</v>
          </cell>
        </row>
        <row r="1290">
          <cell r="C1290" t="str">
            <v>H06-140 NORTHVIEW</v>
          </cell>
          <cell r="D1290" t="str">
            <v>PSI Solar Finance 1 Limited Partnership</v>
          </cell>
          <cell r="E1290" t="str">
            <v>CO</v>
          </cell>
          <cell r="F1290">
            <v>41862</v>
          </cell>
          <cell r="G1290">
            <v>41836</v>
          </cell>
          <cell r="H1290">
            <v>49140</v>
          </cell>
          <cell r="I1290" t="str">
            <v>19 years, 11 months, 29 days</v>
          </cell>
          <cell r="J1290" t="str">
            <v>Renewables</v>
          </cell>
          <cell r="K1290" t="str">
            <v>Solar (Rooftop)</v>
          </cell>
          <cell r="L1290" t="str">
            <v>Solar</v>
          </cell>
          <cell r="M1290" t="str">
            <v>Dx</v>
          </cell>
          <cell r="N1290" t="str">
            <v>Woodbridge</v>
          </cell>
          <cell r="O1290" t="str">
            <v>York</v>
          </cell>
          <cell r="P1290" t="str">
            <v>Toronto</v>
          </cell>
        </row>
        <row r="1291">
          <cell r="C1291" t="str">
            <v>Perpetual Cleanpower Lindsay</v>
          </cell>
          <cell r="D1291" t="str">
            <v>Lindsay Solar LP</v>
          </cell>
          <cell r="E1291" t="str">
            <v>CO</v>
          </cell>
          <cell r="F1291">
            <v>41695</v>
          </cell>
          <cell r="G1291">
            <v>41992</v>
          </cell>
          <cell r="H1291">
            <v>48999</v>
          </cell>
          <cell r="I1291" t="str">
            <v>19 years, 2 months, 5 days</v>
          </cell>
          <cell r="J1291" t="str">
            <v>Renewables</v>
          </cell>
          <cell r="K1291" t="str">
            <v>Solar (Ground Mounted)</v>
          </cell>
          <cell r="L1291" t="str">
            <v>Solar</v>
          </cell>
          <cell r="M1291" t="str">
            <v>Dx</v>
          </cell>
          <cell r="N1291" t="str">
            <v>Lindsay</v>
          </cell>
          <cell r="O1291" t="str">
            <v>Kawartha Lakes</v>
          </cell>
          <cell r="P1291" t="str">
            <v>Essa</v>
          </cell>
        </row>
        <row r="1292">
          <cell r="C1292" t="str">
            <v>#411 10 Great Lakes Dr, Brampton</v>
          </cell>
          <cell r="D1292" t="str">
            <v>MOM Solar Limited Partnership</v>
          </cell>
          <cell r="E1292" t="str">
            <v>CO</v>
          </cell>
          <cell r="F1292">
            <v>41029</v>
          </cell>
          <cell r="G1292">
            <v>41199</v>
          </cell>
          <cell r="H1292">
            <v>48503</v>
          </cell>
          <cell r="I1292" t="str">
            <v>19 years, 11 months, 29 days</v>
          </cell>
          <cell r="J1292" t="str">
            <v>Renewables</v>
          </cell>
          <cell r="K1292" t="str">
            <v>Solar (Rooftop)</v>
          </cell>
          <cell r="L1292" t="str">
            <v>Solar</v>
          </cell>
          <cell r="M1292" t="str">
            <v>Dx</v>
          </cell>
          <cell r="N1292" t="str">
            <v>Brampton</v>
          </cell>
          <cell r="O1292" t="str">
            <v>Peel</v>
          </cell>
          <cell r="P1292" t="str">
            <v>Toronto</v>
          </cell>
        </row>
        <row r="1293">
          <cell r="C1293" t="str">
            <v>MEC Burlington Solar</v>
          </cell>
          <cell r="D1293" t="str">
            <v>Mountain Equipment Co-operative</v>
          </cell>
          <cell r="E1293" t="str">
            <v>CO</v>
          </cell>
          <cell r="F1293">
            <v>41029</v>
          </cell>
          <cell r="G1293">
            <v>40996</v>
          </cell>
          <cell r="H1293">
            <v>48300</v>
          </cell>
          <cell r="I1293" t="str">
            <v>19 years, 11 months, 28 days</v>
          </cell>
          <cell r="J1293" t="str">
            <v>Renewables</v>
          </cell>
          <cell r="K1293" t="str">
            <v>Solar (Rooftop)</v>
          </cell>
          <cell r="L1293" t="str">
            <v>Solar</v>
          </cell>
          <cell r="M1293" t="str">
            <v>Dx</v>
          </cell>
          <cell r="N1293" t="str">
            <v>Burlington</v>
          </cell>
          <cell r="O1293" t="str">
            <v>Halton</v>
          </cell>
          <cell r="P1293" t="str">
            <v>Southwest</v>
          </cell>
        </row>
        <row r="1294">
          <cell r="C1294" t="str">
            <v>H06-1050 DEPALMA</v>
          </cell>
          <cell r="D1294" t="str">
            <v>Mann (001917-840 Division) Limited Partnership</v>
          </cell>
          <cell r="E1294" t="str">
            <v>CO</v>
          </cell>
          <cell r="F1294">
            <v>41811</v>
          </cell>
          <cell r="G1294">
            <v>41991</v>
          </cell>
          <cell r="H1294">
            <v>49295</v>
          </cell>
          <cell r="I1294" t="str">
            <v>19 years, 11 months, 29 days</v>
          </cell>
          <cell r="J1294" t="str">
            <v>Renewables</v>
          </cell>
          <cell r="K1294" t="str">
            <v>Solar (Rooftop)</v>
          </cell>
          <cell r="L1294" t="str">
            <v>Solar</v>
          </cell>
          <cell r="M1294" t="str">
            <v>Dx</v>
          </cell>
          <cell r="N1294" t="str">
            <v>Cobourg</v>
          </cell>
          <cell r="O1294" t="str">
            <v>Northumberland</v>
          </cell>
          <cell r="P1294" t="str">
            <v>East</v>
          </cell>
        </row>
        <row r="1295">
          <cell r="C1295" t="str">
            <v>H06-60 GRAND MARSHALL</v>
          </cell>
          <cell r="D1295" t="str">
            <v>MOM Solar Limited Partnership</v>
          </cell>
          <cell r="E1295" t="str">
            <v>CO</v>
          </cell>
          <cell r="F1295">
            <v>41029</v>
          </cell>
          <cell r="G1295">
            <v>41176</v>
          </cell>
          <cell r="H1295">
            <v>48333</v>
          </cell>
          <cell r="I1295" t="str">
            <v>19 years, 7 months, 5 days</v>
          </cell>
          <cell r="J1295" t="str">
            <v>Renewables</v>
          </cell>
          <cell r="K1295" t="str">
            <v>Solar (Rooftop)</v>
          </cell>
          <cell r="L1295" t="str">
            <v>Solar</v>
          </cell>
          <cell r="M1295" t="str">
            <v>Dx</v>
          </cell>
          <cell r="N1295" t="str">
            <v>Toronto</v>
          </cell>
          <cell r="O1295" t="str">
            <v>Toronto</v>
          </cell>
          <cell r="P1295" t="str">
            <v>Toronto</v>
          </cell>
        </row>
        <row r="1296">
          <cell r="C1296" t="str">
            <v>M07-60 North Wind</v>
          </cell>
          <cell r="D1296" t="str">
            <v>Firelight Solar LP</v>
          </cell>
          <cell r="E1296" t="str">
            <v>CO</v>
          </cell>
          <cell r="F1296">
            <v>41722</v>
          </cell>
          <cell r="G1296">
            <v>41073</v>
          </cell>
          <cell r="H1296">
            <v>48377</v>
          </cell>
          <cell r="I1296" t="str">
            <v>19 years, 11 months, 30 days</v>
          </cell>
          <cell r="J1296" t="str">
            <v>Renewables</v>
          </cell>
          <cell r="K1296" t="str">
            <v>Solar (Rooftop)</v>
          </cell>
          <cell r="L1296" t="str">
            <v>Solar</v>
          </cell>
          <cell r="M1296" t="str">
            <v>Dx</v>
          </cell>
          <cell r="N1296" t="str">
            <v>Toronto</v>
          </cell>
          <cell r="O1296" t="str">
            <v>Toronto</v>
          </cell>
          <cell r="P1296" t="str">
            <v>Toronto</v>
          </cell>
        </row>
        <row r="1297">
          <cell r="C1297" t="str">
            <v>Endura Energy 1455 Michael</v>
          </cell>
          <cell r="D1297" t="str">
            <v>Community Solar Assets 1 Ltd.</v>
          </cell>
          <cell r="E1297" t="str">
            <v>CO</v>
          </cell>
          <cell r="F1297">
            <v>41825</v>
          </cell>
          <cell r="G1297">
            <v>41541</v>
          </cell>
          <cell r="H1297">
            <v>48845</v>
          </cell>
          <cell r="I1297" t="str">
            <v>19 years, 11 months, 30 days</v>
          </cell>
          <cell r="J1297" t="str">
            <v>Renewables</v>
          </cell>
          <cell r="K1297" t="str">
            <v>Solar (Rooftop)</v>
          </cell>
          <cell r="L1297" t="str">
            <v>Solar</v>
          </cell>
          <cell r="M1297" t="str">
            <v>Dx</v>
          </cell>
          <cell r="N1297" t="str">
            <v>Ottawa</v>
          </cell>
          <cell r="O1297" t="str">
            <v>Ottawa</v>
          </cell>
          <cell r="P1297" t="str">
            <v>Ottawa</v>
          </cell>
        </row>
        <row r="1298">
          <cell r="C1298" t="str">
            <v>Folkens # 4</v>
          </cell>
          <cell r="D1298" t="str">
            <v>2 4 6 0 8 8 2 O N T A R I O L I M I T E D</v>
          </cell>
          <cell r="E1298" t="str">
            <v>CO</v>
          </cell>
          <cell r="F1298">
            <v>41799</v>
          </cell>
          <cell r="G1298">
            <v>41981</v>
          </cell>
          <cell r="H1298">
            <v>49103</v>
          </cell>
          <cell r="I1298" t="str">
            <v>19 years, 6 months, 0 days</v>
          </cell>
          <cell r="J1298" t="str">
            <v>Renewables</v>
          </cell>
          <cell r="K1298" t="str">
            <v>Solar (Rooftop)</v>
          </cell>
          <cell r="L1298" t="str">
            <v>Solar</v>
          </cell>
          <cell r="M1298" t="str">
            <v>Dx</v>
          </cell>
          <cell r="N1298" t="str">
            <v>Hamilton</v>
          </cell>
          <cell r="O1298" t="str">
            <v>Hamilton</v>
          </cell>
          <cell r="P1298" t="str">
            <v>Southwest</v>
          </cell>
        </row>
        <row r="1299">
          <cell r="C1299" t="str">
            <v>Nairn Farms Solar Project</v>
          </cell>
          <cell r="D1299" t="str">
            <v>Marlene Elizabeth Nairn</v>
          </cell>
          <cell r="E1299" t="str">
            <v>CO</v>
          </cell>
          <cell r="F1299">
            <v>41811</v>
          </cell>
          <cell r="G1299">
            <v>41099</v>
          </cell>
          <cell r="H1299">
            <v>48403</v>
          </cell>
          <cell r="I1299" t="str">
            <v>19 years, 11 months, 29 days</v>
          </cell>
          <cell r="J1299" t="str">
            <v>Renewables</v>
          </cell>
          <cell r="K1299" t="str">
            <v>Solar (Rooftop)</v>
          </cell>
          <cell r="L1299" t="str">
            <v>Solar</v>
          </cell>
          <cell r="M1299" t="str">
            <v>Dx</v>
          </cell>
          <cell r="N1299" t="str">
            <v>St. Marys</v>
          </cell>
          <cell r="O1299" t="str">
            <v>Perth</v>
          </cell>
          <cell r="P1299" t="str">
            <v>Southwest</v>
          </cell>
        </row>
        <row r="1300">
          <cell r="C1300" t="str">
            <v>Droogers Solar</v>
          </cell>
          <cell r="D1300" t="str">
            <v>B &amp; J Droogers Farm Ltd.</v>
          </cell>
          <cell r="E1300" t="str">
            <v>CO</v>
          </cell>
          <cell r="F1300">
            <v>41806</v>
          </cell>
          <cell r="G1300">
            <v>41165</v>
          </cell>
          <cell r="H1300">
            <v>48469</v>
          </cell>
          <cell r="I1300" t="str">
            <v>19 years, 11 months, 30 days</v>
          </cell>
          <cell r="J1300" t="str">
            <v>Renewables</v>
          </cell>
          <cell r="K1300" t="str">
            <v>Solar (Rooftop)</v>
          </cell>
          <cell r="L1300" t="str">
            <v>Solar</v>
          </cell>
          <cell r="M1300" t="str">
            <v>Dx</v>
          </cell>
          <cell r="N1300" t="str">
            <v>Burgessville</v>
          </cell>
          <cell r="O1300" t="str">
            <v>Oxford</v>
          </cell>
          <cell r="P1300" t="str">
            <v>West</v>
          </cell>
        </row>
        <row r="1301">
          <cell r="C1301" t="str">
            <v>William Rutley Solar Park</v>
          </cell>
          <cell r="D1301" t="str">
            <v>Axium Infinity Solar LP</v>
          </cell>
          <cell r="E1301" t="str">
            <v>CO</v>
          </cell>
          <cell r="F1301">
            <v>41508</v>
          </cell>
          <cell r="G1301">
            <v>41264</v>
          </cell>
          <cell r="H1301">
            <v>48568</v>
          </cell>
          <cell r="I1301" t="str">
            <v>19 years, 11 months, 29 days</v>
          </cell>
          <cell r="J1301" t="str">
            <v>Renewables</v>
          </cell>
          <cell r="K1301" t="str">
            <v>Solar (Ground Mounted)</v>
          </cell>
          <cell r="L1301" t="str">
            <v>Solar</v>
          </cell>
          <cell r="M1301" t="str">
            <v>Dx</v>
          </cell>
          <cell r="N1301" t="str">
            <v>Ingleside</v>
          </cell>
          <cell r="O1301" t="str">
            <v>Stormont, Dundas and Glengarry</v>
          </cell>
          <cell r="P1301" t="str">
            <v>East</v>
          </cell>
        </row>
        <row r="1302">
          <cell r="C1302" t="str">
            <v>HPG Site A</v>
          </cell>
          <cell r="D1302" t="str">
            <v>Potentia Solar 14 Limited Partnership</v>
          </cell>
          <cell r="E1302" t="str">
            <v>CO</v>
          </cell>
          <cell r="F1302">
            <v>41878</v>
          </cell>
          <cell r="G1302">
            <v>42419</v>
          </cell>
          <cell r="H1302">
            <v>49723</v>
          </cell>
          <cell r="I1302" t="str">
            <v>19 years, 11 months, 30 days</v>
          </cell>
          <cell r="J1302" t="str">
            <v>Renewables</v>
          </cell>
          <cell r="K1302" t="str">
            <v>Solar (Ground Mounted)</v>
          </cell>
          <cell r="L1302" t="str">
            <v>Solar</v>
          </cell>
          <cell r="M1302" t="str">
            <v>Dx</v>
          </cell>
          <cell r="N1302" t="str">
            <v>Bowmanville</v>
          </cell>
          <cell r="O1302" t="str">
            <v>Durham</v>
          </cell>
          <cell r="P1302" t="str">
            <v>East</v>
          </cell>
        </row>
        <row r="1303">
          <cell r="C1303" t="str">
            <v>ZEP WIND FARM GANARASKA</v>
          </cell>
          <cell r="D1303" t="str">
            <v>SLGR Wind LP</v>
          </cell>
          <cell r="E1303" t="str">
            <v>CO</v>
          </cell>
          <cell r="F1303">
            <v>41707</v>
          </cell>
          <cell r="G1303">
            <v>42496</v>
          </cell>
          <cell r="H1303">
            <v>49800</v>
          </cell>
          <cell r="I1303" t="str">
            <v>19 years, 11 months, 29 days</v>
          </cell>
          <cell r="J1303" t="str">
            <v>Renewables</v>
          </cell>
          <cell r="K1303" t="str">
            <v>Wind (On-Shore)</v>
          </cell>
          <cell r="L1303" t="str">
            <v>Wind</v>
          </cell>
          <cell r="M1303" t="str">
            <v>Dx</v>
          </cell>
          <cell r="N1303" t="str">
            <v>Orono</v>
          </cell>
          <cell r="O1303" t="str">
            <v>Durham</v>
          </cell>
          <cell r="P1303" t="str">
            <v>Toronto</v>
          </cell>
        </row>
        <row r="1304">
          <cell r="C1304" t="str">
            <v>Mill Creek 30kW Barrie</v>
          </cell>
          <cell r="D1304" t="str">
            <v>Mill Creek Care Centre</v>
          </cell>
          <cell r="E1304" t="str">
            <v>CO</v>
          </cell>
          <cell r="F1304">
            <v>41029</v>
          </cell>
          <cell r="G1304">
            <v>40702</v>
          </cell>
          <cell r="H1304">
            <v>48006</v>
          </cell>
          <cell r="I1304" t="str">
            <v>19 years, 11 months, 30 days</v>
          </cell>
          <cell r="J1304" t="str">
            <v>Renewables</v>
          </cell>
          <cell r="K1304" t="str">
            <v>Solar (Rooftop)</v>
          </cell>
          <cell r="L1304" t="str">
            <v>Solar</v>
          </cell>
          <cell r="M1304" t="str">
            <v>Dx</v>
          </cell>
          <cell r="N1304" t="str">
            <v>Barrie</v>
          </cell>
          <cell r="O1304" t="str">
            <v>Simcoe</v>
          </cell>
          <cell r="P1304" t="str">
            <v>Essa</v>
          </cell>
        </row>
        <row r="1305">
          <cell r="C1305" t="str">
            <v>Menkes-100 Valleybrook</v>
          </cell>
          <cell r="D1305" t="str">
            <v>Menkes Properties Corporation</v>
          </cell>
          <cell r="E1305" t="str">
            <v>CO</v>
          </cell>
          <cell r="F1305">
            <v>41825</v>
          </cell>
          <cell r="G1305">
            <v>41652</v>
          </cell>
          <cell r="H1305">
            <v>48956</v>
          </cell>
          <cell r="I1305" t="str">
            <v>19 years, 11 months, 30 days</v>
          </cell>
          <cell r="J1305" t="str">
            <v>Renewables</v>
          </cell>
          <cell r="K1305" t="str">
            <v>Solar (Rooftop)</v>
          </cell>
          <cell r="L1305" t="str">
            <v>Solar</v>
          </cell>
          <cell r="M1305" t="str">
            <v>Dx</v>
          </cell>
          <cell r="N1305" t="str">
            <v>Toronto</v>
          </cell>
          <cell r="O1305" t="str">
            <v>Toronto</v>
          </cell>
          <cell r="P1305" t="str">
            <v>Toronto</v>
          </cell>
        </row>
        <row r="1306">
          <cell r="C1306" t="str">
            <v>15860 Loyalist Parkway</v>
          </cell>
          <cell r="D1306" t="str">
            <v>CLEAVE ENERGY HOLDINGS LTD.</v>
          </cell>
          <cell r="E1306" t="str">
            <v>CO</v>
          </cell>
          <cell r="F1306">
            <v>41457</v>
          </cell>
          <cell r="G1306">
            <v>41913</v>
          </cell>
          <cell r="H1306">
            <v>48761</v>
          </cell>
          <cell r="I1306" t="str">
            <v>18 years, 9 months, 0 days</v>
          </cell>
          <cell r="J1306" t="str">
            <v>Renewables</v>
          </cell>
          <cell r="K1306" t="str">
            <v>Solar (Rooftop)</v>
          </cell>
          <cell r="L1306" t="str">
            <v>Solar</v>
          </cell>
          <cell r="M1306" t="str">
            <v>Dx</v>
          </cell>
          <cell r="N1306" t="str">
            <v>Bloomfield</v>
          </cell>
          <cell r="O1306" t="str">
            <v>Prince Edward</v>
          </cell>
          <cell r="P1306" t="str">
            <v>East</v>
          </cell>
        </row>
        <row r="1307">
          <cell r="C1307" t="str">
            <v>GEDSB Centennial-Grand Woodlands</v>
          </cell>
          <cell r="D1307" t="str">
            <v>Ameresco GEDSB Solar Inc.</v>
          </cell>
          <cell r="E1307" t="str">
            <v>CO</v>
          </cell>
          <cell r="F1307">
            <v>41029</v>
          </cell>
          <cell r="G1307">
            <v>40857</v>
          </cell>
          <cell r="H1307">
            <v>48161</v>
          </cell>
          <cell r="I1307" t="str">
            <v>19 years, 11 months, 30 days</v>
          </cell>
          <cell r="J1307" t="str">
            <v>Renewables</v>
          </cell>
          <cell r="K1307" t="str">
            <v>Solar (Rooftop)</v>
          </cell>
          <cell r="L1307" t="str">
            <v>Solar</v>
          </cell>
          <cell r="M1307" t="str">
            <v>Dx</v>
          </cell>
          <cell r="N1307" t="str">
            <v>Brantford</v>
          </cell>
          <cell r="O1307" t="str">
            <v>Brant</v>
          </cell>
          <cell r="P1307" t="str">
            <v>Southwest</v>
          </cell>
        </row>
        <row r="1308">
          <cell r="C1308" t="str">
            <v>IKEA Solar PV Vaughan</v>
          </cell>
          <cell r="D1308" t="str">
            <v>IKEA Properties Limited</v>
          </cell>
          <cell r="E1308" t="str">
            <v>CO</v>
          </cell>
          <cell r="F1308">
            <v>40663</v>
          </cell>
          <cell r="G1308">
            <v>40604</v>
          </cell>
          <cell r="H1308">
            <v>47908</v>
          </cell>
          <cell r="I1308" t="str">
            <v>19 years, 11 months, 27 days</v>
          </cell>
          <cell r="J1308" t="str">
            <v>Renewables</v>
          </cell>
          <cell r="K1308" t="str">
            <v>Solar (Rooftop)</v>
          </cell>
          <cell r="L1308" t="str">
            <v>Solar</v>
          </cell>
          <cell r="M1308" t="str">
            <v>Dx</v>
          </cell>
          <cell r="N1308" t="str">
            <v>Concord</v>
          </cell>
          <cell r="O1308" t="str">
            <v>York</v>
          </cell>
          <cell r="P1308" t="str">
            <v>Toronto</v>
          </cell>
        </row>
        <row r="1309">
          <cell r="C1309" t="str">
            <v>L01-3085 Hwy 7</v>
          </cell>
          <cell r="D1309" t="str">
            <v>Longo Power Generation Inc.</v>
          </cell>
          <cell r="E1309" t="str">
            <v>CO</v>
          </cell>
          <cell r="F1309">
            <v>41826</v>
          </cell>
          <cell r="G1309">
            <v>41606</v>
          </cell>
          <cell r="H1309">
            <v>48910</v>
          </cell>
          <cell r="I1309" t="str">
            <v>19 years, 11 months, 30 days</v>
          </cell>
          <cell r="J1309" t="str">
            <v>Renewables</v>
          </cell>
          <cell r="K1309" t="str">
            <v>Solar (Rooftop)</v>
          </cell>
          <cell r="L1309" t="str">
            <v>Solar</v>
          </cell>
          <cell r="M1309" t="str">
            <v>Dx</v>
          </cell>
          <cell r="N1309" t="str">
            <v>Markham</v>
          </cell>
          <cell r="O1309" t="str">
            <v>York</v>
          </cell>
          <cell r="P1309" t="str">
            <v>Toronto</v>
          </cell>
        </row>
        <row r="1310">
          <cell r="C1310" t="str">
            <v>ANDEMAR CATTLE CO</v>
          </cell>
          <cell r="D1310" t="str">
            <v>Andemar Cattle Company Limited</v>
          </cell>
          <cell r="E1310" t="str">
            <v>CO</v>
          </cell>
          <cell r="F1310">
            <v>41029</v>
          </cell>
          <cell r="G1310">
            <v>40702</v>
          </cell>
          <cell r="H1310">
            <v>48006</v>
          </cell>
          <cell r="I1310" t="str">
            <v>19 years, 11 months, 30 days</v>
          </cell>
          <cell r="J1310" t="str">
            <v>Renewables</v>
          </cell>
          <cell r="K1310" t="str">
            <v>Solar (Rooftop)</v>
          </cell>
          <cell r="L1310" t="str">
            <v>Solar</v>
          </cell>
          <cell r="M1310" t="str">
            <v>Dx</v>
          </cell>
          <cell r="N1310" t="str">
            <v>St. Marys</v>
          </cell>
          <cell r="O1310" t="str">
            <v>Perth</v>
          </cell>
          <cell r="P1310" t="str">
            <v>Southwest</v>
          </cell>
        </row>
        <row r="1311">
          <cell r="C1311" t="str">
            <v>170 Traders Blvd.</v>
          </cell>
          <cell r="D1311" t="str">
            <v>Solaire Kapuskasing Solar Inc.</v>
          </cell>
          <cell r="E1311" t="str">
            <v>CO</v>
          </cell>
          <cell r="F1311">
            <v>41804</v>
          </cell>
          <cell r="G1311">
            <v>41911</v>
          </cell>
          <cell r="H1311">
            <v>49108</v>
          </cell>
          <cell r="I1311" t="str">
            <v>19 years, 8 months, 15 days</v>
          </cell>
          <cell r="J1311" t="str">
            <v>Renewables</v>
          </cell>
          <cell r="K1311" t="str">
            <v>Solar (Rooftop)</v>
          </cell>
          <cell r="L1311" t="str">
            <v>Solar</v>
          </cell>
          <cell r="M1311" t="str">
            <v>Dx</v>
          </cell>
          <cell r="N1311" t="str">
            <v>Mississauga</v>
          </cell>
          <cell r="O1311" t="str">
            <v>Peel</v>
          </cell>
          <cell r="P1311" t="str">
            <v>Toronto</v>
          </cell>
        </row>
        <row r="1312">
          <cell r="C1312" t="str">
            <v>GEDSB Valley Heights Secondary</v>
          </cell>
          <cell r="D1312" t="str">
            <v>Ameresco GEDSB Solar Inc.</v>
          </cell>
          <cell r="E1312" t="str">
            <v>CO</v>
          </cell>
          <cell r="F1312">
            <v>41029</v>
          </cell>
          <cell r="G1312">
            <v>41239</v>
          </cell>
          <cell r="H1312">
            <v>48333</v>
          </cell>
          <cell r="I1312" t="str">
            <v>19 years, 5 months, 3 days</v>
          </cell>
          <cell r="J1312" t="str">
            <v>Renewables</v>
          </cell>
          <cell r="K1312" t="str">
            <v>Solar (Rooftop)</v>
          </cell>
          <cell r="L1312" t="str">
            <v>Solar</v>
          </cell>
          <cell r="M1312" t="str">
            <v>Dx</v>
          </cell>
          <cell r="N1312" t="str">
            <v>Langton</v>
          </cell>
          <cell r="O1312" t="str">
            <v>Norfolk</v>
          </cell>
          <cell r="P1312" t="str">
            <v>West</v>
          </cell>
        </row>
        <row r="1313">
          <cell r="C1313" t="str">
            <v>GEDSB Waterford District Secondary</v>
          </cell>
          <cell r="D1313" t="str">
            <v>Ameresco GEDSB Solar Inc.</v>
          </cell>
          <cell r="E1313" t="str">
            <v>CO</v>
          </cell>
          <cell r="F1313">
            <v>41029</v>
          </cell>
          <cell r="G1313">
            <v>40980</v>
          </cell>
          <cell r="H1313">
            <v>48284</v>
          </cell>
          <cell r="I1313" t="str">
            <v>19 years, 11 months, 28 days</v>
          </cell>
          <cell r="J1313" t="str">
            <v>Renewables</v>
          </cell>
          <cell r="K1313" t="str">
            <v>Solar (Rooftop)</v>
          </cell>
          <cell r="L1313" t="str">
            <v>Solar</v>
          </cell>
          <cell r="M1313" t="str">
            <v>Dx</v>
          </cell>
          <cell r="N1313" t="str">
            <v>Waterford</v>
          </cell>
          <cell r="O1313" t="str">
            <v>Norfolk</v>
          </cell>
          <cell r="P1313" t="str">
            <v>Southwest</v>
          </cell>
        </row>
        <row r="1314">
          <cell r="C1314" t="str">
            <v>O02-27 Hobin</v>
          </cell>
          <cell r="D1314" t="str">
            <v>PSI Solar Finance 1 Limited Partnership</v>
          </cell>
          <cell r="E1314" t="str">
            <v>CO</v>
          </cell>
          <cell r="F1314">
            <v>41832</v>
          </cell>
          <cell r="G1314">
            <v>41775</v>
          </cell>
          <cell r="H1314">
            <v>49079</v>
          </cell>
          <cell r="I1314" t="str">
            <v>19 years, 11 months, 29 days</v>
          </cell>
          <cell r="J1314" t="str">
            <v>Renewables</v>
          </cell>
          <cell r="K1314" t="str">
            <v>Solar (Rooftop)</v>
          </cell>
          <cell r="L1314" t="str">
            <v>Solar</v>
          </cell>
          <cell r="M1314" t="str">
            <v>Dx</v>
          </cell>
          <cell r="N1314" t="str">
            <v>Ottawa</v>
          </cell>
          <cell r="O1314" t="str">
            <v>Ottawa</v>
          </cell>
          <cell r="P1314" t="str">
            <v>Ottawa</v>
          </cell>
        </row>
        <row r="1315">
          <cell r="C1315" t="str">
            <v>G04-835 Harrington</v>
          </cell>
          <cell r="D1315" t="str">
            <v>Fengate (FGDI) Limited Partnership</v>
          </cell>
          <cell r="E1315" t="str">
            <v>CO</v>
          </cell>
          <cell r="F1315">
            <v>41828</v>
          </cell>
          <cell r="G1315">
            <v>42012</v>
          </cell>
          <cell r="H1315">
            <v>49316</v>
          </cell>
          <cell r="I1315" t="str">
            <v>19 years, 11 months, 30 days</v>
          </cell>
          <cell r="J1315" t="str">
            <v>Renewables</v>
          </cell>
          <cell r="K1315" t="str">
            <v>Solar (Rooftop)</v>
          </cell>
          <cell r="L1315" t="str">
            <v>Solar</v>
          </cell>
          <cell r="M1315" t="str">
            <v>Dx</v>
          </cell>
          <cell r="N1315" t="str">
            <v>Burlington</v>
          </cell>
          <cell r="O1315" t="str">
            <v>Halton</v>
          </cell>
          <cell r="P1315" t="str">
            <v>Southwest</v>
          </cell>
        </row>
        <row r="1316">
          <cell r="C1316" t="str">
            <v>41 Butterick Road</v>
          </cell>
          <cell r="D1316" t="str">
            <v>1033993 Ontario Inc.</v>
          </cell>
          <cell r="E1316" t="str">
            <v>CO</v>
          </cell>
          <cell r="F1316">
            <v>41827</v>
          </cell>
          <cell r="G1316">
            <v>41094</v>
          </cell>
          <cell r="H1316">
            <v>48398</v>
          </cell>
          <cell r="I1316" t="str">
            <v>19 years, 11 months, 29 days</v>
          </cell>
          <cell r="J1316" t="str">
            <v>Renewables</v>
          </cell>
          <cell r="K1316" t="str">
            <v>Solar (Rooftop)</v>
          </cell>
          <cell r="L1316" t="str">
            <v>Solar</v>
          </cell>
          <cell r="M1316" t="str">
            <v>Dx</v>
          </cell>
          <cell r="N1316" t="str">
            <v>Toronto</v>
          </cell>
          <cell r="O1316" t="str">
            <v>Toronto</v>
          </cell>
          <cell r="P1316" t="str">
            <v>Toronto</v>
          </cell>
        </row>
        <row r="1317">
          <cell r="C1317" t="str">
            <v>Donevan Recreation Solar</v>
          </cell>
          <cell r="D1317" t="str">
            <v>2252112 Ontario Inc.</v>
          </cell>
          <cell r="E1317" t="str">
            <v>CO</v>
          </cell>
          <cell r="F1317">
            <v>41827</v>
          </cell>
          <cell r="G1317">
            <v>41197</v>
          </cell>
          <cell r="H1317">
            <v>48501</v>
          </cell>
          <cell r="I1317" t="str">
            <v>19 years, 11 months, 29 days</v>
          </cell>
          <cell r="J1317" t="str">
            <v>Renewables</v>
          </cell>
          <cell r="K1317" t="str">
            <v>Solar (Rooftop)</v>
          </cell>
          <cell r="L1317" t="str">
            <v>Solar</v>
          </cell>
          <cell r="M1317" t="str">
            <v>Dx</v>
          </cell>
          <cell r="N1317" t="str">
            <v>Oshawa</v>
          </cell>
          <cell r="O1317" t="str">
            <v>Durham</v>
          </cell>
          <cell r="P1317" t="str">
            <v>Toronto</v>
          </cell>
        </row>
        <row r="1318">
          <cell r="C1318" t="str">
            <v>Morrissey Farm</v>
          </cell>
          <cell r="D1318" t="str">
            <v>SE 2011 LP</v>
          </cell>
          <cell r="E1318" t="str">
            <v>CO</v>
          </cell>
          <cell r="F1318">
            <v>41797</v>
          </cell>
          <cell r="G1318">
            <v>41149</v>
          </cell>
          <cell r="H1318">
            <v>48453</v>
          </cell>
          <cell r="I1318" t="str">
            <v>19 years, 11 months, 30 days</v>
          </cell>
          <cell r="J1318" t="str">
            <v>Renewables</v>
          </cell>
          <cell r="K1318" t="str">
            <v>Solar (Rooftop)</v>
          </cell>
          <cell r="L1318" t="str">
            <v>Solar</v>
          </cell>
          <cell r="M1318" t="str">
            <v>Dx</v>
          </cell>
          <cell r="N1318" t="str">
            <v>Crediton</v>
          </cell>
          <cell r="O1318" t="str">
            <v>Huron</v>
          </cell>
          <cell r="P1318" t="str">
            <v>Southwest</v>
          </cell>
        </row>
        <row r="1319">
          <cell r="C1319" t="str">
            <v>Ecotricity Solar Southgate</v>
          </cell>
          <cell r="D1319" t="str">
            <v>Alectra Utilities Corporation</v>
          </cell>
          <cell r="E1319" t="str">
            <v>CO</v>
          </cell>
          <cell r="F1319">
            <v>41029</v>
          </cell>
          <cell r="G1319">
            <v>40695</v>
          </cell>
          <cell r="H1319">
            <v>47999</v>
          </cell>
          <cell r="I1319" t="str">
            <v>19 years, 11 months, 30 days</v>
          </cell>
          <cell r="J1319" t="str">
            <v>Renewables</v>
          </cell>
          <cell r="K1319" t="str">
            <v>Solar (Rooftop)</v>
          </cell>
          <cell r="L1319" t="str">
            <v>Solar</v>
          </cell>
          <cell r="M1319" t="str">
            <v>Dx</v>
          </cell>
          <cell r="N1319" t="str">
            <v>Guelph</v>
          </cell>
          <cell r="O1319" t="str">
            <v>Wellington</v>
          </cell>
          <cell r="P1319" t="str">
            <v>Southwest</v>
          </cell>
        </row>
        <row r="1320">
          <cell r="C1320" t="str">
            <v>126 Devon</v>
          </cell>
          <cell r="D1320" t="str">
            <v>PSI Solar Finance 1 Limited Partnership</v>
          </cell>
          <cell r="E1320" t="str">
            <v>CO</v>
          </cell>
          <cell r="F1320">
            <v>41818</v>
          </cell>
          <cell r="G1320">
            <v>41241</v>
          </cell>
          <cell r="H1320">
            <v>48545</v>
          </cell>
          <cell r="I1320" t="str">
            <v>19 years, 11 months, 30 days</v>
          </cell>
          <cell r="J1320" t="str">
            <v>Renewables</v>
          </cell>
          <cell r="K1320" t="str">
            <v>Solar (Rooftop)</v>
          </cell>
          <cell r="L1320" t="str">
            <v>Solar</v>
          </cell>
          <cell r="M1320" t="str">
            <v>Dx</v>
          </cell>
          <cell r="N1320" t="str">
            <v>Brampton</v>
          </cell>
          <cell r="O1320" t="str">
            <v>Peel</v>
          </cell>
          <cell r="P1320" t="str">
            <v>Toronto</v>
          </cell>
        </row>
        <row r="1321">
          <cell r="C1321" t="str">
            <v>158 Primeway Dr.</v>
          </cell>
          <cell r="D1321" t="str">
            <v>PSI Solar Finance 1 Limited Partnership</v>
          </cell>
          <cell r="E1321" t="str">
            <v>CO</v>
          </cell>
          <cell r="F1321">
            <v>41897</v>
          </cell>
          <cell r="G1321">
            <v>41607</v>
          </cell>
          <cell r="H1321">
            <v>48911</v>
          </cell>
          <cell r="I1321" t="str">
            <v>19 years, 11 months, 30 days</v>
          </cell>
          <cell r="J1321" t="str">
            <v>Renewables</v>
          </cell>
          <cell r="K1321" t="str">
            <v>Solar (Rooftop)</v>
          </cell>
          <cell r="L1321" t="str">
            <v>Solar</v>
          </cell>
          <cell r="M1321" t="str">
            <v>Dx</v>
          </cell>
          <cell r="N1321" t="str">
            <v>Welland</v>
          </cell>
          <cell r="O1321" t="str">
            <v>Niagara</v>
          </cell>
          <cell r="P1321" t="str">
            <v>Niagara</v>
          </cell>
        </row>
        <row r="1322">
          <cell r="C1322" t="str">
            <v>H06-6630 TECUMSEH</v>
          </cell>
          <cell r="D1322" t="str">
            <v>PSI Solar Finance 1 Limited Partnership</v>
          </cell>
          <cell r="E1322" t="str">
            <v>CO</v>
          </cell>
          <cell r="F1322">
            <v>41730</v>
          </cell>
          <cell r="G1322">
            <v>41879</v>
          </cell>
          <cell r="H1322">
            <v>49183</v>
          </cell>
          <cell r="I1322" t="str">
            <v>19 years, 11 months, 30 days</v>
          </cell>
          <cell r="J1322" t="str">
            <v>Renewables</v>
          </cell>
          <cell r="K1322" t="str">
            <v>Solar (Rooftop)</v>
          </cell>
          <cell r="L1322" t="str">
            <v>Solar</v>
          </cell>
          <cell r="M1322" t="str">
            <v>Dx</v>
          </cell>
          <cell r="N1322" t="str">
            <v>Windsor</v>
          </cell>
          <cell r="O1322" t="str">
            <v>Essex</v>
          </cell>
          <cell r="P1322" t="str">
            <v>West</v>
          </cell>
        </row>
        <row r="1323">
          <cell r="C1323" t="str">
            <v>H06-570 MCNEELY</v>
          </cell>
          <cell r="D1323" t="str">
            <v>PSI Solar Finance 1 Limited Partnership</v>
          </cell>
          <cell r="E1323" t="str">
            <v>CO</v>
          </cell>
          <cell r="F1323">
            <v>41862</v>
          </cell>
          <cell r="G1323">
            <v>41901</v>
          </cell>
          <cell r="H1323">
            <v>49205</v>
          </cell>
          <cell r="I1323" t="str">
            <v>19 years, 11 months, 30 days</v>
          </cell>
          <cell r="J1323" t="str">
            <v>Renewables</v>
          </cell>
          <cell r="K1323" t="str">
            <v>Solar (Rooftop)</v>
          </cell>
          <cell r="L1323" t="str">
            <v>Solar</v>
          </cell>
          <cell r="M1323" t="str">
            <v>Dx</v>
          </cell>
          <cell r="N1323" t="str">
            <v>Carleton Place</v>
          </cell>
          <cell r="O1323" t="str">
            <v>Lanark</v>
          </cell>
          <cell r="P1323" t="str">
            <v>East</v>
          </cell>
        </row>
        <row r="1324">
          <cell r="C1324" t="str">
            <v>O02-55 Mann</v>
          </cell>
          <cell r="D1324" t="str">
            <v>Fengate (FGDI) Limited Partnership</v>
          </cell>
          <cell r="E1324" t="str">
            <v>CO</v>
          </cell>
          <cell r="F1324">
            <v>41832</v>
          </cell>
          <cell r="G1324">
            <v>42058</v>
          </cell>
          <cell r="H1324">
            <v>49362</v>
          </cell>
          <cell r="I1324" t="str">
            <v>19 years, 11 months, 30 days</v>
          </cell>
          <cell r="J1324" t="str">
            <v>Renewables</v>
          </cell>
          <cell r="K1324" t="str">
            <v>Solar (Rooftop)</v>
          </cell>
          <cell r="L1324" t="str">
            <v>Solar</v>
          </cell>
          <cell r="M1324" t="str">
            <v>Dx</v>
          </cell>
          <cell r="N1324" t="str">
            <v>Ottawa</v>
          </cell>
          <cell r="O1324" t="str">
            <v>Ottawa</v>
          </cell>
          <cell r="P1324" t="str">
            <v>Ottawa</v>
          </cell>
        </row>
        <row r="1325">
          <cell r="C1325" t="str">
            <v>Cavanagh Solar 2</v>
          </cell>
          <cell r="D1325" t="str">
            <v>Thomas Cavanagh Construction Limited</v>
          </cell>
          <cell r="E1325" t="str">
            <v>CO</v>
          </cell>
          <cell r="F1325">
            <v>41029</v>
          </cell>
          <cell r="G1325">
            <v>41064</v>
          </cell>
          <cell r="H1325">
            <v>48368</v>
          </cell>
          <cell r="I1325" t="str">
            <v>19 years, 11 months, 30 days</v>
          </cell>
          <cell r="J1325" t="str">
            <v>Renewables</v>
          </cell>
          <cell r="K1325" t="str">
            <v>Solar (Rooftop)</v>
          </cell>
          <cell r="L1325" t="str">
            <v>Solar</v>
          </cell>
          <cell r="M1325" t="str">
            <v>Dx</v>
          </cell>
          <cell r="N1325" t="str">
            <v>Ashton</v>
          </cell>
          <cell r="O1325" t="str">
            <v>Lanark</v>
          </cell>
          <cell r="P1325" t="str">
            <v>East</v>
          </cell>
        </row>
        <row r="1326">
          <cell r="C1326" t="str">
            <v>ROW - Regional Operations Centre 2</v>
          </cell>
          <cell r="D1326" t="str">
            <v>The Regional Municipality of Waterloo</v>
          </cell>
          <cell r="E1326" t="str">
            <v>CO</v>
          </cell>
          <cell r="F1326">
            <v>41497</v>
          </cell>
          <cell r="G1326">
            <v>41463</v>
          </cell>
          <cell r="H1326">
            <v>48767</v>
          </cell>
          <cell r="I1326" t="str">
            <v>19 years, 11 months, 29 days</v>
          </cell>
          <cell r="J1326" t="str">
            <v>Renewables</v>
          </cell>
          <cell r="K1326" t="str">
            <v>Solar (Rooftop)</v>
          </cell>
          <cell r="L1326" t="str">
            <v>Solar</v>
          </cell>
          <cell r="M1326" t="str">
            <v>Dx</v>
          </cell>
          <cell r="N1326" t="str">
            <v>Cambridge</v>
          </cell>
          <cell r="O1326" t="str">
            <v>Waterloo</v>
          </cell>
          <cell r="P1326" t="str">
            <v>Southwest</v>
          </cell>
        </row>
        <row r="1327">
          <cell r="C1327" t="str">
            <v>Milvan Drive Solar</v>
          </cell>
          <cell r="D1327" t="str">
            <v>Freshway Cash &amp; Carry Inc.</v>
          </cell>
          <cell r="E1327" t="str">
            <v>CO</v>
          </cell>
          <cell r="F1327">
            <v>41804</v>
          </cell>
          <cell r="G1327">
            <v>41368</v>
          </cell>
          <cell r="H1327">
            <v>48672</v>
          </cell>
          <cell r="I1327" t="str">
            <v>19 years, 11 months, 30 days</v>
          </cell>
          <cell r="J1327" t="str">
            <v>Renewables</v>
          </cell>
          <cell r="K1327" t="str">
            <v>Solar (Rooftop)</v>
          </cell>
          <cell r="L1327" t="str">
            <v>Solar</v>
          </cell>
          <cell r="M1327" t="str">
            <v>Dx</v>
          </cell>
          <cell r="N1327" t="str">
            <v>Toronto</v>
          </cell>
          <cell r="O1327" t="str">
            <v>Toronto</v>
          </cell>
          <cell r="P1327" t="str">
            <v>Toronto</v>
          </cell>
        </row>
        <row r="1328">
          <cell r="C1328" t="str">
            <v>Plymouth FIT</v>
          </cell>
          <cell r="D1328" t="str">
            <v>1401366 ONTARIO LTD.</v>
          </cell>
          <cell r="E1328" t="str">
            <v>CO</v>
          </cell>
          <cell r="F1328">
            <v>41818</v>
          </cell>
          <cell r="G1328">
            <v>41886</v>
          </cell>
          <cell r="H1328">
            <v>49190</v>
          </cell>
          <cell r="I1328" t="str">
            <v>19 years, 11 months, 30 days</v>
          </cell>
          <cell r="J1328" t="str">
            <v>Renewables</v>
          </cell>
          <cell r="K1328" t="str">
            <v>Solar (Rooftop)</v>
          </cell>
          <cell r="L1328" t="str">
            <v>Solar</v>
          </cell>
          <cell r="M1328" t="str">
            <v>Dx</v>
          </cell>
          <cell r="N1328" t="str">
            <v>Thunder Bay</v>
          </cell>
          <cell r="O1328" t="str">
            <v>Thunder Bay</v>
          </cell>
          <cell r="P1328" t="str">
            <v>Northwest</v>
          </cell>
        </row>
        <row r="1329">
          <cell r="C1329" t="str">
            <v>Perley Rideau 250kW</v>
          </cell>
          <cell r="D1329" t="str">
            <v>The Perley and Rideau Veterans' Health Centre</v>
          </cell>
          <cell r="E1329" t="str">
            <v>CO</v>
          </cell>
          <cell r="F1329">
            <v>41820</v>
          </cell>
          <cell r="G1329">
            <v>41767</v>
          </cell>
          <cell r="H1329">
            <v>49071</v>
          </cell>
          <cell r="I1329" t="str">
            <v>19 years, 11 months, 29 days</v>
          </cell>
          <cell r="J1329" t="str">
            <v>Renewables</v>
          </cell>
          <cell r="K1329" t="str">
            <v>Solar (Rooftop)</v>
          </cell>
          <cell r="L1329" t="str">
            <v>Solar</v>
          </cell>
          <cell r="M1329" t="str">
            <v>Dx</v>
          </cell>
          <cell r="N1329" t="str">
            <v>Ottawa</v>
          </cell>
          <cell r="O1329" t="str">
            <v>Ottawa</v>
          </cell>
          <cell r="P1329" t="str">
            <v>Ottawa</v>
          </cell>
        </row>
        <row r="1330">
          <cell r="C1330" t="str">
            <v>Koskamp Family Farm Biogas</v>
          </cell>
          <cell r="D1330" t="str">
            <v>Koskamp Family Farms Ltd.</v>
          </cell>
          <cell r="E1330" t="str">
            <v>CO</v>
          </cell>
          <cell r="F1330">
            <v>41478</v>
          </cell>
          <cell r="G1330">
            <v>41430</v>
          </cell>
          <cell r="H1330">
            <v>48734</v>
          </cell>
          <cell r="I1330" t="str">
            <v>19 years, 11 months, 30 days</v>
          </cell>
          <cell r="J1330" t="str">
            <v>Renewables</v>
          </cell>
          <cell r="K1330" t="str">
            <v>Bioenergy</v>
          </cell>
          <cell r="L1330" t="str">
            <v>Biogas</v>
          </cell>
          <cell r="M1330" t="str">
            <v>Dx</v>
          </cell>
          <cell r="N1330" t="str">
            <v>Stratford</v>
          </cell>
          <cell r="O1330" t="str">
            <v>Perth</v>
          </cell>
          <cell r="P1330" t="str">
            <v>Southwest</v>
          </cell>
        </row>
        <row r="1331">
          <cell r="C1331" t="str">
            <v>Bothwell</v>
          </cell>
          <cell r="D1331" t="str">
            <v>Samuel, Son &amp; Co., Ltd.</v>
          </cell>
          <cell r="E1331" t="str">
            <v>CO</v>
          </cell>
          <cell r="F1331">
            <v>41806</v>
          </cell>
          <cell r="G1331">
            <v>41809</v>
          </cell>
          <cell r="H1331">
            <v>49110</v>
          </cell>
          <cell r="I1331" t="str">
            <v>19 years, 11 months, 27 days</v>
          </cell>
          <cell r="J1331" t="str">
            <v>Renewables</v>
          </cell>
          <cell r="K1331" t="str">
            <v>Solar (Rooftop)</v>
          </cell>
          <cell r="L1331" t="str">
            <v>Solar</v>
          </cell>
          <cell r="M1331" t="str">
            <v>Dx</v>
          </cell>
          <cell r="N1331" t="str">
            <v>Cambridge</v>
          </cell>
          <cell r="O1331" t="str">
            <v>Waterloo</v>
          </cell>
          <cell r="P1331" t="str">
            <v>Southwest</v>
          </cell>
        </row>
        <row r="1332">
          <cell r="C1332" t="str">
            <v>Pacific One</v>
          </cell>
          <cell r="D1332" t="str">
            <v>2410581 Ontario Limited</v>
          </cell>
          <cell r="E1332" t="str">
            <v>CO</v>
          </cell>
          <cell r="F1332">
            <v>41804</v>
          </cell>
          <cell r="G1332">
            <v>41985</v>
          </cell>
          <cell r="H1332">
            <v>49289</v>
          </cell>
          <cell r="I1332" t="str">
            <v>19 years, 11 months, 29 days</v>
          </cell>
          <cell r="J1332" t="str">
            <v>Renewables</v>
          </cell>
          <cell r="K1332" t="str">
            <v>Solar (Rooftop)</v>
          </cell>
          <cell r="L1332" t="str">
            <v>Solar</v>
          </cell>
          <cell r="M1332" t="str">
            <v>Dx</v>
          </cell>
          <cell r="N1332" t="str">
            <v>Hamilton</v>
          </cell>
          <cell r="O1332" t="str">
            <v>Hamilton</v>
          </cell>
          <cell r="P1332" t="str">
            <v>Southwest</v>
          </cell>
        </row>
        <row r="1333">
          <cell r="C1333" t="str">
            <v>Conestogo Wind Energy Centre</v>
          </cell>
          <cell r="D1333" t="str">
            <v>Conestogo Wind, LP</v>
          </cell>
          <cell r="E1333" t="str">
            <v>CO</v>
          </cell>
          <cell r="F1333">
            <v>41358</v>
          </cell>
          <cell r="G1333">
            <v>41263</v>
          </cell>
          <cell r="H1333">
            <v>48567</v>
          </cell>
          <cell r="I1333" t="str">
            <v>19 years, 11 months, 29 days</v>
          </cell>
          <cell r="J1333" t="str">
            <v>Renewables</v>
          </cell>
          <cell r="K1333" t="str">
            <v>Wind (On-Shore)</v>
          </cell>
          <cell r="L1333" t="str">
            <v>Wind</v>
          </cell>
          <cell r="M1333" t="str">
            <v>Dx</v>
          </cell>
          <cell r="N1333" t="str">
            <v>Alma</v>
          </cell>
          <cell r="O1333" t="str">
            <v>Wellington</v>
          </cell>
          <cell r="P1333" t="str">
            <v>Southwest</v>
          </cell>
        </row>
        <row r="1334">
          <cell r="C1334" t="str">
            <v>E02-301 Tillson</v>
          </cell>
          <cell r="D1334" t="str">
            <v>301 Tillson Limited Partnership</v>
          </cell>
          <cell r="E1334" t="str">
            <v>CO</v>
          </cell>
          <cell r="F1334">
            <v>41862</v>
          </cell>
          <cell r="G1334">
            <v>41866</v>
          </cell>
          <cell r="H1334">
            <v>49170</v>
          </cell>
          <cell r="I1334" t="str">
            <v>19 years, 11 months, 30 days</v>
          </cell>
          <cell r="J1334" t="str">
            <v>Renewables</v>
          </cell>
          <cell r="K1334" t="str">
            <v>Solar (Rooftop)</v>
          </cell>
          <cell r="L1334" t="str">
            <v>Solar</v>
          </cell>
          <cell r="M1334" t="str">
            <v>Dx</v>
          </cell>
          <cell r="N1334" t="str">
            <v>Tillsonburg</v>
          </cell>
          <cell r="O1334" t="str">
            <v>Oxford</v>
          </cell>
          <cell r="P1334" t="str">
            <v>West</v>
          </cell>
        </row>
        <row r="1335">
          <cell r="C1335" t="str">
            <v>Komoka Wellness &amp; Recreation Centre</v>
          </cell>
          <cell r="D1335" t="str">
            <v>Municipality of Middlesex Centre</v>
          </cell>
          <cell r="E1335" t="str">
            <v>CO</v>
          </cell>
          <cell r="F1335">
            <v>41029</v>
          </cell>
          <cell r="G1335">
            <v>40862</v>
          </cell>
          <cell r="H1335">
            <v>48166</v>
          </cell>
          <cell r="I1335" t="str">
            <v>19 years, 11 months, 30 days</v>
          </cell>
          <cell r="J1335" t="str">
            <v>Renewables</v>
          </cell>
          <cell r="K1335" t="str">
            <v>Solar (Rooftop)</v>
          </cell>
          <cell r="L1335" t="str">
            <v>Solar</v>
          </cell>
          <cell r="M1335" t="str">
            <v>Dx</v>
          </cell>
          <cell r="N1335" t="str">
            <v>Komoka</v>
          </cell>
          <cell r="O1335" t="str">
            <v>Middlesex</v>
          </cell>
          <cell r="P1335" t="str">
            <v>West</v>
          </cell>
        </row>
        <row r="1336">
          <cell r="C1336" t="str">
            <v>Grand 250</v>
          </cell>
          <cell r="D1336" t="str">
            <v>Green Grorganics Inc. II</v>
          </cell>
          <cell r="E1336" t="str">
            <v>CO</v>
          </cell>
          <cell r="F1336">
            <v>41724</v>
          </cell>
          <cell r="G1336">
            <v>41437</v>
          </cell>
          <cell r="H1336">
            <v>48741</v>
          </cell>
          <cell r="I1336" t="str">
            <v>19 years, 11 months, 30 days</v>
          </cell>
          <cell r="J1336" t="str">
            <v>Renewables</v>
          </cell>
          <cell r="K1336" t="str">
            <v>Solar (Rooftop)</v>
          </cell>
          <cell r="L1336" t="str">
            <v>Solar</v>
          </cell>
          <cell r="M1336" t="str">
            <v>Dx</v>
          </cell>
          <cell r="N1336" t="str">
            <v>Kingsville</v>
          </cell>
          <cell r="O1336" t="str">
            <v>Essex</v>
          </cell>
          <cell r="P1336" t="str">
            <v>West</v>
          </cell>
        </row>
        <row r="1337">
          <cell r="C1337" t="str">
            <v>Stoney Creek Decor Centre 2</v>
          </cell>
          <cell r="D1337" t="str">
            <v>Solar Sunbelt General Partnership</v>
          </cell>
          <cell r="E1337" t="str">
            <v>CO</v>
          </cell>
          <cell r="F1337">
            <v>41811</v>
          </cell>
          <cell r="G1337">
            <v>41264</v>
          </cell>
          <cell r="H1337">
            <v>48568</v>
          </cell>
          <cell r="I1337" t="str">
            <v>19 years, 11 months, 29 days</v>
          </cell>
          <cell r="J1337" t="str">
            <v>Renewables</v>
          </cell>
          <cell r="K1337" t="str">
            <v>Solar (Rooftop)</v>
          </cell>
          <cell r="L1337" t="str">
            <v>Solar</v>
          </cell>
          <cell r="M1337" t="str">
            <v>Dx</v>
          </cell>
          <cell r="N1337" t="str">
            <v>Hamilton</v>
          </cell>
          <cell r="O1337" t="str">
            <v>Hamilton</v>
          </cell>
          <cell r="P1337" t="str">
            <v>Niagara</v>
          </cell>
        </row>
        <row r="1338">
          <cell r="C1338" t="str">
            <v>SUNNYBRAE SOLAR</v>
          </cell>
          <cell r="D1338" t="str">
            <v>Jennifer Lynn Renieris</v>
          </cell>
          <cell r="E1338" t="str">
            <v>CO</v>
          </cell>
          <cell r="F1338">
            <v>41792</v>
          </cell>
          <cell r="G1338">
            <v>41940</v>
          </cell>
          <cell r="H1338">
            <v>49096</v>
          </cell>
          <cell r="I1338" t="str">
            <v>19 years, 7 months, 4 days</v>
          </cell>
          <cell r="J1338" t="str">
            <v>Renewables</v>
          </cell>
          <cell r="K1338" t="str">
            <v>Solar (Rooftop)</v>
          </cell>
          <cell r="L1338" t="str">
            <v>Solar</v>
          </cell>
          <cell r="M1338" t="str">
            <v>Dx</v>
          </cell>
          <cell r="N1338" t="str">
            <v>Smithville</v>
          </cell>
          <cell r="O1338" t="str">
            <v>Niagara</v>
          </cell>
          <cell r="P1338" t="str">
            <v>Niagara</v>
          </cell>
        </row>
        <row r="1339">
          <cell r="C1339" t="str">
            <v>Northland Power Burks Falls West</v>
          </cell>
          <cell r="D1339" t="str">
            <v>Northland Power Solar Burks Falls West L.P.</v>
          </cell>
          <cell r="E1339" t="str">
            <v>CO</v>
          </cell>
          <cell r="F1339">
            <v>41415</v>
          </cell>
          <cell r="G1339">
            <v>41905</v>
          </cell>
          <cell r="H1339">
            <v>49209</v>
          </cell>
          <cell r="I1339" t="str">
            <v>19 years, 11 months, 30 days</v>
          </cell>
          <cell r="J1339" t="str">
            <v>Renewables</v>
          </cell>
          <cell r="K1339" t="str">
            <v>Solar (Ground Mounted)</v>
          </cell>
          <cell r="L1339" t="str">
            <v>Solar</v>
          </cell>
          <cell r="M1339" t="str">
            <v>Dx</v>
          </cell>
          <cell r="N1339" t="str">
            <v>Burks Falls</v>
          </cell>
          <cell r="O1339" t="str">
            <v>Parry Sound</v>
          </cell>
          <cell r="P1339" t="str">
            <v>Essa</v>
          </cell>
        </row>
        <row r="1340">
          <cell r="C1340" t="str">
            <v>P08-6 Manchester</v>
          </cell>
          <cell r="D1340" t="str">
            <v>Firelight Solar LP</v>
          </cell>
          <cell r="E1340" t="str">
            <v>CO</v>
          </cell>
          <cell r="F1340">
            <v>41854</v>
          </cell>
          <cell r="G1340">
            <v>41229</v>
          </cell>
          <cell r="H1340">
            <v>48533</v>
          </cell>
          <cell r="I1340" t="str">
            <v>19 years, 11 months, 30 days</v>
          </cell>
          <cell r="J1340" t="str">
            <v>Renewables</v>
          </cell>
          <cell r="K1340" t="str">
            <v>Solar (Rooftop)</v>
          </cell>
          <cell r="L1340" t="str">
            <v>Solar</v>
          </cell>
          <cell r="M1340" t="str">
            <v>Dx</v>
          </cell>
          <cell r="N1340" t="str">
            <v>Bolton</v>
          </cell>
          <cell r="O1340" t="str">
            <v>Peel</v>
          </cell>
          <cell r="P1340" t="str">
            <v>Toronto</v>
          </cell>
        </row>
        <row r="1341">
          <cell r="C1341" t="str">
            <v>M01-1050 Pachino</v>
          </cell>
          <cell r="D1341" t="str">
            <v>Rowhedge Construction Limited</v>
          </cell>
          <cell r="E1341" t="str">
            <v>CO</v>
          </cell>
          <cell r="F1341">
            <v>41811</v>
          </cell>
          <cell r="G1341">
            <v>41992</v>
          </cell>
          <cell r="H1341">
            <v>49296</v>
          </cell>
          <cell r="I1341" t="str">
            <v>19 years, 11 months, 29 days</v>
          </cell>
          <cell r="J1341" t="str">
            <v>Renewables</v>
          </cell>
          <cell r="K1341" t="str">
            <v>Solar (Rooftop)</v>
          </cell>
          <cell r="L1341" t="str">
            <v>Solar</v>
          </cell>
          <cell r="M1341" t="str">
            <v>Dx</v>
          </cell>
          <cell r="N1341" t="str">
            <v>Burlington</v>
          </cell>
          <cell r="O1341" t="str">
            <v>Halton</v>
          </cell>
          <cell r="P1341" t="str">
            <v>Southwest</v>
          </cell>
        </row>
        <row r="1342">
          <cell r="C1342" t="str">
            <v>RE Smiths Falls 6</v>
          </cell>
          <cell r="D1342" t="str">
            <v>Aurora Smiths Falls 6 Limited Partnership</v>
          </cell>
          <cell r="E1342" t="str">
            <v>CO</v>
          </cell>
          <cell r="F1342">
            <v>41323</v>
          </cell>
          <cell r="G1342">
            <v>41318</v>
          </cell>
          <cell r="H1342">
            <v>48622</v>
          </cell>
          <cell r="I1342" t="str">
            <v>19 years, 11 months, 30 days</v>
          </cell>
          <cell r="J1342" t="str">
            <v>Renewables</v>
          </cell>
          <cell r="K1342" t="str">
            <v>Solar (Ground Mounted)</v>
          </cell>
          <cell r="L1342" t="str">
            <v>Solar</v>
          </cell>
          <cell r="M1342" t="str">
            <v>Dx</v>
          </cell>
          <cell r="N1342" t="str">
            <v>Smiths Falls</v>
          </cell>
          <cell r="O1342" t="str">
            <v>Lanark</v>
          </cell>
          <cell r="P1342" t="str">
            <v>East</v>
          </cell>
        </row>
        <row r="1343">
          <cell r="C1343" t="str">
            <v>Sierra Farms Solar Farm</v>
          </cell>
          <cell r="D1343" t="str">
            <v>SE 2011 LP</v>
          </cell>
          <cell r="E1343" t="str">
            <v>CO</v>
          </cell>
          <cell r="F1343">
            <v>41796</v>
          </cell>
          <cell r="G1343">
            <v>41628</v>
          </cell>
          <cell r="H1343">
            <v>48932</v>
          </cell>
          <cell r="I1343" t="str">
            <v>19 years, 11 months, 29 days</v>
          </cell>
          <cell r="J1343" t="str">
            <v>Renewables</v>
          </cell>
          <cell r="K1343" t="str">
            <v>Solar (Rooftop)</v>
          </cell>
          <cell r="L1343" t="str">
            <v>Solar</v>
          </cell>
          <cell r="M1343" t="str">
            <v>Dx</v>
          </cell>
          <cell r="N1343" t="str">
            <v>Listowel</v>
          </cell>
          <cell r="O1343" t="str">
            <v>Perth</v>
          </cell>
          <cell r="P1343" t="str">
            <v>Southwest</v>
          </cell>
        </row>
        <row r="1344">
          <cell r="C1344" t="str">
            <v>Port Authority Bldg. 2</v>
          </cell>
          <cell r="D1344" t="str">
            <v>Solar Income Fund LP (#2)</v>
          </cell>
          <cell r="E1344" t="str">
            <v>CO</v>
          </cell>
          <cell r="F1344">
            <v>41841</v>
          </cell>
          <cell r="G1344">
            <v>41710</v>
          </cell>
          <cell r="H1344">
            <v>49014</v>
          </cell>
          <cell r="I1344" t="str">
            <v>19 years, 11 months, 27 days</v>
          </cell>
          <cell r="J1344" t="str">
            <v>Renewables</v>
          </cell>
          <cell r="K1344" t="str">
            <v>Solar (Rooftop)</v>
          </cell>
          <cell r="L1344" t="str">
            <v>Solar</v>
          </cell>
          <cell r="M1344" t="str">
            <v>Dx</v>
          </cell>
          <cell r="N1344" t="str">
            <v>Thunder Bay</v>
          </cell>
          <cell r="O1344" t="str">
            <v>Thunder Bay</v>
          </cell>
          <cell r="P1344" t="str">
            <v>Northwest</v>
          </cell>
        </row>
        <row r="1345">
          <cell r="C1345" t="str">
            <v>#244 3595 highway 144, Chelmsford</v>
          </cell>
          <cell r="D1345" t="str">
            <v>PSI Solar Finance 1 Limited Partnership</v>
          </cell>
          <cell r="E1345" t="str">
            <v>CO</v>
          </cell>
          <cell r="F1345">
            <v>41811</v>
          </cell>
          <cell r="G1345">
            <v>41480</v>
          </cell>
          <cell r="H1345">
            <v>48784</v>
          </cell>
          <cell r="I1345" t="str">
            <v>19 years, 11 months, 29 days</v>
          </cell>
          <cell r="J1345" t="str">
            <v>Renewables</v>
          </cell>
          <cell r="K1345" t="str">
            <v>Solar (Rooftop)</v>
          </cell>
          <cell r="L1345" t="str">
            <v>Solar</v>
          </cell>
          <cell r="M1345" t="str">
            <v>Dx</v>
          </cell>
          <cell r="N1345" t="str">
            <v>Chelmsford</v>
          </cell>
          <cell r="O1345" t="str">
            <v>Greater Sudbury</v>
          </cell>
          <cell r="P1345" t="str">
            <v>Northeast</v>
          </cell>
        </row>
        <row r="1346">
          <cell r="C1346" t="str">
            <v>8739 North</v>
          </cell>
          <cell r="D1346" t="str">
            <v>Sunnyside Power Company Inc.</v>
          </cell>
          <cell r="E1346" t="str">
            <v>CO</v>
          </cell>
          <cell r="F1346">
            <v>41825</v>
          </cell>
          <cell r="G1346">
            <v>41628</v>
          </cell>
          <cell r="H1346">
            <v>48932</v>
          </cell>
          <cell r="I1346" t="str">
            <v>19 years, 11 months, 29 days</v>
          </cell>
          <cell r="J1346" t="str">
            <v>Renewables</v>
          </cell>
          <cell r="K1346" t="str">
            <v>Solar (Ground Mounted)</v>
          </cell>
          <cell r="L1346" t="str">
            <v>Solar</v>
          </cell>
          <cell r="M1346" t="str">
            <v>Dx</v>
          </cell>
          <cell r="N1346" t="str">
            <v>Westport</v>
          </cell>
          <cell r="O1346" t="str">
            <v>Leeds and Grenville</v>
          </cell>
          <cell r="P1346" t="str">
            <v>East</v>
          </cell>
        </row>
        <row r="1347">
          <cell r="C1347" t="str">
            <v>7826 Howard Ave. RR1</v>
          </cell>
          <cell r="D1347" t="str">
            <v>Howard Avenue Solar Inc.</v>
          </cell>
          <cell r="E1347" t="str">
            <v>CO</v>
          </cell>
          <cell r="F1347">
            <v>41841</v>
          </cell>
          <cell r="G1347">
            <v>41626</v>
          </cell>
          <cell r="H1347">
            <v>48930</v>
          </cell>
          <cell r="I1347" t="str">
            <v>19 years, 11 months, 29 days</v>
          </cell>
          <cell r="J1347" t="str">
            <v>Renewables</v>
          </cell>
          <cell r="K1347" t="str">
            <v>Solar (Rooftop)</v>
          </cell>
          <cell r="L1347" t="str">
            <v>Solar</v>
          </cell>
          <cell r="M1347" t="str">
            <v>Dx</v>
          </cell>
          <cell r="N1347" t="str">
            <v>Mcgregor</v>
          </cell>
          <cell r="O1347" t="str">
            <v>Essex</v>
          </cell>
          <cell r="P1347" t="str">
            <v>West</v>
          </cell>
        </row>
        <row r="1348">
          <cell r="C1348" t="str">
            <v>H06-901 JULIANA</v>
          </cell>
          <cell r="D1348" t="str">
            <v>PSI Solar Finance 1 Limited Partnership</v>
          </cell>
          <cell r="E1348" t="str">
            <v>CO</v>
          </cell>
          <cell r="F1348">
            <v>41805</v>
          </cell>
          <cell r="G1348">
            <v>41660</v>
          </cell>
          <cell r="H1348">
            <v>48964</v>
          </cell>
          <cell r="I1348" t="str">
            <v>19 years, 11 months, 30 days</v>
          </cell>
          <cell r="J1348" t="str">
            <v>Renewables</v>
          </cell>
          <cell r="K1348" t="str">
            <v>Solar (Rooftop)</v>
          </cell>
          <cell r="L1348" t="str">
            <v>Solar</v>
          </cell>
          <cell r="M1348" t="str">
            <v>Dx</v>
          </cell>
          <cell r="N1348" t="str">
            <v>Woodstock</v>
          </cell>
          <cell r="O1348" t="str">
            <v>Oxford</v>
          </cell>
          <cell r="P1348" t="str">
            <v>Southwest</v>
          </cell>
        </row>
        <row r="1349">
          <cell r="C1349" t="str">
            <v>4220 King Street</v>
          </cell>
          <cell r="D1349" t="str">
            <v>Heffner Investments Limited</v>
          </cell>
          <cell r="E1349" t="str">
            <v>CO</v>
          </cell>
          <cell r="F1349">
            <v>41820</v>
          </cell>
          <cell r="G1349">
            <v>41869</v>
          </cell>
          <cell r="H1349">
            <v>49173</v>
          </cell>
          <cell r="I1349" t="str">
            <v>19 years, 11 months, 30 days</v>
          </cell>
          <cell r="J1349" t="str">
            <v>Renewables</v>
          </cell>
          <cell r="K1349" t="str">
            <v>Solar (Rooftop)</v>
          </cell>
          <cell r="L1349" t="str">
            <v>Solar</v>
          </cell>
          <cell r="M1349" t="str">
            <v>Dx</v>
          </cell>
          <cell r="N1349" t="str">
            <v>Kitchener</v>
          </cell>
          <cell r="O1349" t="str">
            <v>Waterloo</v>
          </cell>
          <cell r="P1349" t="str">
            <v>Southwest</v>
          </cell>
        </row>
        <row r="1350">
          <cell r="C1350" t="str">
            <v>100 kW Kingsville Golf Club</v>
          </cell>
          <cell r="D1350" t="str">
            <v>Bluewater Power Renewable Energy Inc.</v>
          </cell>
          <cell r="E1350" t="str">
            <v>CO</v>
          </cell>
          <cell r="F1350">
            <v>41841</v>
          </cell>
          <cell r="G1350">
            <v>42024</v>
          </cell>
          <cell r="H1350">
            <v>49145</v>
          </cell>
          <cell r="I1350" t="str">
            <v>19 years, 6 months, 0 days</v>
          </cell>
          <cell r="J1350" t="str">
            <v>Renewables</v>
          </cell>
          <cell r="K1350" t="str">
            <v>Solar (Rooftop)</v>
          </cell>
          <cell r="L1350" t="str">
            <v>Solar</v>
          </cell>
          <cell r="M1350" t="str">
            <v>Dx</v>
          </cell>
          <cell r="N1350" t="str">
            <v>Kingsville</v>
          </cell>
          <cell r="O1350" t="str">
            <v>Essex</v>
          </cell>
          <cell r="P1350" t="str">
            <v>West</v>
          </cell>
        </row>
        <row r="1351">
          <cell r="C1351" t="str">
            <v>30 Riviera Drive</v>
          </cell>
          <cell r="D1351" t="str">
            <v>GBG Solar 2010 Partnership</v>
          </cell>
          <cell r="E1351" t="str">
            <v>CO</v>
          </cell>
          <cell r="F1351">
            <v>41029</v>
          </cell>
          <cell r="G1351">
            <v>41134</v>
          </cell>
          <cell r="H1351">
            <v>48438</v>
          </cell>
          <cell r="I1351" t="str">
            <v>19 years, 11 months, 30 days</v>
          </cell>
          <cell r="J1351" t="str">
            <v>Renewables</v>
          </cell>
          <cell r="K1351" t="str">
            <v>Solar (Rooftop)</v>
          </cell>
          <cell r="L1351" t="str">
            <v>Solar</v>
          </cell>
          <cell r="M1351" t="str">
            <v>Dx</v>
          </cell>
          <cell r="N1351" t="str">
            <v>Markham</v>
          </cell>
          <cell r="O1351" t="str">
            <v>York</v>
          </cell>
          <cell r="P1351" t="str">
            <v>Toronto</v>
          </cell>
        </row>
        <row r="1352">
          <cell r="C1352" t="str">
            <v>Amherst Island Wind Project</v>
          </cell>
          <cell r="D1352" t="str">
            <v>Amherst Island Windlectric ULC</v>
          </cell>
          <cell r="E1352" t="str">
            <v>CO</v>
          </cell>
          <cell r="F1352">
            <v>42396</v>
          </cell>
          <cell r="G1352">
            <v>43266</v>
          </cell>
          <cell r="H1352">
            <v>49700</v>
          </cell>
          <cell r="I1352" t="str">
            <v>17 years, 7 months, 11 days</v>
          </cell>
          <cell r="J1352" t="str">
            <v>Renewables</v>
          </cell>
          <cell r="K1352" t="str">
            <v>Wind (On-Shore)</v>
          </cell>
          <cell r="L1352" t="str">
            <v>Wind</v>
          </cell>
          <cell r="M1352" t="str">
            <v>Tx</v>
          </cell>
          <cell r="N1352" t="str">
            <v>Stella</v>
          </cell>
          <cell r="O1352" t="str">
            <v>Lennox and Addington</v>
          </cell>
          <cell r="P1352" t="str">
            <v>East</v>
          </cell>
        </row>
        <row r="1353">
          <cell r="C1353" t="str">
            <v>Skids Away</v>
          </cell>
          <cell r="D1353" t="str">
            <v>2237190 Ontario Inc.</v>
          </cell>
          <cell r="E1353" t="str">
            <v>CO</v>
          </cell>
          <cell r="F1353">
            <v>41029</v>
          </cell>
          <cell r="G1353">
            <v>41121</v>
          </cell>
          <cell r="H1353">
            <v>48333</v>
          </cell>
          <cell r="I1353" t="str">
            <v>19 years, 8 months, 29 days</v>
          </cell>
          <cell r="J1353" t="str">
            <v>Renewables</v>
          </cell>
          <cell r="K1353" t="str">
            <v>Solar (Rooftop)</v>
          </cell>
          <cell r="L1353" t="str">
            <v>Solar</v>
          </cell>
          <cell r="M1353" t="str">
            <v>Dx</v>
          </cell>
          <cell r="N1353" t="str">
            <v>Toronto</v>
          </cell>
          <cell r="O1353" t="str">
            <v>Toronto</v>
          </cell>
          <cell r="P1353" t="str">
            <v>Toronto</v>
          </cell>
        </row>
        <row r="1354">
          <cell r="C1354" t="str">
            <v>Victoria Village Arena at Bermondsey Solar PV</v>
          </cell>
          <cell r="D1354" t="str">
            <v>Toronto Hydro-Electric System Limited</v>
          </cell>
          <cell r="E1354" t="str">
            <v>CO</v>
          </cell>
          <cell r="F1354">
            <v>41804</v>
          </cell>
          <cell r="G1354">
            <v>41334</v>
          </cell>
          <cell r="H1354">
            <v>48638</v>
          </cell>
          <cell r="I1354" t="str">
            <v>19 years, 11 months, 27 days</v>
          </cell>
          <cell r="J1354" t="str">
            <v>Renewables</v>
          </cell>
          <cell r="K1354" t="str">
            <v>Solar (Rooftop)</v>
          </cell>
          <cell r="L1354" t="str">
            <v>Solar</v>
          </cell>
          <cell r="M1354" t="str">
            <v>Dx</v>
          </cell>
          <cell r="N1354" t="str">
            <v>Toronto</v>
          </cell>
          <cell r="O1354" t="str">
            <v>Toronto</v>
          </cell>
          <cell r="P1354" t="str">
            <v>Toronto</v>
          </cell>
        </row>
        <row r="1355">
          <cell r="C1355" t="str">
            <v>Williamson Solar</v>
          </cell>
          <cell r="D1355" t="str">
            <v>Solaire Kapuskasing Solar Inc.</v>
          </cell>
          <cell r="E1355" t="str">
            <v>CO</v>
          </cell>
          <cell r="F1355">
            <v>41854</v>
          </cell>
          <cell r="G1355">
            <v>42251</v>
          </cell>
          <cell r="H1355">
            <v>49555</v>
          </cell>
          <cell r="I1355" t="str">
            <v>19 years, 11 months, 30 days</v>
          </cell>
          <cell r="J1355" t="str">
            <v>Renewables</v>
          </cell>
          <cell r="K1355" t="str">
            <v>Solar (Ground Mounted)</v>
          </cell>
          <cell r="L1355" t="str">
            <v>Solar</v>
          </cell>
          <cell r="M1355" t="str">
            <v>Dx</v>
          </cell>
          <cell r="N1355" t="str">
            <v>Harty</v>
          </cell>
          <cell r="O1355" t="str">
            <v>Cochrane</v>
          </cell>
          <cell r="P1355" t="str">
            <v>Northeast</v>
          </cell>
        </row>
        <row r="1356">
          <cell r="C1356" t="str">
            <v>Chad Fischer Solar</v>
          </cell>
          <cell r="D1356" t="str">
            <v>C.W. Fischer Farms Ltd.</v>
          </cell>
          <cell r="E1356" t="str">
            <v>CO</v>
          </cell>
          <cell r="F1356">
            <v>41029</v>
          </cell>
          <cell r="G1356">
            <v>41046</v>
          </cell>
          <cell r="H1356">
            <v>48350</v>
          </cell>
          <cell r="I1356" t="str">
            <v>19 years, 11 months, 29 days</v>
          </cell>
          <cell r="J1356" t="str">
            <v>Renewables</v>
          </cell>
          <cell r="K1356" t="str">
            <v>Solar (Rooftop)</v>
          </cell>
          <cell r="L1356" t="str">
            <v>Solar</v>
          </cell>
          <cell r="M1356" t="str">
            <v>Dx</v>
          </cell>
          <cell r="N1356" t="str">
            <v>Brussels</v>
          </cell>
          <cell r="O1356" t="str">
            <v>Huron</v>
          </cell>
          <cell r="P1356" t="str">
            <v>Southwest</v>
          </cell>
        </row>
        <row r="1357">
          <cell r="C1357" t="str">
            <v>4131 Brock Road</v>
          </cell>
          <cell r="D1357" t="str">
            <v>PSI Solar Finance 1 Limited Partnership</v>
          </cell>
          <cell r="E1357" t="str">
            <v>CO</v>
          </cell>
          <cell r="F1357">
            <v>41369</v>
          </cell>
          <cell r="G1357">
            <v>41529</v>
          </cell>
          <cell r="H1357">
            <v>48673</v>
          </cell>
          <cell r="I1357" t="str">
            <v>19 years, 6 months, 23 days</v>
          </cell>
          <cell r="J1357" t="str">
            <v>Renewables</v>
          </cell>
          <cell r="K1357" t="str">
            <v>Solar (Rooftop)</v>
          </cell>
          <cell r="L1357" t="str">
            <v>Solar</v>
          </cell>
          <cell r="M1357" t="str">
            <v>Dx</v>
          </cell>
          <cell r="N1357" t="str">
            <v>Uxbridge</v>
          </cell>
          <cell r="O1357" t="str">
            <v>Durham</v>
          </cell>
          <cell r="P1357" t="str">
            <v>Essa</v>
          </cell>
        </row>
        <row r="1358">
          <cell r="C1358" t="str">
            <v>Intech number 1 - N0L 2C0</v>
          </cell>
          <cell r="D1358" t="str">
            <v>Intech Clean Energy Inc.</v>
          </cell>
          <cell r="E1358" t="str">
            <v>CO</v>
          </cell>
          <cell r="F1358">
            <v>41827</v>
          </cell>
          <cell r="G1358">
            <v>41859</v>
          </cell>
          <cell r="H1358">
            <v>49131</v>
          </cell>
          <cell r="I1358" t="str">
            <v>19 years, 10 months, 28 days</v>
          </cell>
          <cell r="J1358" t="str">
            <v>Renewables</v>
          </cell>
          <cell r="K1358" t="str">
            <v>Solar (Ground Mounted)</v>
          </cell>
          <cell r="L1358" t="str">
            <v>Solar</v>
          </cell>
          <cell r="M1358" t="str">
            <v>Dx</v>
          </cell>
          <cell r="N1358" t="str">
            <v>Rodney</v>
          </cell>
          <cell r="O1358" t="str">
            <v>Elgin</v>
          </cell>
          <cell r="P1358" t="str">
            <v>West</v>
          </cell>
        </row>
        <row r="1359">
          <cell r="C1359" t="str">
            <v>F.J. Horgan PV System</v>
          </cell>
          <cell r="D1359" t="str">
            <v>City of Toronto</v>
          </cell>
          <cell r="E1359" t="str">
            <v>CO</v>
          </cell>
          <cell r="F1359">
            <v>41723</v>
          </cell>
          <cell r="G1359">
            <v>41179</v>
          </cell>
          <cell r="H1359">
            <v>48483</v>
          </cell>
          <cell r="I1359" t="str">
            <v>19 years, 11 months, 30 days</v>
          </cell>
          <cell r="J1359" t="str">
            <v>Renewables</v>
          </cell>
          <cell r="K1359" t="str">
            <v>Solar (Rooftop)</v>
          </cell>
          <cell r="L1359" t="str">
            <v>Solar</v>
          </cell>
          <cell r="M1359" t="str">
            <v>Dx</v>
          </cell>
          <cell r="N1359" t="str">
            <v>Toronto</v>
          </cell>
          <cell r="O1359" t="str">
            <v>Toronto</v>
          </cell>
          <cell r="P1359" t="str">
            <v>Toronto</v>
          </cell>
        </row>
        <row r="1360">
          <cell r="C1360" t="str">
            <v>Bishop Marrocco Solar Power Project</v>
          </cell>
          <cell r="D1360" t="str">
            <v>Toronto Catholic District School Board</v>
          </cell>
          <cell r="E1360" t="str">
            <v>CO</v>
          </cell>
          <cell r="F1360">
            <v>41818</v>
          </cell>
          <cell r="G1360">
            <v>41068</v>
          </cell>
          <cell r="H1360">
            <v>48372</v>
          </cell>
          <cell r="I1360" t="str">
            <v>19 years, 11 months, 30 days</v>
          </cell>
          <cell r="J1360" t="str">
            <v>Renewables</v>
          </cell>
          <cell r="K1360" t="str">
            <v>Solar (Rooftop)</v>
          </cell>
          <cell r="L1360" t="str">
            <v>Solar</v>
          </cell>
          <cell r="M1360" t="str">
            <v>Dx</v>
          </cell>
          <cell r="N1360" t="str">
            <v>Toronto</v>
          </cell>
          <cell r="O1360" t="str">
            <v>Toronto</v>
          </cell>
          <cell r="P1360" t="str">
            <v>Toronto</v>
          </cell>
        </row>
        <row r="1361">
          <cell r="C1361" t="str">
            <v>(F43) Real Canadian Wholesale Club Glen Hill Dr</v>
          </cell>
          <cell r="D1361" t="str">
            <v>Firelight Solar LP</v>
          </cell>
          <cell r="E1361" t="str">
            <v>CO</v>
          </cell>
          <cell r="F1361">
            <v>41730</v>
          </cell>
          <cell r="G1361">
            <v>41663</v>
          </cell>
          <cell r="H1361">
            <v>48967</v>
          </cell>
          <cell r="I1361" t="str">
            <v>19 years, 11 months, 30 days</v>
          </cell>
          <cell r="J1361" t="str">
            <v>Renewables</v>
          </cell>
          <cell r="K1361" t="str">
            <v>Solar (Rooftop)</v>
          </cell>
          <cell r="L1361" t="str">
            <v>Solar</v>
          </cell>
          <cell r="M1361" t="str">
            <v>Dx</v>
          </cell>
          <cell r="N1361" t="str">
            <v>Whitby</v>
          </cell>
          <cell r="O1361" t="str">
            <v>Durham</v>
          </cell>
          <cell r="P1361" t="str">
            <v>Toronto</v>
          </cell>
        </row>
        <row r="1362">
          <cell r="C1362" t="str">
            <v>1647 Galt Street</v>
          </cell>
          <cell r="D1362" t="str">
            <v>Bonar Enterprises</v>
          </cell>
          <cell r="E1362" t="str">
            <v>CO</v>
          </cell>
          <cell r="F1362">
            <v>41796</v>
          </cell>
          <cell r="G1362">
            <v>41282</v>
          </cell>
          <cell r="H1362">
            <v>48586</v>
          </cell>
          <cell r="I1362" t="str">
            <v>19 years, 11 months, 30 days</v>
          </cell>
          <cell r="J1362" t="str">
            <v>Renewables</v>
          </cell>
          <cell r="K1362" t="str">
            <v>Solar (Ground Mounted)</v>
          </cell>
          <cell r="L1362" t="str">
            <v>Solar</v>
          </cell>
          <cell r="M1362" t="str">
            <v>Dx</v>
          </cell>
          <cell r="N1362" t="str">
            <v>Bath</v>
          </cell>
          <cell r="O1362" t="str">
            <v>Lennox and Addington</v>
          </cell>
          <cell r="P1362" t="str">
            <v>East</v>
          </cell>
        </row>
        <row r="1363">
          <cell r="C1363" t="str">
            <v>Remington - Brampton (271 Glidden Rd)</v>
          </cell>
          <cell r="D1363" t="str">
            <v>Firelight Solar LP</v>
          </cell>
          <cell r="E1363" t="str">
            <v>CO</v>
          </cell>
          <cell r="F1363">
            <v>41790</v>
          </cell>
          <cell r="G1363">
            <v>40893</v>
          </cell>
          <cell r="H1363">
            <v>48197</v>
          </cell>
          <cell r="I1363" t="str">
            <v>19 years, 11 months, 29 days</v>
          </cell>
          <cell r="J1363" t="str">
            <v>Renewables</v>
          </cell>
          <cell r="K1363" t="str">
            <v>Solar (Rooftop)</v>
          </cell>
          <cell r="L1363" t="str">
            <v>Solar</v>
          </cell>
          <cell r="M1363" t="str">
            <v>Dx</v>
          </cell>
          <cell r="N1363" t="str">
            <v>Brampton</v>
          </cell>
          <cell r="O1363" t="str">
            <v>Peel</v>
          </cell>
          <cell r="P1363" t="str">
            <v>Toronto</v>
          </cell>
        </row>
        <row r="1364">
          <cell r="C1364" t="str">
            <v>9000 Bathurst Street</v>
          </cell>
          <cell r="D1364" t="str">
            <v>ASI SPE 106 Inc.</v>
          </cell>
          <cell r="E1364" t="str">
            <v>CO</v>
          </cell>
          <cell r="F1364">
            <v>41813</v>
          </cell>
          <cell r="G1364">
            <v>41996</v>
          </cell>
          <cell r="H1364">
            <v>49300</v>
          </cell>
          <cell r="I1364" t="str">
            <v>19 years, 11 months, 29 days</v>
          </cell>
          <cell r="J1364" t="str">
            <v>Renewables</v>
          </cell>
          <cell r="K1364" t="str">
            <v>Solar (Rooftop)</v>
          </cell>
          <cell r="L1364" t="str">
            <v>Solar</v>
          </cell>
          <cell r="M1364" t="str">
            <v>Dx</v>
          </cell>
          <cell r="N1364" t="str">
            <v>Thornhill</v>
          </cell>
          <cell r="O1364" t="str">
            <v>York</v>
          </cell>
          <cell r="P1364" t="str">
            <v>Toronto</v>
          </cell>
        </row>
        <row r="1365">
          <cell r="C1365" t="str">
            <v>SonPower</v>
          </cell>
          <cell r="D1365" t="str">
            <v>Son Power</v>
          </cell>
          <cell r="E1365" t="str">
            <v>CO</v>
          </cell>
          <cell r="F1365">
            <v>41806</v>
          </cell>
          <cell r="G1365">
            <v>41981</v>
          </cell>
          <cell r="H1365">
            <v>49285</v>
          </cell>
          <cell r="I1365" t="str">
            <v>19 years, 11 months, 29 days</v>
          </cell>
          <cell r="J1365" t="str">
            <v>Renewables</v>
          </cell>
          <cell r="K1365" t="str">
            <v>Solar (Rooftop)</v>
          </cell>
          <cell r="L1365" t="str">
            <v>Solar</v>
          </cell>
          <cell r="M1365" t="str">
            <v>Dx</v>
          </cell>
          <cell r="N1365" t="str">
            <v>Smithville</v>
          </cell>
          <cell r="O1365" t="str">
            <v>Niagara</v>
          </cell>
          <cell r="P1365" t="str">
            <v>Niagara</v>
          </cell>
        </row>
        <row r="1366">
          <cell r="C1366" t="str">
            <v>Canadian Solar Developers Ltd. L.P.#6</v>
          </cell>
          <cell r="D1366" t="str">
            <v>Mann Ground Mount Solar Ltd.</v>
          </cell>
          <cell r="E1366" t="str">
            <v>CO</v>
          </cell>
          <cell r="F1366">
            <v>41510</v>
          </cell>
          <cell r="G1366">
            <v>41779</v>
          </cell>
          <cell r="H1366">
            <v>48814</v>
          </cell>
          <cell r="I1366" t="str">
            <v>19 years, 3 months, 3 days</v>
          </cell>
          <cell r="J1366" t="str">
            <v>Renewables</v>
          </cell>
          <cell r="K1366" t="str">
            <v>Solar (Ground Mounted)</v>
          </cell>
          <cell r="L1366" t="str">
            <v>Solar</v>
          </cell>
          <cell r="M1366" t="str">
            <v>Dx</v>
          </cell>
          <cell r="N1366" t="str">
            <v>Mount Brydges</v>
          </cell>
          <cell r="O1366" t="str">
            <v>Middlesex</v>
          </cell>
          <cell r="P1366" t="str">
            <v>West</v>
          </cell>
        </row>
        <row r="1367">
          <cell r="C1367" t="str">
            <v>Belleville TS Demorestville</v>
          </cell>
          <cell r="D1367" t="str">
            <v>SunE Demorestville LP</v>
          </cell>
          <cell r="E1367" t="str">
            <v>CO</v>
          </cell>
          <cell r="F1367">
            <v>41387</v>
          </cell>
          <cell r="G1367">
            <v>41704</v>
          </cell>
          <cell r="H1367">
            <v>49008</v>
          </cell>
          <cell r="I1367" t="str">
            <v>19 years, 11 months, 27 days</v>
          </cell>
          <cell r="J1367" t="str">
            <v>Renewables</v>
          </cell>
          <cell r="K1367" t="str">
            <v>Solar (Ground Mounted)</v>
          </cell>
          <cell r="L1367" t="str">
            <v>Solar</v>
          </cell>
          <cell r="M1367" t="str">
            <v>Dx</v>
          </cell>
          <cell r="N1367" t="str">
            <v>Demorestville</v>
          </cell>
          <cell r="O1367" t="str">
            <v>Prince Edward</v>
          </cell>
          <cell r="P1367" t="str">
            <v>East</v>
          </cell>
        </row>
        <row r="1368">
          <cell r="C1368" t="str">
            <v>CEPEO Elementary Gisele Lalonde</v>
          </cell>
          <cell r="D1368" t="str">
            <v>Ameresco CEPEO Solar Inc.</v>
          </cell>
          <cell r="E1368" t="str">
            <v>CO</v>
          </cell>
          <cell r="F1368">
            <v>41029</v>
          </cell>
          <cell r="G1368">
            <v>41014</v>
          </cell>
          <cell r="H1368">
            <v>48318</v>
          </cell>
          <cell r="I1368" t="str">
            <v>19 years, 11 months, 30 days</v>
          </cell>
          <cell r="J1368" t="str">
            <v>Renewables</v>
          </cell>
          <cell r="K1368" t="str">
            <v>Solar (Rooftop)</v>
          </cell>
          <cell r="L1368" t="str">
            <v>Solar</v>
          </cell>
          <cell r="M1368" t="str">
            <v>Dx</v>
          </cell>
          <cell r="N1368" t="str">
            <v>Ottawa</v>
          </cell>
          <cell r="O1368" t="str">
            <v>Ottawa</v>
          </cell>
          <cell r="P1368" t="str">
            <v>Ottawa</v>
          </cell>
        </row>
        <row r="1369">
          <cell r="C1369" t="str">
            <v>East Lake St. Clair Wind</v>
          </cell>
          <cell r="D1369" t="str">
            <v>East Lake St. Clair Wind LP</v>
          </cell>
          <cell r="E1369" t="str">
            <v>CO</v>
          </cell>
          <cell r="F1369">
            <v>41825</v>
          </cell>
          <cell r="G1369">
            <v>41416</v>
          </cell>
          <cell r="H1369">
            <v>48720</v>
          </cell>
          <cell r="I1369" t="str">
            <v>19 years, 11 months, 29 days</v>
          </cell>
          <cell r="J1369" t="str">
            <v>Renewables</v>
          </cell>
          <cell r="K1369" t="str">
            <v>Wind (On-Shore)</v>
          </cell>
          <cell r="L1369" t="str">
            <v>Wind</v>
          </cell>
          <cell r="M1369" t="str">
            <v>Tx</v>
          </cell>
          <cell r="N1369" t="str">
            <v>Wallaceburg</v>
          </cell>
          <cell r="O1369" t="str">
            <v>Chatham-Kent</v>
          </cell>
          <cell r="P1369" t="str">
            <v>West</v>
          </cell>
        </row>
        <row r="1370">
          <cell r="C1370" t="str">
            <v>Kempfarms #1</v>
          </cell>
          <cell r="D1370" t="str">
            <v>Kemp Farms Inc. Orville Gordon Kemp</v>
          </cell>
          <cell r="E1370" t="str">
            <v>CO</v>
          </cell>
          <cell r="F1370">
            <v>41029</v>
          </cell>
          <cell r="G1370">
            <v>40869</v>
          </cell>
          <cell r="H1370">
            <v>48173</v>
          </cell>
          <cell r="I1370" t="str">
            <v>19 years, 11 months, 30 days</v>
          </cell>
          <cell r="J1370" t="str">
            <v>Renewables</v>
          </cell>
          <cell r="K1370" t="str">
            <v>Solar (Rooftop)</v>
          </cell>
          <cell r="L1370" t="str">
            <v>Solar</v>
          </cell>
          <cell r="M1370" t="str">
            <v>Dx</v>
          </cell>
          <cell r="N1370" t="str">
            <v>Carp</v>
          </cell>
          <cell r="O1370" t="str">
            <v>Ottawa</v>
          </cell>
          <cell r="P1370" t="str">
            <v>Ottawa</v>
          </cell>
        </row>
        <row r="1371">
          <cell r="C1371" t="str">
            <v>The Tannery</v>
          </cell>
          <cell r="D1371" t="str">
            <v>Allied Properties REIT</v>
          </cell>
          <cell r="E1371" t="str">
            <v>CO</v>
          </cell>
          <cell r="F1371">
            <v>41825</v>
          </cell>
          <cell r="G1371">
            <v>41922</v>
          </cell>
          <cell r="H1371">
            <v>49129</v>
          </cell>
          <cell r="I1371" t="str">
            <v>19 years, 8 months, 24 days</v>
          </cell>
          <cell r="J1371" t="str">
            <v>Renewables</v>
          </cell>
          <cell r="K1371" t="str">
            <v>Solar (Rooftop)</v>
          </cell>
          <cell r="L1371" t="str">
            <v>Solar</v>
          </cell>
          <cell r="M1371" t="str">
            <v>Dx</v>
          </cell>
          <cell r="N1371" t="str">
            <v>Kitchener</v>
          </cell>
          <cell r="O1371" t="str">
            <v>Waterloo</v>
          </cell>
          <cell r="P1371" t="str">
            <v>Southwest</v>
          </cell>
        </row>
        <row r="1372">
          <cell r="C1372" t="str">
            <v>Pointe Aux Roches Wind</v>
          </cell>
          <cell r="D1372" t="str">
            <v>Pointe-Aux-Roches Wind LP</v>
          </cell>
          <cell r="E1372" t="str">
            <v>CO</v>
          </cell>
          <cell r="F1372">
            <v>41107</v>
          </cell>
          <cell r="G1372">
            <v>40884</v>
          </cell>
          <cell r="H1372">
            <v>48188</v>
          </cell>
          <cell r="I1372" t="str">
            <v>19 years, 11 months, 29 days</v>
          </cell>
          <cell r="J1372" t="str">
            <v>Renewables</v>
          </cell>
          <cell r="K1372" t="str">
            <v>Wind (On-Shore)</v>
          </cell>
          <cell r="L1372" t="str">
            <v>Wind</v>
          </cell>
          <cell r="M1372" t="str">
            <v>Tx</v>
          </cell>
          <cell r="N1372" t="str">
            <v>Comber</v>
          </cell>
          <cell r="O1372" t="str">
            <v>Chatham-Kent</v>
          </cell>
          <cell r="P1372" t="str">
            <v>West</v>
          </cell>
        </row>
        <row r="1373">
          <cell r="C1373" t="str">
            <v>(F31) Your Independent Grocer Highway 21</v>
          </cell>
          <cell r="D1373" t="str">
            <v>Firelight Solar LP</v>
          </cell>
          <cell r="E1373" t="str">
            <v>CO</v>
          </cell>
          <cell r="F1373">
            <v>41728</v>
          </cell>
          <cell r="G1373">
            <v>41838</v>
          </cell>
          <cell r="H1373">
            <v>49142</v>
          </cell>
          <cell r="I1373" t="str">
            <v>19 years, 11 months, 29 days</v>
          </cell>
          <cell r="J1373" t="str">
            <v>Renewables</v>
          </cell>
          <cell r="K1373" t="str">
            <v>Solar (Rooftop)</v>
          </cell>
          <cell r="L1373" t="str">
            <v>Solar</v>
          </cell>
          <cell r="M1373" t="str">
            <v>Dx</v>
          </cell>
          <cell r="N1373" t="str">
            <v>Port Elgin</v>
          </cell>
          <cell r="O1373" t="str">
            <v>Bruce</v>
          </cell>
          <cell r="P1373" t="str">
            <v>Bruce</v>
          </cell>
        </row>
        <row r="1374">
          <cell r="C1374" t="str">
            <v>Reko Intl. Group (5390 Brendan Ln)</v>
          </cell>
          <cell r="D1374" t="str">
            <v>Alectra Utilities Corporation</v>
          </cell>
          <cell r="E1374" t="str">
            <v>CO</v>
          </cell>
          <cell r="F1374">
            <v>41841</v>
          </cell>
          <cell r="G1374">
            <v>41810</v>
          </cell>
          <cell r="H1374">
            <v>49114</v>
          </cell>
          <cell r="I1374" t="str">
            <v>19 years, 11 months, 30 days</v>
          </cell>
          <cell r="J1374" t="str">
            <v>Renewables</v>
          </cell>
          <cell r="K1374" t="str">
            <v>Solar (Rooftop)</v>
          </cell>
          <cell r="L1374" t="str">
            <v>Solar</v>
          </cell>
          <cell r="M1374" t="str">
            <v>Dx</v>
          </cell>
          <cell r="N1374" t="str">
            <v>Oldcastle</v>
          </cell>
          <cell r="O1374" t="str">
            <v>Essex</v>
          </cell>
          <cell r="P1374" t="str">
            <v>West</v>
          </cell>
        </row>
        <row r="1375">
          <cell r="C1375" t="str">
            <v>SPV 1 E-Z-Y Way Self Storage</v>
          </cell>
          <cell r="D1375" t="str">
            <v>TerraForm MP Solar, LLC</v>
          </cell>
          <cell r="E1375" t="str">
            <v>CO</v>
          </cell>
          <cell r="F1375">
            <v>41790</v>
          </cell>
          <cell r="G1375">
            <v>41968</v>
          </cell>
          <cell r="H1375">
            <v>49272</v>
          </cell>
          <cell r="I1375" t="str">
            <v>19 years, 11 months, 30 days</v>
          </cell>
          <cell r="J1375" t="str">
            <v>Renewables</v>
          </cell>
          <cell r="K1375" t="str">
            <v>Solar (Rooftop)</v>
          </cell>
          <cell r="L1375" t="str">
            <v>Solar</v>
          </cell>
          <cell r="M1375" t="str">
            <v>Dx</v>
          </cell>
          <cell r="N1375" t="str">
            <v>Windsor</v>
          </cell>
          <cell r="O1375" t="str">
            <v>Essex</v>
          </cell>
          <cell r="P1375" t="str">
            <v>West</v>
          </cell>
        </row>
        <row r="1376">
          <cell r="C1376" t="str">
            <v>H06-1013 MAPLE</v>
          </cell>
          <cell r="D1376" t="str">
            <v>PSI Solar Finance 1 Limited Partnership</v>
          </cell>
          <cell r="E1376" t="str">
            <v>CO</v>
          </cell>
          <cell r="F1376">
            <v>41849</v>
          </cell>
          <cell r="G1376">
            <v>41837</v>
          </cell>
          <cell r="H1376">
            <v>49141</v>
          </cell>
          <cell r="I1376" t="str">
            <v>19 years, 11 months, 29 days</v>
          </cell>
          <cell r="J1376" t="str">
            <v>Renewables</v>
          </cell>
          <cell r="K1376" t="str">
            <v>Solar (Rooftop)</v>
          </cell>
          <cell r="L1376" t="str">
            <v>Solar</v>
          </cell>
          <cell r="M1376" t="str">
            <v>Dx</v>
          </cell>
          <cell r="N1376" t="str">
            <v>Milton</v>
          </cell>
          <cell r="O1376" t="str">
            <v>Halton</v>
          </cell>
          <cell r="P1376" t="str">
            <v>Southwest</v>
          </cell>
        </row>
        <row r="1377">
          <cell r="C1377" t="str">
            <v>Fondations Brisson</v>
          </cell>
          <cell r="D1377" t="str">
            <v>Entreprises Brisson Inc.</v>
          </cell>
          <cell r="E1377" t="str">
            <v>CO</v>
          </cell>
          <cell r="F1377">
            <v>41029</v>
          </cell>
          <cell r="G1377">
            <v>40752</v>
          </cell>
          <cell r="H1377">
            <v>48056</v>
          </cell>
          <cell r="I1377" t="str">
            <v>19 years, 11 months, 29 days</v>
          </cell>
          <cell r="J1377" t="str">
            <v>Renewables</v>
          </cell>
          <cell r="K1377" t="str">
            <v>Solar (Rooftop)</v>
          </cell>
          <cell r="L1377" t="str">
            <v>Solar</v>
          </cell>
          <cell r="M1377" t="str">
            <v>Dx</v>
          </cell>
          <cell r="N1377" t="str">
            <v>Casselman</v>
          </cell>
          <cell r="O1377" t="str">
            <v>Prescott and Russell</v>
          </cell>
          <cell r="P1377" t="str">
            <v>Ottawa</v>
          </cell>
        </row>
        <row r="1378">
          <cell r="C1378" t="str">
            <v>13644 Loyalist Parkway</v>
          </cell>
          <cell r="D1378" t="str">
            <v>CLEAVE ENERGY HOLDINGS LTD.</v>
          </cell>
          <cell r="E1378" t="str">
            <v>CO</v>
          </cell>
          <cell r="F1378">
            <v>41790</v>
          </cell>
          <cell r="G1378">
            <v>41949</v>
          </cell>
          <cell r="H1378">
            <v>49094</v>
          </cell>
          <cell r="I1378" t="str">
            <v>19 years, 6 months, 24 days</v>
          </cell>
          <cell r="J1378" t="str">
            <v>Renewables</v>
          </cell>
          <cell r="K1378" t="str">
            <v>Solar (Rooftop)</v>
          </cell>
          <cell r="L1378" t="str">
            <v>Solar</v>
          </cell>
          <cell r="M1378" t="str">
            <v>Dx</v>
          </cell>
          <cell r="N1378" t="str">
            <v>Picton</v>
          </cell>
          <cell r="O1378" t="str">
            <v>Prince Edward</v>
          </cell>
          <cell r="P1378" t="str">
            <v>East</v>
          </cell>
        </row>
        <row r="1379">
          <cell r="C1379" t="str">
            <v>Betolianni Solar</v>
          </cell>
          <cell r="D1379" t="str">
            <v>Betolianni Solar Ltd.</v>
          </cell>
          <cell r="E1379" t="str">
            <v>CO</v>
          </cell>
          <cell r="F1379">
            <v>41029</v>
          </cell>
          <cell r="G1379">
            <v>40690</v>
          </cell>
          <cell r="H1379">
            <v>47994</v>
          </cell>
          <cell r="I1379" t="str">
            <v>19 years, 11 months, 29 days</v>
          </cell>
          <cell r="J1379" t="str">
            <v>Renewables</v>
          </cell>
          <cell r="K1379" t="str">
            <v>Solar (Rooftop)</v>
          </cell>
          <cell r="L1379" t="str">
            <v>Solar</v>
          </cell>
          <cell r="M1379" t="str">
            <v>Dx</v>
          </cell>
          <cell r="N1379" t="str">
            <v>Bailieboro</v>
          </cell>
          <cell r="O1379" t="str">
            <v>Peterborough</v>
          </cell>
          <cell r="P1379" t="str">
            <v>East</v>
          </cell>
        </row>
        <row r="1380">
          <cell r="C1380" t="str">
            <v>TBHEDI-2</v>
          </cell>
          <cell r="D1380" t="str">
            <v>Synergy North Corporation</v>
          </cell>
          <cell r="E1380" t="str">
            <v>CO</v>
          </cell>
          <cell r="F1380">
            <v>41841</v>
          </cell>
          <cell r="G1380">
            <v>41527</v>
          </cell>
          <cell r="H1380">
            <v>48831</v>
          </cell>
          <cell r="I1380" t="str">
            <v>19 years, 11 months, 30 days</v>
          </cell>
          <cell r="J1380" t="str">
            <v>Renewables</v>
          </cell>
          <cell r="K1380" t="str">
            <v>Solar (Rooftop)</v>
          </cell>
          <cell r="L1380" t="str">
            <v>Solar</v>
          </cell>
          <cell r="M1380" t="str">
            <v>Dx</v>
          </cell>
          <cell r="N1380" t="str">
            <v>Thunder Bay</v>
          </cell>
          <cell r="O1380" t="str">
            <v>Thunder Bay</v>
          </cell>
          <cell r="P1380" t="str">
            <v>Northwest</v>
          </cell>
        </row>
        <row r="1381">
          <cell r="C1381" t="str">
            <v>Algoma orchards</v>
          </cell>
          <cell r="D1381" t="str">
            <v>Brightroof Solar Limited Partnership</v>
          </cell>
          <cell r="E1381" t="str">
            <v>CO</v>
          </cell>
          <cell r="F1381">
            <v>41806</v>
          </cell>
          <cell r="G1381">
            <v>41089</v>
          </cell>
          <cell r="H1381">
            <v>48393</v>
          </cell>
          <cell r="I1381" t="str">
            <v>19 years, 11 months, 30 days</v>
          </cell>
          <cell r="J1381" t="str">
            <v>Renewables</v>
          </cell>
          <cell r="K1381" t="str">
            <v>Solar (Rooftop)</v>
          </cell>
          <cell r="L1381" t="str">
            <v>Solar</v>
          </cell>
          <cell r="M1381" t="str">
            <v>Dx</v>
          </cell>
          <cell r="N1381" t="str">
            <v>Bowmanville</v>
          </cell>
          <cell r="O1381" t="str">
            <v>Durham</v>
          </cell>
          <cell r="P1381" t="str">
            <v>Toronto</v>
          </cell>
        </row>
        <row r="1382">
          <cell r="C1382" t="str">
            <v>ROW - 215 Lorraine</v>
          </cell>
          <cell r="D1382" t="str">
            <v>The Regional Municipality of Waterloo</v>
          </cell>
          <cell r="E1382" t="str">
            <v>CO</v>
          </cell>
          <cell r="F1382">
            <v>41461</v>
          </cell>
          <cell r="G1382">
            <v>41015</v>
          </cell>
          <cell r="H1382">
            <v>48319</v>
          </cell>
          <cell r="I1382" t="str">
            <v>19 years, 11 months, 30 days</v>
          </cell>
          <cell r="J1382" t="str">
            <v>Renewables</v>
          </cell>
          <cell r="K1382" t="str">
            <v>Solar (Rooftop)</v>
          </cell>
          <cell r="L1382" t="str">
            <v>Solar</v>
          </cell>
          <cell r="M1382" t="str">
            <v>Dx</v>
          </cell>
          <cell r="N1382" t="str">
            <v>Kitchener</v>
          </cell>
          <cell r="O1382" t="str">
            <v>Waterloo</v>
          </cell>
          <cell r="P1382" t="str">
            <v>Southwest</v>
          </cell>
        </row>
        <row r="1383">
          <cell r="C1383" t="str">
            <v>Horizon Utilities - Nebo Road Location</v>
          </cell>
          <cell r="D1383" t="str">
            <v>Solar Sunbelt General Partnership</v>
          </cell>
          <cell r="E1383" t="str">
            <v>CO</v>
          </cell>
          <cell r="F1383">
            <v>41811</v>
          </cell>
          <cell r="G1383">
            <v>41205</v>
          </cell>
          <cell r="H1383">
            <v>48509</v>
          </cell>
          <cell r="I1383" t="str">
            <v>19 years, 11 months, 29 days</v>
          </cell>
          <cell r="J1383" t="str">
            <v>Renewables</v>
          </cell>
          <cell r="K1383" t="str">
            <v>Solar (Rooftop)</v>
          </cell>
          <cell r="L1383" t="str">
            <v>Solar</v>
          </cell>
          <cell r="M1383" t="str">
            <v>Dx</v>
          </cell>
          <cell r="N1383" t="str">
            <v>Hamilton</v>
          </cell>
          <cell r="O1383" t="str">
            <v>Hamilton</v>
          </cell>
          <cell r="P1383" t="str">
            <v>Southwest</v>
          </cell>
        </row>
        <row r="1384">
          <cell r="C1384" t="str">
            <v>Gananoque-FH2</v>
          </cell>
          <cell r="D1384" t="str">
            <v>Crosscurrent Energy Corp.</v>
          </cell>
          <cell r="E1384" t="str">
            <v>CO</v>
          </cell>
          <cell r="F1384">
            <v>41822</v>
          </cell>
          <cell r="G1384">
            <v>41996</v>
          </cell>
          <cell r="H1384">
            <v>49300</v>
          </cell>
          <cell r="I1384" t="str">
            <v>19 years, 11 months, 29 days</v>
          </cell>
          <cell r="J1384" t="str">
            <v>Renewables</v>
          </cell>
          <cell r="K1384" t="str">
            <v>Solar (Rooftop)</v>
          </cell>
          <cell r="L1384" t="str">
            <v>Solar</v>
          </cell>
          <cell r="M1384" t="str">
            <v>Dx</v>
          </cell>
          <cell r="N1384" t="str">
            <v>Gananoque</v>
          </cell>
          <cell r="O1384" t="str">
            <v>Leeds and Grenville</v>
          </cell>
          <cell r="P1384" t="str">
            <v>East</v>
          </cell>
        </row>
        <row r="1385">
          <cell r="C1385" t="str">
            <v>jdonkers</v>
          </cell>
          <cell r="D1385" t="str">
            <v>Mr. John Donkers Ms. Linda Donkers</v>
          </cell>
          <cell r="E1385" t="str">
            <v>CO</v>
          </cell>
          <cell r="F1385">
            <v>41797</v>
          </cell>
          <cell r="G1385">
            <v>41151</v>
          </cell>
          <cell r="H1385">
            <v>48455</v>
          </cell>
          <cell r="I1385" t="str">
            <v>19 years, 11 months, 30 days</v>
          </cell>
          <cell r="J1385" t="str">
            <v>Renewables</v>
          </cell>
          <cell r="K1385" t="str">
            <v>Solar (Rooftop)</v>
          </cell>
          <cell r="L1385" t="str">
            <v>Solar</v>
          </cell>
          <cell r="M1385" t="str">
            <v>Dx</v>
          </cell>
          <cell r="N1385" t="str">
            <v>Monkton</v>
          </cell>
          <cell r="O1385" t="str">
            <v>Perth</v>
          </cell>
          <cell r="P1385" t="str">
            <v>Southwest</v>
          </cell>
        </row>
        <row r="1386">
          <cell r="C1386" t="str">
            <v>(F50) No Frills Second Line</v>
          </cell>
          <cell r="D1386" t="str">
            <v>Firelight Solar LP</v>
          </cell>
          <cell r="E1386" t="str">
            <v>CO</v>
          </cell>
          <cell r="F1386">
            <v>41723</v>
          </cell>
          <cell r="G1386">
            <v>41683</v>
          </cell>
          <cell r="H1386">
            <v>48987</v>
          </cell>
          <cell r="I1386" t="str">
            <v>19 years, 11 months, 30 days</v>
          </cell>
          <cell r="J1386" t="str">
            <v>Renewables</v>
          </cell>
          <cell r="K1386" t="str">
            <v>Solar (Rooftop)</v>
          </cell>
          <cell r="L1386" t="str">
            <v>Solar</v>
          </cell>
          <cell r="M1386" t="str">
            <v>Dx</v>
          </cell>
          <cell r="N1386" t="str">
            <v>Shelburne</v>
          </cell>
          <cell r="O1386" t="str">
            <v>Dufferin</v>
          </cell>
          <cell r="P1386" t="str">
            <v>Southwest</v>
          </cell>
        </row>
        <row r="1387">
          <cell r="C1387" t="str">
            <v>jazzsolar_0001</v>
          </cell>
          <cell r="D1387" t="str">
            <v>P. &amp; H. Koch Farms Inc.</v>
          </cell>
          <cell r="E1387" t="str">
            <v>CO</v>
          </cell>
          <cell r="F1387">
            <v>41825</v>
          </cell>
          <cell r="G1387">
            <v>41138</v>
          </cell>
          <cell r="H1387">
            <v>48442</v>
          </cell>
          <cell r="I1387" t="str">
            <v>19 years, 11 months, 30 days</v>
          </cell>
          <cell r="J1387" t="str">
            <v>Renewables</v>
          </cell>
          <cell r="K1387" t="str">
            <v>Solar (Rooftop)</v>
          </cell>
          <cell r="L1387" t="str">
            <v>Solar</v>
          </cell>
          <cell r="M1387" t="str">
            <v>Dx</v>
          </cell>
          <cell r="N1387" t="str">
            <v>Lefaivre</v>
          </cell>
          <cell r="O1387" t="str">
            <v>Prescott and Russell</v>
          </cell>
          <cell r="P1387" t="str">
            <v>Ottawa</v>
          </cell>
        </row>
        <row r="1388">
          <cell r="C1388" t="str">
            <v>25 Consumers Drive</v>
          </cell>
          <cell r="D1388" t="str">
            <v>TerraForm MP Solar, LLC</v>
          </cell>
          <cell r="E1388" t="str">
            <v>CO</v>
          </cell>
          <cell r="F1388">
            <v>41820</v>
          </cell>
          <cell r="G1388">
            <v>41076</v>
          </cell>
          <cell r="H1388">
            <v>48380</v>
          </cell>
          <cell r="I1388" t="str">
            <v>19 years, 11 months, 30 days</v>
          </cell>
          <cell r="J1388" t="str">
            <v>Renewables</v>
          </cell>
          <cell r="K1388" t="str">
            <v>Solar (Rooftop)</v>
          </cell>
          <cell r="L1388" t="str">
            <v>Solar</v>
          </cell>
          <cell r="M1388" t="str">
            <v>Dx</v>
          </cell>
          <cell r="N1388" t="str">
            <v>Whitby</v>
          </cell>
          <cell r="O1388" t="str">
            <v>Durham</v>
          </cell>
          <cell r="P1388" t="str">
            <v>Toronto</v>
          </cell>
        </row>
        <row r="1389">
          <cell r="C1389" t="str">
            <v>H06-16775 HWY #12</v>
          </cell>
          <cell r="D1389" t="str">
            <v>PSI Solar Finance 1 Limited Partnership</v>
          </cell>
          <cell r="E1389" t="str">
            <v>CO</v>
          </cell>
          <cell r="F1389">
            <v>41805</v>
          </cell>
          <cell r="G1389">
            <v>41845</v>
          </cell>
          <cell r="H1389">
            <v>49149</v>
          </cell>
          <cell r="I1389" t="str">
            <v>19 years, 11 months, 29 days</v>
          </cell>
          <cell r="J1389" t="str">
            <v>Renewables</v>
          </cell>
          <cell r="K1389" t="str">
            <v>Solar (Rooftop)</v>
          </cell>
          <cell r="L1389" t="str">
            <v>Solar</v>
          </cell>
          <cell r="M1389" t="str">
            <v>Dx</v>
          </cell>
          <cell r="N1389" t="str">
            <v>Midland</v>
          </cell>
          <cell r="O1389" t="str">
            <v>Simcoe</v>
          </cell>
          <cell r="P1389" t="str">
            <v>Essa</v>
          </cell>
        </row>
        <row r="1390">
          <cell r="C1390" t="str">
            <v>H06-50 RED MAPLE</v>
          </cell>
          <cell r="D1390" t="str">
            <v>PSI Solar Finance 1 Limited Partnership</v>
          </cell>
          <cell r="E1390" t="str">
            <v>CO</v>
          </cell>
          <cell r="F1390">
            <v>41862</v>
          </cell>
          <cell r="G1390">
            <v>41828</v>
          </cell>
          <cell r="H1390">
            <v>49132</v>
          </cell>
          <cell r="I1390" t="str">
            <v>19 years, 11 months, 29 days</v>
          </cell>
          <cell r="J1390" t="str">
            <v>Renewables</v>
          </cell>
          <cell r="K1390" t="str">
            <v>Solar (Rooftop)</v>
          </cell>
          <cell r="L1390" t="str">
            <v>Solar</v>
          </cell>
          <cell r="M1390" t="str">
            <v>Dx</v>
          </cell>
          <cell r="N1390" t="str">
            <v>Richmond Hill</v>
          </cell>
          <cell r="O1390" t="str">
            <v>York</v>
          </cell>
          <cell r="P1390" t="str">
            <v>Toronto</v>
          </cell>
        </row>
        <row r="1391">
          <cell r="C1391" t="str">
            <v>REX</v>
          </cell>
          <cell r="D1391" t="str">
            <v>4173104 Canada Inc.</v>
          </cell>
          <cell r="E1391" t="str">
            <v>CO</v>
          </cell>
          <cell r="F1391">
            <v>41345</v>
          </cell>
          <cell r="G1391">
            <v>41389</v>
          </cell>
          <cell r="H1391">
            <v>48649</v>
          </cell>
          <cell r="I1391" t="str">
            <v>19 years, 10 months, 14 days</v>
          </cell>
          <cell r="J1391" t="str">
            <v>Renewables</v>
          </cell>
          <cell r="K1391" t="str">
            <v>Solar (Rooftop)</v>
          </cell>
          <cell r="L1391" t="str">
            <v>Solar</v>
          </cell>
          <cell r="M1391" t="str">
            <v>Dx</v>
          </cell>
          <cell r="N1391" t="str">
            <v>Concord</v>
          </cell>
          <cell r="O1391" t="str">
            <v>York</v>
          </cell>
          <cell r="P1391" t="str">
            <v>Toronto</v>
          </cell>
        </row>
        <row r="1392">
          <cell r="C1392" t="str">
            <v>H06-350 CENTENNIAL</v>
          </cell>
          <cell r="D1392" t="str">
            <v>PSI Solar Finance 1 Limited Partnership</v>
          </cell>
          <cell r="E1392" t="str">
            <v>CO</v>
          </cell>
          <cell r="F1392">
            <v>41717</v>
          </cell>
          <cell r="G1392">
            <v>41851</v>
          </cell>
          <cell r="H1392">
            <v>49155</v>
          </cell>
          <cell r="I1392" t="str">
            <v>19 years, 11 months, 29 days</v>
          </cell>
          <cell r="J1392" t="str">
            <v>Renewables</v>
          </cell>
          <cell r="K1392" t="str">
            <v>Solar (Rooftop)</v>
          </cell>
          <cell r="L1392" t="str">
            <v>Solar</v>
          </cell>
          <cell r="M1392" t="str">
            <v>Dx</v>
          </cell>
          <cell r="N1392" t="str">
            <v>Hamilton</v>
          </cell>
          <cell r="O1392" t="str">
            <v>Hamilton</v>
          </cell>
          <cell r="P1392" t="str">
            <v>Southwest</v>
          </cell>
        </row>
        <row r="1393">
          <cell r="C1393" t="str">
            <v>994 Westport</v>
          </cell>
          <cell r="D1393" t="str">
            <v>Solaire Kapuskasing Solar Inc.</v>
          </cell>
          <cell r="E1393" t="str">
            <v>CO</v>
          </cell>
          <cell r="F1393">
            <v>41827</v>
          </cell>
          <cell r="G1393">
            <v>41866</v>
          </cell>
          <cell r="H1393">
            <v>49131</v>
          </cell>
          <cell r="I1393" t="str">
            <v>19 years, 10 months, 21 days</v>
          </cell>
          <cell r="J1393" t="str">
            <v>Renewables</v>
          </cell>
          <cell r="K1393" t="str">
            <v>Solar (Rooftop)</v>
          </cell>
          <cell r="L1393" t="str">
            <v>Solar</v>
          </cell>
          <cell r="M1393" t="str">
            <v>Dx</v>
          </cell>
          <cell r="N1393" t="str">
            <v>Mississauga</v>
          </cell>
          <cell r="O1393" t="str">
            <v>Peel</v>
          </cell>
          <cell r="P1393" t="str">
            <v>Toronto</v>
          </cell>
        </row>
        <row r="1394">
          <cell r="C1394" t="str">
            <v>MIKKON MACHINE TOOLS LTD</v>
          </cell>
          <cell r="D1394" t="str">
            <v>Alectra Utilities Corporation</v>
          </cell>
          <cell r="E1394" t="str">
            <v>CO</v>
          </cell>
          <cell r="F1394">
            <v>41818</v>
          </cell>
          <cell r="G1394">
            <v>41768</v>
          </cell>
          <cell r="H1394">
            <v>49072</v>
          </cell>
          <cell r="I1394" t="str">
            <v>19 years, 11 months, 29 days</v>
          </cell>
          <cell r="J1394" t="str">
            <v>Renewables</v>
          </cell>
          <cell r="K1394" t="str">
            <v>Solar (Rooftop)</v>
          </cell>
          <cell r="L1394" t="str">
            <v>Solar</v>
          </cell>
          <cell r="M1394" t="str">
            <v>Dx</v>
          </cell>
          <cell r="N1394" t="str">
            <v>Oldcastle</v>
          </cell>
          <cell r="O1394" t="str">
            <v>Essex</v>
          </cell>
          <cell r="P1394" t="str">
            <v>West</v>
          </cell>
        </row>
        <row r="1395">
          <cell r="C1395" t="str">
            <v>(C62) Loblaws Dupont Avenue</v>
          </cell>
          <cell r="D1395" t="str">
            <v>Firelight Solar LP</v>
          </cell>
          <cell r="E1395" t="str">
            <v>CO</v>
          </cell>
          <cell r="F1395">
            <v>41724</v>
          </cell>
          <cell r="G1395">
            <v>41543</v>
          </cell>
          <cell r="H1395">
            <v>48847</v>
          </cell>
          <cell r="I1395" t="str">
            <v>19 years, 11 months, 30 days</v>
          </cell>
          <cell r="J1395" t="str">
            <v>Renewables</v>
          </cell>
          <cell r="K1395" t="str">
            <v>Solar (Rooftop)</v>
          </cell>
          <cell r="L1395" t="str">
            <v>Solar</v>
          </cell>
          <cell r="M1395" t="str">
            <v>Dx</v>
          </cell>
          <cell r="N1395" t="str">
            <v>Toronto</v>
          </cell>
          <cell r="O1395" t="str">
            <v>Toronto</v>
          </cell>
          <cell r="P1395" t="str">
            <v>Toronto</v>
          </cell>
        </row>
        <row r="1396">
          <cell r="C1396" t="str">
            <v>A10-143 Heart Lake</v>
          </cell>
          <cell r="D1396" t="str">
            <v>Fengate (FGDI) Limited Partnership</v>
          </cell>
          <cell r="E1396" t="str">
            <v>CO</v>
          </cell>
          <cell r="F1396">
            <v>41825</v>
          </cell>
          <cell r="G1396">
            <v>42048</v>
          </cell>
          <cell r="H1396">
            <v>49352</v>
          </cell>
          <cell r="I1396" t="str">
            <v>19 years, 11 months, 30 days</v>
          </cell>
          <cell r="J1396" t="str">
            <v>Renewables</v>
          </cell>
          <cell r="K1396" t="str">
            <v>Solar (Rooftop)</v>
          </cell>
          <cell r="L1396" t="str">
            <v>Solar</v>
          </cell>
          <cell r="M1396" t="str">
            <v>Dx</v>
          </cell>
          <cell r="N1396" t="str">
            <v>Brampton</v>
          </cell>
          <cell r="O1396" t="str">
            <v>Peel</v>
          </cell>
          <cell r="P1396" t="str">
            <v>Toronto</v>
          </cell>
        </row>
        <row r="1397">
          <cell r="C1397" t="str">
            <v>Real Canadian Superstore Weston Road (C74)</v>
          </cell>
          <cell r="D1397" t="str">
            <v>Firelight Solar LP</v>
          </cell>
          <cell r="E1397" t="str">
            <v>CO</v>
          </cell>
          <cell r="F1397">
            <v>41721</v>
          </cell>
          <cell r="G1397">
            <v>41381</v>
          </cell>
          <cell r="H1397">
            <v>48685</v>
          </cell>
          <cell r="I1397" t="str">
            <v>19 years, 11 months, 30 days</v>
          </cell>
          <cell r="J1397" t="str">
            <v>Renewables</v>
          </cell>
          <cell r="K1397" t="str">
            <v>Solar (Rooftop)</v>
          </cell>
          <cell r="L1397" t="str">
            <v>Solar</v>
          </cell>
          <cell r="M1397" t="str">
            <v>Dx</v>
          </cell>
          <cell r="N1397" t="str">
            <v>Toronto</v>
          </cell>
          <cell r="O1397" t="str">
            <v>Toronto</v>
          </cell>
          <cell r="P1397" t="str">
            <v>Toronto</v>
          </cell>
        </row>
        <row r="1398">
          <cell r="C1398" t="str">
            <v>538680 Ontario Limited</v>
          </cell>
          <cell r="D1398" t="str">
            <v>Alectra Utilities Corporation</v>
          </cell>
          <cell r="E1398" t="str">
            <v>CO</v>
          </cell>
          <cell r="F1398">
            <v>41820</v>
          </cell>
          <cell r="G1398">
            <v>41856</v>
          </cell>
          <cell r="H1398">
            <v>49160</v>
          </cell>
          <cell r="I1398" t="str">
            <v>19 years, 11 months, 30 days</v>
          </cell>
          <cell r="J1398" t="str">
            <v>Renewables</v>
          </cell>
          <cell r="K1398" t="str">
            <v>Solar (Rooftop)</v>
          </cell>
          <cell r="L1398" t="str">
            <v>Solar</v>
          </cell>
          <cell r="M1398" t="str">
            <v>Dx</v>
          </cell>
          <cell r="N1398" t="str">
            <v>Windsor</v>
          </cell>
          <cell r="O1398" t="str">
            <v>Essex</v>
          </cell>
          <cell r="P1398" t="str">
            <v>West</v>
          </cell>
        </row>
        <row r="1399">
          <cell r="C1399" t="str">
            <v>Van Osch Farms</v>
          </cell>
          <cell r="D1399" t="str">
            <v>SE 2011 LP</v>
          </cell>
          <cell r="E1399" t="str">
            <v>CO</v>
          </cell>
          <cell r="F1399">
            <v>41029</v>
          </cell>
          <cell r="G1399">
            <v>40724</v>
          </cell>
          <cell r="H1399">
            <v>48028</v>
          </cell>
          <cell r="I1399" t="str">
            <v>19 years, 11 months, 30 days</v>
          </cell>
          <cell r="J1399" t="str">
            <v>Renewables</v>
          </cell>
          <cell r="K1399" t="str">
            <v>Solar (Rooftop)</v>
          </cell>
          <cell r="L1399" t="str">
            <v>Solar</v>
          </cell>
          <cell r="M1399" t="str">
            <v>Dx</v>
          </cell>
          <cell r="N1399" t="str">
            <v>Ailsa Craig</v>
          </cell>
          <cell r="O1399" t="str">
            <v>Middlesex</v>
          </cell>
          <cell r="P1399" t="str">
            <v>Southwest</v>
          </cell>
        </row>
        <row r="1400">
          <cell r="C1400" t="str">
            <v>Tundra/BJB Farms Project</v>
          </cell>
          <cell r="D1400" t="str">
            <v>Tundra Project Solutions</v>
          </cell>
          <cell r="E1400" t="str">
            <v>CO</v>
          </cell>
          <cell r="F1400">
            <v>42265</v>
          </cell>
          <cell r="G1400">
            <v>42265</v>
          </cell>
          <cell r="H1400">
            <v>49569</v>
          </cell>
          <cell r="I1400" t="str">
            <v>19 years, 11 months, 30 days</v>
          </cell>
          <cell r="J1400" t="str">
            <v>Renewables</v>
          </cell>
          <cell r="K1400" t="str">
            <v>Solar (Rooftop)</v>
          </cell>
          <cell r="L1400" t="str">
            <v>Solar</v>
          </cell>
          <cell r="M1400" t="str">
            <v>Dx</v>
          </cell>
          <cell r="N1400" t="str">
            <v>Hamilton</v>
          </cell>
          <cell r="O1400" t="str">
            <v>Hamilton</v>
          </cell>
          <cell r="P1400" t="str">
            <v>Southwest</v>
          </cell>
        </row>
        <row r="1401">
          <cell r="C1401" t="str">
            <v>8739 South</v>
          </cell>
          <cell r="D1401" t="str">
            <v>Sunnyside Power Company Inc.</v>
          </cell>
          <cell r="E1401" t="str">
            <v>CO</v>
          </cell>
          <cell r="F1401">
            <v>41825</v>
          </cell>
          <cell r="G1401">
            <v>41579</v>
          </cell>
          <cell r="H1401">
            <v>48883</v>
          </cell>
          <cell r="I1401" t="str">
            <v>19 years, 11 months, 30 days</v>
          </cell>
          <cell r="J1401" t="str">
            <v>Renewables</v>
          </cell>
          <cell r="K1401" t="str">
            <v>Solar (Ground Mounted)</v>
          </cell>
          <cell r="L1401" t="str">
            <v>Solar</v>
          </cell>
          <cell r="M1401" t="str">
            <v>Dx</v>
          </cell>
          <cell r="N1401" t="str">
            <v>Westport</v>
          </cell>
          <cell r="O1401" t="str">
            <v>Leeds and Grenville</v>
          </cell>
          <cell r="P1401" t="str">
            <v>East</v>
          </cell>
        </row>
        <row r="1402">
          <cell r="C1402" t="str">
            <v>Kap Solar Park</v>
          </cell>
          <cell r="D1402" t="str">
            <v>New OSPVF 7 Limited Partnership</v>
          </cell>
          <cell r="E1402" t="str">
            <v>CO</v>
          </cell>
          <cell r="F1402">
            <v>41417</v>
          </cell>
          <cell r="G1402">
            <v>41907</v>
          </cell>
          <cell r="H1402">
            <v>49211</v>
          </cell>
          <cell r="I1402" t="str">
            <v>19 years, 11 months, 30 days</v>
          </cell>
          <cell r="J1402" t="str">
            <v>Renewables</v>
          </cell>
          <cell r="K1402" t="str">
            <v>Solar (Ground Mounted)</v>
          </cell>
          <cell r="L1402" t="str">
            <v>Solar</v>
          </cell>
          <cell r="M1402" t="str">
            <v>Dx</v>
          </cell>
          <cell r="N1402" t="str">
            <v>Kapuskasing</v>
          </cell>
          <cell r="O1402" t="str">
            <v>Cochrane</v>
          </cell>
          <cell r="P1402" t="str">
            <v>Northeast</v>
          </cell>
        </row>
        <row r="1403">
          <cell r="C1403" t="str">
            <v>Tecumseh Arena Solar PV Project</v>
          </cell>
          <cell r="D1403" t="str">
            <v>Essex Energy Corporation</v>
          </cell>
          <cell r="E1403" t="str">
            <v>CO</v>
          </cell>
          <cell r="F1403">
            <v>40663</v>
          </cell>
          <cell r="G1403">
            <v>40506</v>
          </cell>
          <cell r="H1403">
            <v>47810</v>
          </cell>
          <cell r="I1403" t="str">
            <v>19 years, 11 months, 30 days</v>
          </cell>
          <cell r="J1403" t="str">
            <v>Renewables</v>
          </cell>
          <cell r="K1403" t="str">
            <v>Solar (Rooftop)</v>
          </cell>
          <cell r="L1403" t="str">
            <v>Solar</v>
          </cell>
          <cell r="M1403" t="str">
            <v>Dx</v>
          </cell>
          <cell r="N1403" t="str">
            <v>Windsor</v>
          </cell>
          <cell r="O1403" t="str">
            <v>Essex</v>
          </cell>
          <cell r="P1403" t="str">
            <v>West</v>
          </cell>
        </row>
        <row r="1404">
          <cell r="C1404" t="str">
            <v>Pioneer Engineering</v>
          </cell>
          <cell r="D1404" t="str">
            <v>SONNEN INC.</v>
          </cell>
          <cell r="E1404" t="str">
            <v>CO</v>
          </cell>
          <cell r="F1404">
            <v>41029</v>
          </cell>
          <cell r="G1404">
            <v>41212</v>
          </cell>
          <cell r="H1404">
            <v>48516</v>
          </cell>
          <cell r="I1404" t="str">
            <v>19 years, 11 months, 29 days</v>
          </cell>
          <cell r="J1404" t="str">
            <v>Renewables</v>
          </cell>
          <cell r="K1404" t="str">
            <v>Solar (Rooftop)</v>
          </cell>
          <cell r="L1404" t="str">
            <v>Solar</v>
          </cell>
          <cell r="M1404" t="str">
            <v>Dx</v>
          </cell>
          <cell r="N1404" t="str">
            <v>Toronto</v>
          </cell>
          <cell r="O1404" t="str">
            <v>Toronto</v>
          </cell>
          <cell r="P1404" t="str">
            <v>Toronto</v>
          </cell>
        </row>
        <row r="1405">
          <cell r="C1405" t="str">
            <v>E01-280 Holiday Inn</v>
          </cell>
          <cell r="D1405" t="str">
            <v>280 Holiday Holdings Ltd.</v>
          </cell>
          <cell r="E1405" t="str">
            <v>CO</v>
          </cell>
          <cell r="F1405">
            <v>41814</v>
          </cell>
          <cell r="G1405">
            <v>41317</v>
          </cell>
          <cell r="H1405">
            <v>48621</v>
          </cell>
          <cell r="I1405" t="str">
            <v>19 years, 11 months, 30 days</v>
          </cell>
          <cell r="J1405" t="str">
            <v>Renewables</v>
          </cell>
          <cell r="K1405" t="str">
            <v>Solar (Rooftop)</v>
          </cell>
          <cell r="L1405" t="str">
            <v>Solar</v>
          </cell>
          <cell r="M1405" t="str">
            <v>Dx</v>
          </cell>
          <cell r="N1405" t="str">
            <v>Cambridge</v>
          </cell>
          <cell r="O1405" t="str">
            <v>Waterloo</v>
          </cell>
          <cell r="P1405" t="str">
            <v>Southwest</v>
          </cell>
        </row>
        <row r="1406">
          <cell r="C1406" t="str">
            <v>Normanby Solar 4</v>
          </cell>
          <cell r="D1406" t="str">
            <v>757182 Ontario Ltd.</v>
          </cell>
          <cell r="E1406" t="str">
            <v>CO</v>
          </cell>
          <cell r="F1406">
            <v>41454</v>
          </cell>
          <cell r="G1406">
            <v>41039</v>
          </cell>
          <cell r="H1406">
            <v>48343</v>
          </cell>
          <cell r="I1406" t="str">
            <v>19 years, 11 months, 29 days</v>
          </cell>
          <cell r="J1406" t="str">
            <v>Renewables</v>
          </cell>
          <cell r="K1406" t="str">
            <v>Solar (Rooftop)</v>
          </cell>
          <cell r="L1406" t="str">
            <v>Solar</v>
          </cell>
          <cell r="M1406" t="str">
            <v>Dx</v>
          </cell>
          <cell r="N1406" t="str">
            <v>Ayton</v>
          </cell>
          <cell r="O1406" t="str">
            <v>Grey</v>
          </cell>
          <cell r="P1406" t="str">
            <v>Southwest</v>
          </cell>
        </row>
        <row r="1407">
          <cell r="C1407" t="str">
            <v>Bow Lake Phase 1</v>
          </cell>
          <cell r="D1407" t="str">
            <v>Nodin Kitagan Limited Partnership</v>
          </cell>
          <cell r="E1407" t="str">
            <v>CO</v>
          </cell>
          <cell r="F1407">
            <v>42151</v>
          </cell>
          <cell r="G1407">
            <v>42226</v>
          </cell>
          <cell r="H1407">
            <v>49530</v>
          </cell>
          <cell r="I1407" t="str">
            <v>19 years, 11 months, 30 days</v>
          </cell>
          <cell r="J1407" t="str">
            <v>Renewables</v>
          </cell>
          <cell r="K1407" t="str">
            <v>Wind (On-Shore)</v>
          </cell>
          <cell r="L1407" t="str">
            <v>Wind</v>
          </cell>
          <cell r="M1407" t="str">
            <v>Tx</v>
          </cell>
          <cell r="N1407" t="str">
            <v>Montreal River Harbour</v>
          </cell>
          <cell r="O1407" t="str">
            <v>Algoma</v>
          </cell>
          <cell r="P1407" t="str">
            <v>Northeast</v>
          </cell>
        </row>
        <row r="1408">
          <cell r="C1408" t="str">
            <v>T04-3429 Kennedy</v>
          </cell>
          <cell r="D1408" t="str">
            <v>Alectra Utilities Corporation</v>
          </cell>
          <cell r="E1408" t="str">
            <v>CO</v>
          </cell>
          <cell r="F1408">
            <v>41737</v>
          </cell>
          <cell r="G1408">
            <v>41955</v>
          </cell>
          <cell r="H1408">
            <v>49259</v>
          </cell>
          <cell r="I1408" t="str">
            <v>19 years, 11 months, 30 days</v>
          </cell>
          <cell r="J1408" t="str">
            <v>Renewables</v>
          </cell>
          <cell r="K1408" t="str">
            <v>Solar (Rooftop)</v>
          </cell>
          <cell r="L1408" t="str">
            <v>Solar</v>
          </cell>
          <cell r="M1408" t="str">
            <v>Dx</v>
          </cell>
          <cell r="N1408" t="str">
            <v>Toronto</v>
          </cell>
          <cell r="O1408" t="str">
            <v>Toronto</v>
          </cell>
          <cell r="P1408" t="str">
            <v>Toronto</v>
          </cell>
        </row>
        <row r="1409">
          <cell r="C1409" t="str">
            <v>(C60) Loblaw Great Food Hurontario</v>
          </cell>
          <cell r="D1409" t="str">
            <v>Firelight Solar LP</v>
          </cell>
          <cell r="E1409" t="str">
            <v>CO</v>
          </cell>
          <cell r="F1409">
            <v>41709</v>
          </cell>
          <cell r="G1409">
            <v>41596</v>
          </cell>
          <cell r="H1409">
            <v>48900</v>
          </cell>
          <cell r="I1409" t="str">
            <v>19 years, 11 months, 30 days</v>
          </cell>
          <cell r="J1409" t="str">
            <v>Renewables</v>
          </cell>
          <cell r="K1409" t="str">
            <v>Solar (Rooftop)</v>
          </cell>
          <cell r="L1409" t="str">
            <v>Solar</v>
          </cell>
          <cell r="M1409" t="str">
            <v>Dx</v>
          </cell>
          <cell r="N1409" t="str">
            <v>Collingwood</v>
          </cell>
          <cell r="O1409" t="str">
            <v>Simcoe</v>
          </cell>
          <cell r="P1409" t="str">
            <v>Southwest</v>
          </cell>
        </row>
        <row r="1410">
          <cell r="C1410" t="str">
            <v>Overdale Solar</v>
          </cell>
          <cell r="D1410" t="str">
            <v>Overdale Farms LTd.</v>
          </cell>
          <cell r="E1410" t="str">
            <v>CO</v>
          </cell>
          <cell r="F1410">
            <v>41790</v>
          </cell>
          <cell r="G1410">
            <v>41095</v>
          </cell>
          <cell r="H1410">
            <v>48399</v>
          </cell>
          <cell r="I1410" t="str">
            <v>19 years, 11 months, 29 days</v>
          </cell>
          <cell r="J1410" t="str">
            <v>Renewables</v>
          </cell>
          <cell r="K1410" t="str">
            <v>Solar (Rooftop)</v>
          </cell>
          <cell r="L1410" t="str">
            <v>Solar</v>
          </cell>
          <cell r="M1410" t="str">
            <v>Dx</v>
          </cell>
          <cell r="N1410" t="str">
            <v>L' Orignal</v>
          </cell>
          <cell r="O1410" t="str">
            <v>Prescott and Russell</v>
          </cell>
          <cell r="P1410" t="str">
            <v>Ottawa</v>
          </cell>
        </row>
        <row r="1411">
          <cell r="C1411" t="str">
            <v>Turn The Boat Around Solar System</v>
          </cell>
          <cell r="D1411" t="str">
            <v>2030 North Talbot Road Inc.</v>
          </cell>
          <cell r="E1411" t="str">
            <v>CO</v>
          </cell>
          <cell r="F1411">
            <v>41721</v>
          </cell>
          <cell r="G1411">
            <v>41872</v>
          </cell>
          <cell r="H1411">
            <v>49176</v>
          </cell>
          <cell r="I1411" t="str">
            <v>19 years, 11 months, 30 days</v>
          </cell>
          <cell r="J1411" t="str">
            <v>Renewables</v>
          </cell>
          <cell r="K1411" t="str">
            <v>Solar (Rooftop)</v>
          </cell>
          <cell r="L1411" t="str">
            <v>Solar</v>
          </cell>
          <cell r="M1411" t="str">
            <v>Dx</v>
          </cell>
          <cell r="N1411" t="str">
            <v>Windsor</v>
          </cell>
          <cell r="O1411" t="str">
            <v>Essex</v>
          </cell>
          <cell r="P1411" t="str">
            <v>West</v>
          </cell>
        </row>
        <row r="1412">
          <cell r="C1412" t="str">
            <v>#68 997431 Hwy #11 North, New Liskeard</v>
          </cell>
          <cell r="D1412" t="str">
            <v>PSI Solar Finance 1 Limited Partnership</v>
          </cell>
          <cell r="E1412" t="str">
            <v>CO</v>
          </cell>
          <cell r="F1412">
            <v>41792</v>
          </cell>
          <cell r="G1412">
            <v>41495</v>
          </cell>
          <cell r="H1412">
            <v>48799</v>
          </cell>
          <cell r="I1412" t="str">
            <v>19 years, 11 months, 30 days</v>
          </cell>
          <cell r="J1412" t="str">
            <v>Renewables</v>
          </cell>
          <cell r="K1412" t="str">
            <v>Solar (Rooftop)</v>
          </cell>
          <cell r="L1412" t="str">
            <v>Solar</v>
          </cell>
          <cell r="M1412" t="str">
            <v>Dx</v>
          </cell>
          <cell r="N1412" t="str">
            <v>New Liskeard</v>
          </cell>
          <cell r="O1412" t="str">
            <v>Timiskaming</v>
          </cell>
          <cell r="P1412" t="str">
            <v>Northeast</v>
          </cell>
        </row>
        <row r="1413">
          <cell r="C1413" t="str">
            <v>Tnt Properties Ltd Solar Project Terrace Bay</v>
          </cell>
          <cell r="D1413" t="str">
            <v>11586203 Canada Inc.</v>
          </cell>
          <cell r="E1413" t="str">
            <v>CO</v>
          </cell>
          <cell r="F1413">
            <v>41724</v>
          </cell>
          <cell r="G1413">
            <v>41173</v>
          </cell>
          <cell r="H1413">
            <v>48477</v>
          </cell>
          <cell r="I1413" t="str">
            <v>19 years, 11 months, 30 days</v>
          </cell>
          <cell r="J1413" t="str">
            <v>Renewables</v>
          </cell>
          <cell r="K1413" t="str">
            <v>Solar (Rooftop)</v>
          </cell>
          <cell r="L1413" t="str">
            <v>Solar</v>
          </cell>
          <cell r="M1413" t="str">
            <v>Dx</v>
          </cell>
          <cell r="N1413" t="str">
            <v>Terrace Bay</v>
          </cell>
          <cell r="O1413" t="str">
            <v>Thunder Bay</v>
          </cell>
          <cell r="P1413" t="str">
            <v>Northwest</v>
          </cell>
        </row>
        <row r="1414">
          <cell r="C1414" t="str">
            <v>O02-745 Smyth</v>
          </cell>
          <cell r="D1414" t="str">
            <v>PSI Solar Finance 1 Limited Partnership</v>
          </cell>
          <cell r="E1414" t="str">
            <v>CO</v>
          </cell>
          <cell r="F1414">
            <v>41832</v>
          </cell>
          <cell r="G1414">
            <v>41940</v>
          </cell>
          <cell r="H1414">
            <v>49136</v>
          </cell>
          <cell r="I1414" t="str">
            <v>19 years, 8 months, 13 days</v>
          </cell>
          <cell r="J1414" t="str">
            <v>Renewables</v>
          </cell>
          <cell r="K1414" t="str">
            <v>Solar (Rooftop)</v>
          </cell>
          <cell r="L1414" t="str">
            <v>Solar</v>
          </cell>
          <cell r="M1414" t="str">
            <v>Dx</v>
          </cell>
          <cell r="N1414" t="str">
            <v>Ottawa</v>
          </cell>
          <cell r="O1414" t="str">
            <v>Ottawa</v>
          </cell>
          <cell r="P1414" t="str">
            <v>Ottawa</v>
          </cell>
        </row>
        <row r="1415">
          <cell r="C1415" t="str">
            <v>10001R - Canada Aviation Museum</v>
          </cell>
          <cell r="D1415" t="str">
            <v>TerraForm MP Solar, LLC</v>
          </cell>
          <cell r="E1415" t="str">
            <v>CO</v>
          </cell>
          <cell r="F1415">
            <v>41510</v>
          </cell>
          <cell r="G1415">
            <v>41677</v>
          </cell>
          <cell r="H1415">
            <v>48981</v>
          </cell>
          <cell r="I1415" t="str">
            <v>19 years, 11 months, 30 days</v>
          </cell>
          <cell r="J1415" t="str">
            <v>Renewables</v>
          </cell>
          <cell r="K1415" t="str">
            <v>Solar (Rooftop)</v>
          </cell>
          <cell r="L1415" t="str">
            <v>Solar</v>
          </cell>
          <cell r="M1415" t="str">
            <v>Dx</v>
          </cell>
          <cell r="N1415" t="str">
            <v>Ottawa</v>
          </cell>
          <cell r="O1415" t="str">
            <v>Ottawa</v>
          </cell>
          <cell r="P1415" t="str">
            <v>Ottawa</v>
          </cell>
        </row>
        <row r="1416">
          <cell r="C1416" t="str">
            <v>Hakkesteegt's Poultry Farm Ltd.</v>
          </cell>
          <cell r="D1416" t="str">
            <v>Hakkesteegt's Poultry Farm Ltd.</v>
          </cell>
          <cell r="E1416" t="str">
            <v>CO</v>
          </cell>
          <cell r="F1416">
            <v>41819</v>
          </cell>
          <cell r="G1416">
            <v>41096</v>
          </cell>
          <cell r="H1416">
            <v>48400</v>
          </cell>
          <cell r="I1416" t="str">
            <v>19 years, 11 months, 29 days</v>
          </cell>
          <cell r="J1416" t="str">
            <v>Renewables</v>
          </cell>
          <cell r="K1416" t="str">
            <v>Solar (Rooftop)</v>
          </cell>
          <cell r="L1416" t="str">
            <v>Solar</v>
          </cell>
          <cell r="M1416" t="str">
            <v>Dx</v>
          </cell>
          <cell r="N1416" t="str">
            <v>Brighton</v>
          </cell>
          <cell r="O1416" t="str">
            <v>Northumberland</v>
          </cell>
          <cell r="P1416" t="str">
            <v>East</v>
          </cell>
        </row>
        <row r="1417">
          <cell r="C1417" t="str">
            <v>GECDSB Tecumseh K-12 Solar Project</v>
          </cell>
          <cell r="D1417" t="str">
            <v>Greater Essex County District School Board</v>
          </cell>
          <cell r="E1417" t="str">
            <v>CO</v>
          </cell>
          <cell r="F1417">
            <v>41813</v>
          </cell>
          <cell r="G1417">
            <v>41086</v>
          </cell>
          <cell r="H1417">
            <v>48390</v>
          </cell>
          <cell r="I1417" t="str">
            <v>19 years, 11 months, 30 days</v>
          </cell>
          <cell r="J1417" t="str">
            <v>Renewables</v>
          </cell>
          <cell r="K1417" t="str">
            <v>Solar (Rooftop)</v>
          </cell>
          <cell r="L1417" t="str">
            <v>Solar</v>
          </cell>
          <cell r="M1417" t="str">
            <v>Dx</v>
          </cell>
          <cell r="N1417" t="str">
            <v>Mcgregor</v>
          </cell>
          <cell r="O1417" t="str">
            <v>Essex</v>
          </cell>
          <cell r="P1417" t="str">
            <v>West</v>
          </cell>
        </row>
        <row r="1418">
          <cell r="C1418" t="str">
            <v>WMS Solar</v>
          </cell>
          <cell r="D1418" t="str">
            <v>Wonderland Solar Inc.</v>
          </cell>
          <cell r="E1418" t="str">
            <v>CO</v>
          </cell>
          <cell r="F1418">
            <v>40663</v>
          </cell>
          <cell r="G1418">
            <v>40661</v>
          </cell>
          <cell r="H1418">
            <v>47965</v>
          </cell>
          <cell r="I1418" t="str">
            <v>19 years, 11 months, 30 days</v>
          </cell>
          <cell r="J1418" t="str">
            <v>Renewables</v>
          </cell>
          <cell r="K1418" t="str">
            <v>Solar (Rooftop)</v>
          </cell>
          <cell r="L1418" t="str">
            <v>Solar</v>
          </cell>
          <cell r="M1418" t="str">
            <v>Dx</v>
          </cell>
          <cell r="N1418" t="str">
            <v>London</v>
          </cell>
          <cell r="O1418" t="str">
            <v>Middlesex</v>
          </cell>
          <cell r="P1418" t="str">
            <v>West</v>
          </cell>
        </row>
        <row r="1419">
          <cell r="C1419" t="str">
            <v>Dimplex Distribution Centre Rooftop PV Project</v>
          </cell>
          <cell r="D1419" t="str">
            <v>Grand River Energy Solutions Corp.</v>
          </cell>
          <cell r="E1419" t="str">
            <v>CO</v>
          </cell>
          <cell r="F1419">
            <v>41854</v>
          </cell>
          <cell r="G1419">
            <v>42037</v>
          </cell>
          <cell r="H1419">
            <v>49341</v>
          </cell>
          <cell r="I1419" t="str">
            <v>19 years, 11 months, 30 days</v>
          </cell>
          <cell r="J1419" t="str">
            <v>Renewables</v>
          </cell>
          <cell r="K1419" t="str">
            <v>Solar (Rooftop)</v>
          </cell>
          <cell r="L1419" t="str">
            <v>Solar</v>
          </cell>
          <cell r="M1419" t="str">
            <v>Dx</v>
          </cell>
          <cell r="N1419" t="str">
            <v>Cambridge</v>
          </cell>
          <cell r="O1419" t="str">
            <v>Waterloo</v>
          </cell>
          <cell r="P1419" t="str">
            <v>Southwest</v>
          </cell>
        </row>
        <row r="1420">
          <cell r="C1420" t="str">
            <v>Seagrave Solar One</v>
          </cell>
          <cell r="D1420" t="str">
            <v>Alectra Utilities Corporation</v>
          </cell>
          <cell r="E1420" t="str">
            <v>CO</v>
          </cell>
          <cell r="F1420">
            <v>41029</v>
          </cell>
          <cell r="G1420">
            <v>40969</v>
          </cell>
          <cell r="H1420">
            <v>48273</v>
          </cell>
          <cell r="I1420" t="str">
            <v>19 years, 11 months, 28 days</v>
          </cell>
          <cell r="J1420" t="str">
            <v>Renewables</v>
          </cell>
          <cell r="K1420" t="str">
            <v>Solar (Rooftop)</v>
          </cell>
          <cell r="L1420" t="str">
            <v>Solar</v>
          </cell>
          <cell r="M1420" t="str">
            <v>Dx</v>
          </cell>
          <cell r="N1420" t="str">
            <v>Seagrave</v>
          </cell>
          <cell r="O1420" t="str">
            <v>Durham</v>
          </cell>
          <cell r="P1420" t="str">
            <v>Essa</v>
          </cell>
        </row>
        <row r="1421">
          <cell r="C1421" t="str">
            <v>H06-49 FOURTH</v>
          </cell>
          <cell r="D1421" t="str">
            <v>PSI Solar Finance 1 Limited Partnership</v>
          </cell>
          <cell r="E1421" t="str">
            <v>CO</v>
          </cell>
          <cell r="F1421">
            <v>41854</v>
          </cell>
          <cell r="G1421">
            <v>41815</v>
          </cell>
          <cell r="H1421">
            <v>49119</v>
          </cell>
          <cell r="I1421" t="str">
            <v>19 years, 11 months, 30 days</v>
          </cell>
          <cell r="J1421" t="str">
            <v>Renewables</v>
          </cell>
          <cell r="K1421" t="str">
            <v>Solar (Rooftop)</v>
          </cell>
          <cell r="L1421" t="str">
            <v>Solar</v>
          </cell>
          <cell r="M1421" t="str">
            <v>Dx</v>
          </cell>
          <cell r="N1421" t="str">
            <v>Orangeville</v>
          </cell>
          <cell r="O1421" t="str">
            <v>Dufferin</v>
          </cell>
          <cell r="P1421" t="str">
            <v>Southwest</v>
          </cell>
        </row>
        <row r="1422">
          <cell r="C1422" t="str">
            <v>GoodLight</v>
          </cell>
          <cell r="D1422" t="str">
            <v>GoodLight LP</v>
          </cell>
          <cell r="E1422" t="str">
            <v>CO</v>
          </cell>
          <cell r="F1422">
            <v>41773</v>
          </cell>
          <cell r="G1422">
            <v>41836</v>
          </cell>
          <cell r="H1422">
            <v>49140</v>
          </cell>
          <cell r="I1422" t="str">
            <v>19 years, 11 months, 29 days</v>
          </cell>
          <cell r="J1422" t="str">
            <v>Renewables</v>
          </cell>
          <cell r="K1422" t="str">
            <v>Solar (Ground Mounted)</v>
          </cell>
          <cell r="L1422" t="str">
            <v>Solar</v>
          </cell>
          <cell r="M1422" t="str">
            <v>Dx</v>
          </cell>
          <cell r="N1422" t="str">
            <v>Kirkfield</v>
          </cell>
          <cell r="O1422" t="str">
            <v>Kawartha Lakes</v>
          </cell>
          <cell r="P1422" t="str">
            <v>Essa</v>
          </cell>
        </row>
        <row r="1423">
          <cell r="C1423" t="str">
            <v>P05-35 Automatic</v>
          </cell>
          <cell r="D1423" t="str">
            <v>Sky Solar (Canada) FIT 1 Limited Partnership</v>
          </cell>
          <cell r="E1423" t="str">
            <v>CO</v>
          </cell>
          <cell r="F1423">
            <v>41849</v>
          </cell>
          <cell r="G1423">
            <v>41922</v>
          </cell>
          <cell r="H1423">
            <v>49226</v>
          </cell>
          <cell r="I1423" t="str">
            <v>19 years, 11 months, 29 days</v>
          </cell>
          <cell r="J1423" t="str">
            <v>Renewables</v>
          </cell>
          <cell r="K1423" t="str">
            <v>Solar (Rooftop)</v>
          </cell>
          <cell r="L1423" t="str">
            <v>Solar</v>
          </cell>
          <cell r="M1423" t="str">
            <v>Dx</v>
          </cell>
          <cell r="N1423" t="str">
            <v>Brampton</v>
          </cell>
          <cell r="O1423" t="str">
            <v>Peel</v>
          </cell>
          <cell r="P1423" t="str">
            <v>Toronto</v>
          </cell>
        </row>
        <row r="1424">
          <cell r="C1424" t="str">
            <v>Mississippi Mills Solar Park</v>
          </cell>
          <cell r="D1424" t="str">
            <v>Axium Infinity Solar LP</v>
          </cell>
          <cell r="E1424" t="str">
            <v>CO</v>
          </cell>
          <cell r="F1424">
            <v>41513</v>
          </cell>
          <cell r="G1424">
            <v>41544</v>
          </cell>
          <cell r="H1424">
            <v>48848</v>
          </cell>
          <cell r="I1424" t="str">
            <v>19 years, 11 months, 30 days</v>
          </cell>
          <cell r="J1424" t="str">
            <v>Renewables</v>
          </cell>
          <cell r="K1424" t="str">
            <v>Solar (Ground Mounted)</v>
          </cell>
          <cell r="L1424" t="str">
            <v>Solar</v>
          </cell>
          <cell r="M1424" t="str">
            <v>Dx</v>
          </cell>
          <cell r="N1424" t="str">
            <v>Pakenham</v>
          </cell>
          <cell r="O1424" t="str">
            <v>Lanark</v>
          </cell>
          <cell r="P1424" t="str">
            <v>East</v>
          </cell>
        </row>
        <row r="1425">
          <cell r="C1425" t="str">
            <v>570 River Road</v>
          </cell>
          <cell r="D1425" t="str">
            <v>Corporation of Welland</v>
          </cell>
          <cell r="E1425" t="str">
            <v>CO</v>
          </cell>
          <cell r="F1425">
            <v>41790</v>
          </cell>
          <cell r="G1425">
            <v>41262</v>
          </cell>
          <cell r="H1425">
            <v>48566</v>
          </cell>
          <cell r="I1425" t="str">
            <v>19 years, 11 months, 29 days</v>
          </cell>
          <cell r="J1425" t="str">
            <v>Renewables</v>
          </cell>
          <cell r="K1425" t="str">
            <v>Solar (Rooftop)</v>
          </cell>
          <cell r="L1425" t="str">
            <v>Solar</v>
          </cell>
          <cell r="M1425" t="str">
            <v>Dx</v>
          </cell>
          <cell r="N1425" t="str">
            <v>Welland</v>
          </cell>
          <cell r="O1425" t="str">
            <v>Niagara</v>
          </cell>
          <cell r="P1425" t="str">
            <v>Niagara</v>
          </cell>
        </row>
        <row r="1426">
          <cell r="C1426" t="str">
            <v>H06-20 YMCA</v>
          </cell>
          <cell r="D1426" t="str">
            <v>PSI Solar Finance 1 Limited Partnership</v>
          </cell>
          <cell r="E1426" t="str">
            <v>CO</v>
          </cell>
          <cell r="F1426">
            <v>41737</v>
          </cell>
          <cell r="G1426">
            <v>41851</v>
          </cell>
          <cell r="H1426">
            <v>49155</v>
          </cell>
          <cell r="I1426" t="str">
            <v>19 years, 11 months, 29 days</v>
          </cell>
          <cell r="J1426" t="str">
            <v>Renewables</v>
          </cell>
          <cell r="K1426" t="str">
            <v>Solar (Rooftop)</v>
          </cell>
          <cell r="L1426" t="str">
            <v>Solar</v>
          </cell>
          <cell r="M1426" t="str">
            <v>Dx</v>
          </cell>
          <cell r="N1426" t="str">
            <v>St. Catharines</v>
          </cell>
          <cell r="O1426" t="str">
            <v>Niagara</v>
          </cell>
          <cell r="P1426" t="str">
            <v>Niagara</v>
          </cell>
        </row>
        <row r="1427">
          <cell r="C1427" t="str">
            <v>N02-68 Leek</v>
          </cell>
          <cell r="D1427" t="str">
            <v>Norman James Gottlieb</v>
          </cell>
          <cell r="E1427" t="str">
            <v>CO</v>
          </cell>
          <cell r="F1427">
            <v>41814</v>
          </cell>
          <cell r="G1427">
            <v>41341</v>
          </cell>
          <cell r="H1427">
            <v>48645</v>
          </cell>
          <cell r="I1427" t="str">
            <v>19 years, 11 months, 27 days</v>
          </cell>
          <cell r="J1427" t="str">
            <v>Renewables</v>
          </cell>
          <cell r="K1427" t="str">
            <v>Solar (Rooftop)</v>
          </cell>
          <cell r="L1427" t="str">
            <v>Solar</v>
          </cell>
          <cell r="M1427" t="str">
            <v>Dx</v>
          </cell>
          <cell r="N1427" t="str">
            <v>Richmond Hill</v>
          </cell>
          <cell r="O1427" t="str">
            <v>York</v>
          </cell>
          <cell r="P1427" t="str">
            <v>Toronto</v>
          </cell>
        </row>
        <row r="1428">
          <cell r="C1428" t="str">
            <v>Heated Self-Storage</v>
          </cell>
          <cell r="D1428" t="str">
            <v>Heated Self-Storage Inc.</v>
          </cell>
          <cell r="E1428" t="str">
            <v>CO</v>
          </cell>
          <cell r="F1428">
            <v>41029</v>
          </cell>
          <cell r="G1428">
            <v>40739</v>
          </cell>
          <cell r="H1428">
            <v>48043</v>
          </cell>
          <cell r="I1428" t="str">
            <v>19 years, 11 months, 29 days</v>
          </cell>
          <cell r="J1428" t="str">
            <v>Renewables</v>
          </cell>
          <cell r="K1428" t="str">
            <v>Solar (Rooftop)</v>
          </cell>
          <cell r="L1428" t="str">
            <v>Solar</v>
          </cell>
          <cell r="M1428" t="str">
            <v>Dx</v>
          </cell>
          <cell r="N1428" t="str">
            <v>Orillia</v>
          </cell>
          <cell r="O1428" t="str">
            <v>Simcoe</v>
          </cell>
          <cell r="P1428" t="str">
            <v>Essa</v>
          </cell>
        </row>
        <row r="1429">
          <cell r="C1429" t="str">
            <v>3210 Swansea</v>
          </cell>
          <cell r="D1429" t="str">
            <v>PSI Solar Finance 1 Limited Partnership</v>
          </cell>
          <cell r="E1429" t="str">
            <v>CO</v>
          </cell>
          <cell r="F1429">
            <v>41476</v>
          </cell>
          <cell r="G1429">
            <v>41603</v>
          </cell>
          <cell r="H1429">
            <v>48780</v>
          </cell>
          <cell r="I1429" t="str">
            <v>19 years, 7 months, 25 days</v>
          </cell>
          <cell r="J1429" t="str">
            <v>Renewables</v>
          </cell>
          <cell r="K1429" t="str">
            <v>Solar (Rooftop)</v>
          </cell>
          <cell r="L1429" t="str">
            <v>Solar</v>
          </cell>
          <cell r="M1429" t="str">
            <v>Dx</v>
          </cell>
          <cell r="N1429" t="str">
            <v>Ottawa</v>
          </cell>
          <cell r="O1429" t="str">
            <v>Ottawa</v>
          </cell>
          <cell r="P1429" t="str">
            <v>Ottawa</v>
          </cell>
        </row>
        <row r="1430">
          <cell r="C1430" t="str">
            <v>Port Robinson Solar Energy Project</v>
          </cell>
          <cell r="D1430" t="str">
            <v>E.S. Fox Limited</v>
          </cell>
          <cell r="E1430" t="str">
            <v>CO</v>
          </cell>
          <cell r="F1430">
            <v>41799</v>
          </cell>
          <cell r="G1430">
            <v>41873</v>
          </cell>
          <cell r="H1430">
            <v>49177</v>
          </cell>
          <cell r="I1430" t="str">
            <v>19 years, 11 months, 30 days</v>
          </cell>
          <cell r="J1430" t="str">
            <v>Renewables</v>
          </cell>
          <cell r="K1430" t="str">
            <v>Solar (Rooftop)</v>
          </cell>
          <cell r="L1430" t="str">
            <v>Solar</v>
          </cell>
          <cell r="M1430" t="str">
            <v>Dx</v>
          </cell>
          <cell r="N1430" t="str">
            <v>Port Robinson</v>
          </cell>
          <cell r="O1430" t="str">
            <v>Niagara</v>
          </cell>
          <cell r="P1430" t="str">
            <v>Niagara</v>
          </cell>
        </row>
        <row r="1431">
          <cell r="C1431" t="str">
            <v>(C57) Loblaws Leslie Street</v>
          </cell>
          <cell r="D1431" t="str">
            <v>Firelight Solar LP</v>
          </cell>
          <cell r="E1431" t="str">
            <v>CO</v>
          </cell>
          <cell r="F1431">
            <v>41728</v>
          </cell>
          <cell r="G1431">
            <v>41901</v>
          </cell>
          <cell r="H1431">
            <v>49205</v>
          </cell>
          <cell r="I1431" t="str">
            <v>19 years, 11 months, 30 days</v>
          </cell>
          <cell r="J1431" t="str">
            <v>Renewables</v>
          </cell>
          <cell r="K1431" t="str">
            <v>Solar (Rooftop)</v>
          </cell>
          <cell r="L1431" t="str">
            <v>Solar</v>
          </cell>
          <cell r="M1431" t="str">
            <v>Dx</v>
          </cell>
          <cell r="N1431" t="str">
            <v>Toronto</v>
          </cell>
          <cell r="O1431" t="str">
            <v>Toronto</v>
          </cell>
          <cell r="P1431" t="str">
            <v>Toronto</v>
          </cell>
        </row>
        <row r="1432">
          <cell r="C1432" t="str">
            <v>Samuel David Gray</v>
          </cell>
          <cell r="D1432" t="str">
            <v>Laura Ann Gray</v>
          </cell>
          <cell r="E1432" t="str">
            <v>CO</v>
          </cell>
          <cell r="F1432">
            <v>41811</v>
          </cell>
          <cell r="G1432">
            <v>41282</v>
          </cell>
          <cell r="H1432">
            <v>48586</v>
          </cell>
          <cell r="I1432" t="str">
            <v>19 years, 11 months, 30 days</v>
          </cell>
          <cell r="J1432" t="str">
            <v>Renewables</v>
          </cell>
          <cell r="K1432" t="str">
            <v>Solar (Rooftop)</v>
          </cell>
          <cell r="L1432" t="str">
            <v>Solar</v>
          </cell>
          <cell r="M1432" t="str">
            <v>Dx</v>
          </cell>
          <cell r="N1432" t="str">
            <v>Caledon</v>
          </cell>
          <cell r="O1432" t="str">
            <v>Peel</v>
          </cell>
          <cell r="P1432" t="str">
            <v>Southwest</v>
          </cell>
        </row>
        <row r="1433">
          <cell r="C1433" t="str">
            <v>1600 Greenwood</v>
          </cell>
          <cell r="D1433" t="str">
            <v>1600 Greenwood Inc</v>
          </cell>
          <cell r="E1433" t="str">
            <v>CO</v>
          </cell>
          <cell r="F1433">
            <v>41797</v>
          </cell>
          <cell r="G1433">
            <v>41074</v>
          </cell>
          <cell r="H1433">
            <v>48378</v>
          </cell>
          <cell r="I1433" t="str">
            <v>19 years, 11 months, 30 days</v>
          </cell>
          <cell r="J1433" t="str">
            <v>Renewables</v>
          </cell>
          <cell r="K1433" t="str">
            <v>Solar (Rooftop)</v>
          </cell>
          <cell r="L1433" t="str">
            <v>Solar</v>
          </cell>
          <cell r="M1433" t="str">
            <v>Dx</v>
          </cell>
          <cell r="N1433" t="str">
            <v>Beachburg</v>
          </cell>
          <cell r="O1433" t="str">
            <v>Renfrew</v>
          </cell>
          <cell r="P1433" t="str">
            <v>East</v>
          </cell>
        </row>
        <row r="1434">
          <cell r="C1434" t="str">
            <v>PSI Solar project</v>
          </cell>
          <cell r="D1434" t="str">
            <v>Price-Schonstrom Inc.</v>
          </cell>
          <cell r="E1434" t="str">
            <v>CO</v>
          </cell>
          <cell r="F1434">
            <v>41967</v>
          </cell>
          <cell r="G1434">
            <v>41380</v>
          </cell>
          <cell r="H1434">
            <v>48684</v>
          </cell>
          <cell r="I1434" t="str">
            <v>19 years, 11 months, 30 days</v>
          </cell>
          <cell r="J1434" t="str">
            <v>Renewables</v>
          </cell>
          <cell r="K1434" t="str">
            <v>Solar (Rooftop)</v>
          </cell>
          <cell r="L1434" t="str">
            <v>Solar</v>
          </cell>
          <cell r="M1434" t="str">
            <v>Dx</v>
          </cell>
          <cell r="N1434" t="str">
            <v>Walkerton</v>
          </cell>
          <cell r="O1434" t="str">
            <v>Bruce</v>
          </cell>
          <cell r="P1434" t="str">
            <v>Southwest</v>
          </cell>
        </row>
        <row r="1435">
          <cell r="C1435" t="str">
            <v>34 Riviera Drive, Markham</v>
          </cell>
          <cell r="D1435" t="str">
            <v>GBG Solar 2010 Partnership</v>
          </cell>
          <cell r="E1435" t="str">
            <v>CO</v>
          </cell>
          <cell r="F1435">
            <v>41863</v>
          </cell>
          <cell r="G1435">
            <v>41663</v>
          </cell>
          <cell r="H1435">
            <v>48967</v>
          </cell>
          <cell r="I1435" t="str">
            <v>19 years, 11 months, 30 days</v>
          </cell>
          <cell r="J1435" t="str">
            <v>Renewables</v>
          </cell>
          <cell r="K1435" t="str">
            <v>Solar (Rooftop)</v>
          </cell>
          <cell r="L1435" t="str">
            <v>Solar</v>
          </cell>
          <cell r="M1435" t="str">
            <v>Dx</v>
          </cell>
          <cell r="N1435" t="str">
            <v>Markham</v>
          </cell>
          <cell r="O1435" t="str">
            <v>York</v>
          </cell>
          <cell r="P1435" t="str">
            <v>Toronto</v>
          </cell>
        </row>
        <row r="1436">
          <cell r="C1436" t="str">
            <v>Rankin Stables Roof Mounted</v>
          </cell>
          <cell r="D1436" t="str">
            <v>Rankin Renewable Power Inc.</v>
          </cell>
          <cell r="E1436" t="str">
            <v>CO</v>
          </cell>
          <cell r="F1436">
            <v>41797</v>
          </cell>
          <cell r="G1436">
            <v>41477</v>
          </cell>
          <cell r="H1436">
            <v>48781</v>
          </cell>
          <cell r="I1436" t="str">
            <v>19 years, 11 months, 29 days</v>
          </cell>
          <cell r="J1436" t="str">
            <v>Renewables</v>
          </cell>
          <cell r="K1436" t="str">
            <v>Solar (Rooftop)</v>
          </cell>
          <cell r="L1436" t="str">
            <v>Solar</v>
          </cell>
          <cell r="M1436" t="str">
            <v>Dx</v>
          </cell>
          <cell r="N1436" t="str">
            <v>St. Catharines</v>
          </cell>
          <cell r="O1436" t="str">
            <v>Niagara</v>
          </cell>
          <cell r="P1436" t="str">
            <v>Niagara</v>
          </cell>
        </row>
        <row r="1437">
          <cell r="C1437" t="str">
            <v>Pelee Island Winery</v>
          </cell>
          <cell r="D1437" t="str">
            <v>Pelee Island Winery &amp; Vineyards Inc.</v>
          </cell>
          <cell r="E1437" t="str">
            <v>CO</v>
          </cell>
          <cell r="F1437">
            <v>41720</v>
          </cell>
          <cell r="G1437">
            <v>41443</v>
          </cell>
          <cell r="H1437">
            <v>48747</v>
          </cell>
          <cell r="I1437" t="str">
            <v>19 years, 11 months, 30 days</v>
          </cell>
          <cell r="J1437" t="str">
            <v>Renewables</v>
          </cell>
          <cell r="K1437" t="str">
            <v>Solar (Rooftop)</v>
          </cell>
          <cell r="L1437" t="str">
            <v>Solar</v>
          </cell>
          <cell r="M1437" t="str">
            <v>Dx</v>
          </cell>
          <cell r="N1437" t="str">
            <v>Kingsville</v>
          </cell>
          <cell r="O1437" t="str">
            <v>Essex</v>
          </cell>
          <cell r="P1437" t="str">
            <v>West</v>
          </cell>
        </row>
        <row r="1438">
          <cell r="C1438" t="str">
            <v>Pines Stor &amp; Lok</v>
          </cell>
          <cell r="D1438" t="str">
            <v>BP Investment and Property Management Ltd.</v>
          </cell>
          <cell r="E1438" t="str">
            <v>CO</v>
          </cell>
          <cell r="F1438">
            <v>41559</v>
          </cell>
          <cell r="G1438">
            <v>41010</v>
          </cell>
          <cell r="H1438">
            <v>48314</v>
          </cell>
          <cell r="I1438" t="str">
            <v>19 years, 11 months, 30 days</v>
          </cell>
          <cell r="J1438" t="str">
            <v>Renewables</v>
          </cell>
          <cell r="K1438" t="str">
            <v>Solar (Rooftop)</v>
          </cell>
          <cell r="L1438" t="str">
            <v>Solar</v>
          </cell>
          <cell r="M1438" t="str">
            <v>Dx</v>
          </cell>
          <cell r="N1438" t="str">
            <v>Trenton</v>
          </cell>
          <cell r="O1438" t="str">
            <v>Hastings</v>
          </cell>
          <cell r="P1438" t="str">
            <v>East</v>
          </cell>
        </row>
        <row r="1439">
          <cell r="C1439" t="str">
            <v>Spence Crt (Amelia St) 75kW</v>
          </cell>
          <cell r="D1439" t="str">
            <v>Thunder Bay District Housing Corporation</v>
          </cell>
          <cell r="E1439" t="str">
            <v>CO</v>
          </cell>
          <cell r="F1439">
            <v>41029</v>
          </cell>
          <cell r="G1439">
            <v>41184</v>
          </cell>
          <cell r="H1439">
            <v>48488</v>
          </cell>
          <cell r="I1439" t="str">
            <v>19 years, 11 months, 29 days</v>
          </cell>
          <cell r="J1439" t="str">
            <v>Renewables</v>
          </cell>
          <cell r="K1439" t="str">
            <v>Solar (Rooftop)</v>
          </cell>
          <cell r="L1439" t="str">
            <v>Solar</v>
          </cell>
          <cell r="M1439" t="str">
            <v>Dx</v>
          </cell>
          <cell r="N1439" t="str">
            <v>Thunder Bay</v>
          </cell>
          <cell r="O1439" t="str">
            <v>Thunder Bay</v>
          </cell>
          <cell r="P1439" t="str">
            <v>Northwest</v>
          </cell>
        </row>
        <row r="1440">
          <cell r="C1440" t="str">
            <v>(F10) Your Independent Grocer Main Street</v>
          </cell>
          <cell r="D1440" t="str">
            <v>Firelight Solar LP</v>
          </cell>
          <cell r="E1440" t="str">
            <v>CO</v>
          </cell>
          <cell r="F1440">
            <v>41735</v>
          </cell>
          <cell r="G1440">
            <v>41878</v>
          </cell>
          <cell r="H1440">
            <v>49182</v>
          </cell>
          <cell r="I1440" t="str">
            <v>19 years, 11 months, 30 days</v>
          </cell>
          <cell r="J1440" t="str">
            <v>Renewables</v>
          </cell>
          <cell r="K1440" t="str">
            <v>Solar (Rooftop)</v>
          </cell>
          <cell r="L1440" t="str">
            <v>Solar</v>
          </cell>
          <cell r="M1440" t="str">
            <v>Dx</v>
          </cell>
          <cell r="N1440" t="str">
            <v>Ottawa</v>
          </cell>
          <cell r="O1440" t="str">
            <v>Ottawa</v>
          </cell>
          <cell r="P1440" t="str">
            <v>Ottawa</v>
          </cell>
        </row>
        <row r="1441">
          <cell r="C1441" t="str">
            <v>GEDSB AG Hodge</v>
          </cell>
          <cell r="D1441" t="str">
            <v>Ameresco GEDSB Solar Inc.</v>
          </cell>
          <cell r="E1441" t="str">
            <v>CO</v>
          </cell>
          <cell r="F1441">
            <v>41442</v>
          </cell>
          <cell r="G1441">
            <v>41508</v>
          </cell>
          <cell r="H1441">
            <v>48746</v>
          </cell>
          <cell r="I1441" t="str">
            <v>19 years, 9 months, 25 days</v>
          </cell>
          <cell r="J1441" t="str">
            <v>Renewables</v>
          </cell>
          <cell r="K1441" t="str">
            <v>Solar (Rooftop)</v>
          </cell>
          <cell r="L1441" t="str">
            <v>Solar</v>
          </cell>
          <cell r="M1441" t="str">
            <v>Dx</v>
          </cell>
          <cell r="N1441" t="str">
            <v>Brantford</v>
          </cell>
          <cell r="O1441" t="str">
            <v>Brant</v>
          </cell>
          <cell r="P1441" t="str">
            <v>Southwest</v>
          </cell>
        </row>
        <row r="1442">
          <cell r="C1442" t="str">
            <v>TBHEDI-6</v>
          </cell>
          <cell r="D1442" t="str">
            <v>Synergy North Corporation</v>
          </cell>
          <cell r="E1442" t="str">
            <v>CO</v>
          </cell>
          <cell r="F1442">
            <v>41841</v>
          </cell>
          <cell r="G1442">
            <v>41281</v>
          </cell>
          <cell r="H1442">
            <v>48585</v>
          </cell>
          <cell r="I1442" t="str">
            <v>19 years, 11 months, 30 days</v>
          </cell>
          <cell r="J1442" t="str">
            <v>Renewables</v>
          </cell>
          <cell r="K1442" t="str">
            <v>Solar (Rooftop)</v>
          </cell>
          <cell r="L1442" t="str">
            <v>Solar</v>
          </cell>
          <cell r="M1442" t="str">
            <v>Dx</v>
          </cell>
          <cell r="N1442" t="str">
            <v>Thunder Bay</v>
          </cell>
          <cell r="O1442" t="str">
            <v>Thunder Bay</v>
          </cell>
          <cell r="P1442" t="str">
            <v>Northwest</v>
          </cell>
        </row>
        <row r="1443">
          <cell r="C1443" t="str">
            <v>Cave Spring Cellars Tufford</v>
          </cell>
          <cell r="D1443" t="str">
            <v>Cave Spring Cellars Partnership</v>
          </cell>
          <cell r="E1443" t="str">
            <v>CO</v>
          </cell>
          <cell r="F1443">
            <v>41029</v>
          </cell>
          <cell r="G1443">
            <v>40786</v>
          </cell>
          <cell r="H1443">
            <v>48090</v>
          </cell>
          <cell r="I1443" t="str">
            <v>19 years, 11 months, 30 days</v>
          </cell>
          <cell r="J1443" t="str">
            <v>Renewables</v>
          </cell>
          <cell r="K1443" t="str">
            <v>Solar (Rooftop)</v>
          </cell>
          <cell r="L1443" t="str">
            <v>Solar</v>
          </cell>
          <cell r="M1443" t="str">
            <v>Dx</v>
          </cell>
          <cell r="N1443" t="str">
            <v>Lincoln</v>
          </cell>
          <cell r="O1443" t="str">
            <v>Niagara</v>
          </cell>
          <cell r="P1443" t="str">
            <v>Niagara</v>
          </cell>
        </row>
        <row r="1444">
          <cell r="C1444" t="str">
            <v>90 Parma Crt.</v>
          </cell>
          <cell r="D1444" t="str">
            <v>Toronto Community Housing Corporation</v>
          </cell>
          <cell r="E1444" t="str">
            <v>CO</v>
          </cell>
          <cell r="F1444">
            <v>41029</v>
          </cell>
          <cell r="G1444">
            <v>40919</v>
          </cell>
          <cell r="H1444">
            <v>48223</v>
          </cell>
          <cell r="I1444" t="str">
            <v>19 years, 11 months, 30 days</v>
          </cell>
          <cell r="J1444" t="str">
            <v>Renewables</v>
          </cell>
          <cell r="K1444" t="str">
            <v>Solar (Rooftop)</v>
          </cell>
          <cell r="L1444" t="str">
            <v>Solar</v>
          </cell>
          <cell r="M1444" t="str">
            <v>Dx</v>
          </cell>
          <cell r="N1444" t="str">
            <v>Toronto</v>
          </cell>
          <cell r="O1444" t="str">
            <v>Toronto</v>
          </cell>
          <cell r="P1444" t="str">
            <v>Toronto</v>
          </cell>
        </row>
        <row r="1445">
          <cell r="C1445" t="str">
            <v>Endura Energy 5 Sims Crescent</v>
          </cell>
          <cell r="D1445" t="str">
            <v>Solar Income Fund LP (#2)</v>
          </cell>
          <cell r="E1445" t="str">
            <v>CO</v>
          </cell>
          <cell r="F1445">
            <v>41029</v>
          </cell>
          <cell r="G1445">
            <v>40695</v>
          </cell>
          <cell r="H1445">
            <v>47999</v>
          </cell>
          <cell r="I1445" t="str">
            <v>19 years, 11 months, 30 days</v>
          </cell>
          <cell r="J1445" t="str">
            <v>Renewables</v>
          </cell>
          <cell r="K1445" t="str">
            <v>Solar (Rooftop)</v>
          </cell>
          <cell r="L1445" t="str">
            <v>Solar</v>
          </cell>
          <cell r="M1445" t="str">
            <v>Dx</v>
          </cell>
          <cell r="N1445" t="str">
            <v>Richmond Hill</v>
          </cell>
          <cell r="O1445" t="str">
            <v>York</v>
          </cell>
          <cell r="P1445" t="str">
            <v>Toronto</v>
          </cell>
        </row>
        <row r="1446">
          <cell r="C1446" t="str">
            <v>240 B St. Lively Solar Array</v>
          </cell>
          <cell r="D1446" t="str">
            <v>Greater Sudbury Housing Corporation</v>
          </cell>
          <cell r="E1446" t="str">
            <v>CO</v>
          </cell>
          <cell r="F1446">
            <v>41820</v>
          </cell>
          <cell r="G1446">
            <v>41541</v>
          </cell>
          <cell r="H1446">
            <v>48845</v>
          </cell>
          <cell r="I1446" t="str">
            <v>19 years, 11 months, 30 days</v>
          </cell>
          <cell r="J1446" t="str">
            <v>Renewables</v>
          </cell>
          <cell r="K1446" t="str">
            <v>Solar (Rooftop)</v>
          </cell>
          <cell r="L1446" t="str">
            <v>Solar</v>
          </cell>
          <cell r="M1446" t="str">
            <v>Dx</v>
          </cell>
          <cell r="N1446" t="str">
            <v>Lively</v>
          </cell>
          <cell r="O1446" t="str">
            <v>Greater Sudbury</v>
          </cell>
          <cell r="P1446" t="str">
            <v>Northeast</v>
          </cell>
        </row>
        <row r="1447">
          <cell r="C1447" t="str">
            <v>PowerStream 2010-065</v>
          </cell>
          <cell r="D1447" t="str">
            <v>Alectra Utilities Corporation</v>
          </cell>
          <cell r="E1447" t="str">
            <v>CO</v>
          </cell>
          <cell r="F1447">
            <v>41799</v>
          </cell>
          <cell r="G1447">
            <v>41080</v>
          </cell>
          <cell r="H1447">
            <v>48384</v>
          </cell>
          <cell r="I1447" t="str">
            <v>19 years, 11 months, 30 days</v>
          </cell>
          <cell r="J1447" t="str">
            <v>Renewables</v>
          </cell>
          <cell r="K1447" t="str">
            <v>Solar (Rooftop)</v>
          </cell>
          <cell r="L1447" t="str">
            <v>Solar</v>
          </cell>
          <cell r="M1447" t="str">
            <v>Dx</v>
          </cell>
          <cell r="N1447" t="str">
            <v>Barrie</v>
          </cell>
          <cell r="O1447" t="str">
            <v>Simcoe</v>
          </cell>
          <cell r="P1447" t="str">
            <v>Essa</v>
          </cell>
        </row>
        <row r="1448">
          <cell r="C1448" t="str">
            <v>Lindsay A Solar Farm</v>
          </cell>
          <cell r="D1448" t="str">
            <v>Pine Point Farms Ltd.</v>
          </cell>
          <cell r="E1448" t="str">
            <v>CO</v>
          </cell>
          <cell r="F1448">
            <v>41440</v>
          </cell>
          <cell r="G1448">
            <v>41568</v>
          </cell>
          <cell r="H1448">
            <v>48872</v>
          </cell>
          <cell r="I1448" t="str">
            <v>19 years, 11 months, 29 days</v>
          </cell>
          <cell r="J1448" t="str">
            <v>Renewables</v>
          </cell>
          <cell r="K1448" t="str">
            <v>Solar (Rooftop)</v>
          </cell>
          <cell r="L1448" t="str">
            <v>Solar</v>
          </cell>
          <cell r="M1448" t="str">
            <v>Dx</v>
          </cell>
          <cell r="N1448" t="str">
            <v>Lindsay</v>
          </cell>
          <cell r="O1448" t="str">
            <v>Kawartha Lakes</v>
          </cell>
          <cell r="P1448" t="str">
            <v>Essa</v>
          </cell>
        </row>
        <row r="1449">
          <cell r="C1449" t="str">
            <v>Canadian Solar Developers Ltd. L.P. #16</v>
          </cell>
          <cell r="D1449" t="str">
            <v>Mann Ground Mount Solar Ltd.</v>
          </cell>
          <cell r="E1449" t="str">
            <v>CO</v>
          </cell>
          <cell r="F1449">
            <v>41695</v>
          </cell>
          <cell r="G1449">
            <v>42255</v>
          </cell>
          <cell r="H1449">
            <v>49559</v>
          </cell>
          <cell r="I1449" t="str">
            <v>19 years, 11 months, 30 days</v>
          </cell>
          <cell r="J1449" t="str">
            <v>Renewables</v>
          </cell>
          <cell r="K1449" t="str">
            <v>Solar (Ground Mounted)</v>
          </cell>
          <cell r="L1449" t="str">
            <v>Solar</v>
          </cell>
          <cell r="M1449" t="str">
            <v>Dx</v>
          </cell>
          <cell r="N1449" t="str">
            <v>Midhurst</v>
          </cell>
          <cell r="O1449" t="str">
            <v>Simcoe</v>
          </cell>
          <cell r="P1449" t="str">
            <v>Essa</v>
          </cell>
        </row>
        <row r="1450">
          <cell r="C1450" t="str">
            <v>Hidden Bench Winery</v>
          </cell>
          <cell r="D1450" t="str">
            <v>Hidden Bench Vineyards &amp; Winery Inc.</v>
          </cell>
          <cell r="E1450" t="str">
            <v>CO</v>
          </cell>
          <cell r="F1450">
            <v>40663</v>
          </cell>
          <cell r="G1450">
            <v>40567</v>
          </cell>
          <cell r="H1450">
            <v>47871</v>
          </cell>
          <cell r="I1450" t="str">
            <v>19 years, 11 months, 30 days</v>
          </cell>
          <cell r="J1450" t="str">
            <v>Renewables</v>
          </cell>
          <cell r="K1450" t="str">
            <v>Solar (Rooftop)</v>
          </cell>
          <cell r="L1450" t="str">
            <v>Solar</v>
          </cell>
          <cell r="M1450" t="str">
            <v>Dx</v>
          </cell>
          <cell r="N1450" t="str">
            <v>Beamsville</v>
          </cell>
          <cell r="O1450" t="str">
            <v>Niagara</v>
          </cell>
          <cell r="P1450" t="str">
            <v>Niagara</v>
          </cell>
        </row>
        <row r="1451">
          <cell r="C1451" t="str">
            <v>130-160 Bradwick Drive</v>
          </cell>
          <cell r="D1451" t="str">
            <v>PSI Solar Finance 1 Limited Partnership</v>
          </cell>
          <cell r="E1451" t="str">
            <v>CO</v>
          </cell>
          <cell r="F1451">
            <v>41351</v>
          </cell>
          <cell r="G1451">
            <v>41297</v>
          </cell>
          <cell r="H1451">
            <v>48601</v>
          </cell>
          <cell r="I1451" t="str">
            <v>19 years, 11 months, 30 days</v>
          </cell>
          <cell r="J1451" t="str">
            <v>Renewables</v>
          </cell>
          <cell r="K1451" t="str">
            <v>Solar (Rooftop)</v>
          </cell>
          <cell r="L1451" t="str">
            <v>Solar</v>
          </cell>
          <cell r="M1451" t="str">
            <v>Dx</v>
          </cell>
          <cell r="N1451" t="str">
            <v>Concord</v>
          </cell>
          <cell r="O1451" t="str">
            <v>York</v>
          </cell>
          <cell r="P1451" t="str">
            <v>Toronto</v>
          </cell>
        </row>
        <row r="1452">
          <cell r="C1452" t="str">
            <v>1608 The Queensway</v>
          </cell>
          <cell r="D1452" t="str">
            <v>MOM Solar Limited Partnership</v>
          </cell>
          <cell r="E1452" t="str">
            <v>CO</v>
          </cell>
          <cell r="F1452">
            <v>41029</v>
          </cell>
          <cell r="G1452">
            <v>41180</v>
          </cell>
          <cell r="H1452">
            <v>48484</v>
          </cell>
          <cell r="I1452" t="str">
            <v>19 years, 11 months, 30 days</v>
          </cell>
          <cell r="J1452" t="str">
            <v>Renewables</v>
          </cell>
          <cell r="K1452" t="str">
            <v>Solar (Rooftop)</v>
          </cell>
          <cell r="L1452" t="str">
            <v>Solar</v>
          </cell>
          <cell r="M1452" t="str">
            <v>Dx</v>
          </cell>
          <cell r="N1452" t="str">
            <v>Toronto</v>
          </cell>
          <cell r="O1452" t="str">
            <v>Toronto</v>
          </cell>
          <cell r="P1452" t="str">
            <v>Toronto</v>
          </cell>
        </row>
        <row r="1453">
          <cell r="C1453" t="str">
            <v>205 Norseman Street</v>
          </cell>
          <cell r="D1453" t="str">
            <v>TOPSHIRE SOLAR INC.</v>
          </cell>
          <cell r="E1453" t="str">
            <v>CO</v>
          </cell>
          <cell r="F1453">
            <v>41834</v>
          </cell>
          <cell r="G1453">
            <v>41473</v>
          </cell>
          <cell r="H1453">
            <v>48777</v>
          </cell>
          <cell r="I1453" t="str">
            <v>19 years, 11 months, 29 days</v>
          </cell>
          <cell r="J1453" t="str">
            <v>Renewables</v>
          </cell>
          <cell r="K1453" t="str">
            <v>Solar (Rooftop)</v>
          </cell>
          <cell r="L1453" t="str">
            <v>Solar</v>
          </cell>
          <cell r="M1453" t="str">
            <v>Dx</v>
          </cell>
          <cell r="N1453" t="str">
            <v>Toronto</v>
          </cell>
          <cell r="O1453" t="str">
            <v>Toronto</v>
          </cell>
          <cell r="P1453" t="str">
            <v>Toronto</v>
          </cell>
        </row>
        <row r="1454">
          <cell r="C1454" t="str">
            <v>Prism Farms Solar 1</v>
          </cell>
          <cell r="D1454" t="str">
            <v>1797472 ONTARIO INC.</v>
          </cell>
          <cell r="E1454" t="str">
            <v>CO</v>
          </cell>
          <cell r="F1454">
            <v>41029</v>
          </cell>
          <cell r="G1454">
            <v>40875</v>
          </cell>
          <cell r="H1454">
            <v>48179</v>
          </cell>
          <cell r="I1454" t="str">
            <v>19 years, 11 months, 30 days</v>
          </cell>
          <cell r="J1454" t="str">
            <v>Renewables</v>
          </cell>
          <cell r="K1454" t="str">
            <v>Solar (Rooftop)</v>
          </cell>
          <cell r="L1454" t="str">
            <v>Solar</v>
          </cell>
          <cell r="M1454" t="str">
            <v>Dx</v>
          </cell>
          <cell r="N1454" t="str">
            <v>Leamington</v>
          </cell>
          <cell r="O1454" t="str">
            <v>Essex</v>
          </cell>
          <cell r="P1454" t="str">
            <v>West</v>
          </cell>
        </row>
        <row r="1455">
          <cell r="C1455" t="str">
            <v>32 GoodMark Place</v>
          </cell>
          <cell r="D1455" t="str">
            <v>Community Solar Assets 1 Ltd.</v>
          </cell>
          <cell r="E1455" t="str">
            <v>CO</v>
          </cell>
          <cell r="F1455">
            <v>41854</v>
          </cell>
          <cell r="G1455">
            <v>41598</v>
          </cell>
          <cell r="H1455">
            <v>48902</v>
          </cell>
          <cell r="I1455" t="str">
            <v>19 years, 11 months, 30 days</v>
          </cell>
          <cell r="J1455" t="str">
            <v>Renewables</v>
          </cell>
          <cell r="K1455" t="str">
            <v>Solar (Rooftop)</v>
          </cell>
          <cell r="L1455" t="str">
            <v>Solar</v>
          </cell>
          <cell r="M1455" t="str">
            <v>Dx</v>
          </cell>
          <cell r="N1455" t="str">
            <v>Toronto</v>
          </cell>
          <cell r="O1455" t="str">
            <v>Toronto</v>
          </cell>
          <cell r="P1455" t="str">
            <v>Toronto</v>
          </cell>
        </row>
        <row r="1456">
          <cell r="C1456" t="str">
            <v>133 Taunton Road West</v>
          </cell>
          <cell r="D1456" t="str">
            <v>Solar Income Fund LP (#2)</v>
          </cell>
          <cell r="E1456" t="str">
            <v>CO</v>
          </cell>
          <cell r="F1456">
            <v>41029</v>
          </cell>
          <cell r="G1456">
            <v>41036</v>
          </cell>
          <cell r="H1456">
            <v>48333</v>
          </cell>
          <cell r="I1456" t="str">
            <v>19 years, 11 months, 22 days</v>
          </cell>
          <cell r="J1456" t="str">
            <v>Renewables</v>
          </cell>
          <cell r="K1456" t="str">
            <v>Solar (Rooftop)</v>
          </cell>
          <cell r="L1456" t="str">
            <v>Solar</v>
          </cell>
          <cell r="M1456" t="str">
            <v>Dx</v>
          </cell>
          <cell r="N1456" t="str">
            <v>Oshawa</v>
          </cell>
          <cell r="O1456" t="str">
            <v>Durham</v>
          </cell>
          <cell r="P1456" t="str">
            <v>Toronto</v>
          </cell>
        </row>
        <row r="1457">
          <cell r="C1457" t="str">
            <v>Grand Valley Wind Farms (Phase 2)</v>
          </cell>
          <cell r="D1457" t="str">
            <v>Grand Valley 1 Limited Partnership</v>
          </cell>
          <cell r="E1457" t="str">
            <v>CO</v>
          </cell>
          <cell r="F1457">
            <v>41107</v>
          </cell>
          <cell r="G1457">
            <v>40992</v>
          </cell>
          <cell r="H1457">
            <v>48296</v>
          </cell>
          <cell r="I1457" t="str">
            <v>19 years, 11 months, 28 days</v>
          </cell>
          <cell r="J1457" t="str">
            <v>Renewables</v>
          </cell>
          <cell r="K1457" t="str">
            <v>Wind (On-Shore)</v>
          </cell>
          <cell r="L1457" t="str">
            <v>Wind</v>
          </cell>
          <cell r="M1457" t="str">
            <v>Dx</v>
          </cell>
          <cell r="N1457" t="str">
            <v>Dundalk</v>
          </cell>
          <cell r="O1457" t="str">
            <v>Grey</v>
          </cell>
          <cell r="P1457" t="str">
            <v>Southwest</v>
          </cell>
        </row>
        <row r="1458">
          <cell r="C1458" t="str">
            <v>892 3rd Line</v>
          </cell>
          <cell r="D1458" t="str">
            <v>Rowan Fleming and Lilli Fleming carrying on business as Panorama Solar</v>
          </cell>
          <cell r="E1458" t="str">
            <v>CO</v>
          </cell>
          <cell r="F1458">
            <v>41820</v>
          </cell>
          <cell r="G1458">
            <v>41309</v>
          </cell>
          <cell r="H1458">
            <v>48613</v>
          </cell>
          <cell r="I1458" t="str">
            <v>19 years, 11 months, 30 days</v>
          </cell>
          <cell r="J1458" t="str">
            <v>Renewables</v>
          </cell>
          <cell r="K1458" t="str">
            <v>Solar (Rooftop)</v>
          </cell>
          <cell r="L1458" t="str">
            <v>Solar</v>
          </cell>
          <cell r="M1458" t="str">
            <v>Dx</v>
          </cell>
          <cell r="N1458" t="str">
            <v>Bailieboro</v>
          </cell>
          <cell r="O1458" t="str">
            <v>Peterborough</v>
          </cell>
          <cell r="P1458" t="str">
            <v>East</v>
          </cell>
        </row>
        <row r="1459">
          <cell r="C1459" t="str">
            <v>50 Legault Solar Project</v>
          </cell>
          <cell r="D1459" t="str">
            <v>Raypower, Inc.</v>
          </cell>
          <cell r="E1459" t="str">
            <v>CO</v>
          </cell>
          <cell r="F1459">
            <v>41029</v>
          </cell>
          <cell r="G1459">
            <v>40968</v>
          </cell>
          <cell r="H1459">
            <v>48272</v>
          </cell>
          <cell r="I1459" t="str">
            <v>19 years, 11 months, 30 days</v>
          </cell>
          <cell r="J1459" t="str">
            <v>Renewables</v>
          </cell>
          <cell r="K1459" t="str">
            <v>Solar (Rooftop)</v>
          </cell>
          <cell r="L1459" t="str">
            <v>Solar</v>
          </cell>
          <cell r="M1459" t="str">
            <v>Dx</v>
          </cell>
          <cell r="N1459" t="str">
            <v>North Bay</v>
          </cell>
          <cell r="O1459" t="str">
            <v>Nipissing</v>
          </cell>
          <cell r="P1459" t="str">
            <v>Northeast</v>
          </cell>
        </row>
        <row r="1460">
          <cell r="C1460" t="str">
            <v>West Street Storage</v>
          </cell>
          <cell r="D1460" t="str">
            <v>2323953 Ontario Inc.</v>
          </cell>
          <cell r="E1460" t="str">
            <v>CO</v>
          </cell>
          <cell r="F1460">
            <v>41435</v>
          </cell>
          <cell r="G1460">
            <v>41310</v>
          </cell>
          <cell r="H1460">
            <v>48614</v>
          </cell>
          <cell r="I1460" t="str">
            <v>19 years, 11 months, 30 days</v>
          </cell>
          <cell r="J1460" t="str">
            <v>Renewables</v>
          </cell>
          <cell r="K1460" t="str">
            <v>Solar (Rooftop)</v>
          </cell>
          <cell r="L1460" t="str">
            <v>Solar</v>
          </cell>
          <cell r="M1460" t="str">
            <v>Dx</v>
          </cell>
          <cell r="N1460" t="str">
            <v>Orillia</v>
          </cell>
          <cell r="O1460" t="str">
            <v>Simcoe</v>
          </cell>
          <cell r="P1460" t="str">
            <v>Essa</v>
          </cell>
        </row>
        <row r="1461">
          <cell r="C1461" t="str">
            <v>9 Hanna PV System</v>
          </cell>
          <cell r="D1461" t="str">
            <v>City of Toronto</v>
          </cell>
          <cell r="E1461" t="str">
            <v>CO</v>
          </cell>
          <cell r="F1461">
            <v>41364</v>
          </cell>
          <cell r="G1461">
            <v>40973</v>
          </cell>
          <cell r="H1461">
            <v>48277</v>
          </cell>
          <cell r="I1461" t="str">
            <v>19 years, 11 months, 28 days</v>
          </cell>
          <cell r="J1461" t="str">
            <v>Renewables</v>
          </cell>
          <cell r="K1461" t="str">
            <v>Solar (Rooftop)</v>
          </cell>
          <cell r="L1461" t="str">
            <v>Solar</v>
          </cell>
          <cell r="M1461" t="str">
            <v>Dx</v>
          </cell>
          <cell r="N1461" t="str">
            <v>Toronto</v>
          </cell>
          <cell r="O1461" t="str">
            <v>Toronto</v>
          </cell>
          <cell r="P1461" t="str">
            <v>Toronto</v>
          </cell>
        </row>
        <row r="1462">
          <cell r="C1462" t="str">
            <v>Solar Roof Inc.</v>
          </cell>
          <cell r="D1462" t="str">
            <v>Solar Roof Inc</v>
          </cell>
          <cell r="E1462" t="str">
            <v>CO</v>
          </cell>
          <cell r="F1462">
            <v>41790</v>
          </cell>
          <cell r="G1462">
            <v>41781</v>
          </cell>
          <cell r="H1462">
            <v>49085</v>
          </cell>
          <cell r="I1462" t="str">
            <v>19 years, 11 months, 29 days</v>
          </cell>
          <cell r="J1462" t="str">
            <v>Renewables</v>
          </cell>
          <cell r="K1462" t="str">
            <v>Solar (Rooftop)</v>
          </cell>
          <cell r="L1462" t="str">
            <v>Solar</v>
          </cell>
          <cell r="M1462" t="str">
            <v>Dx</v>
          </cell>
          <cell r="N1462" t="str">
            <v>Brampton</v>
          </cell>
          <cell r="O1462" t="str">
            <v>Peel</v>
          </cell>
          <cell r="P1462" t="str">
            <v>Toronto</v>
          </cell>
        </row>
        <row r="1463">
          <cell r="C1463" t="str">
            <v>Horse Palace PV Project</v>
          </cell>
          <cell r="D1463" t="str">
            <v>Exhibition Place Board of Governors</v>
          </cell>
          <cell r="E1463" t="str">
            <v>CO</v>
          </cell>
          <cell r="F1463">
            <v>41825</v>
          </cell>
          <cell r="G1463">
            <v>41057</v>
          </cell>
          <cell r="H1463">
            <v>48361</v>
          </cell>
          <cell r="I1463" t="str">
            <v>19 years, 11 months, 29 days</v>
          </cell>
          <cell r="J1463" t="str">
            <v>Renewables</v>
          </cell>
          <cell r="K1463" t="str">
            <v>Solar (Rooftop)</v>
          </cell>
          <cell r="L1463" t="str">
            <v>Solar</v>
          </cell>
          <cell r="M1463" t="str">
            <v>Dx</v>
          </cell>
          <cell r="N1463" t="str">
            <v>Toronto</v>
          </cell>
          <cell r="O1463" t="str">
            <v>Toronto</v>
          </cell>
          <cell r="P1463" t="str">
            <v>Toronto</v>
          </cell>
        </row>
        <row r="1464">
          <cell r="C1464" t="str">
            <v>Ledgecroft Farms - Biogas System</v>
          </cell>
          <cell r="D1464" t="str">
            <v>Ledgecroft Farms Inc.</v>
          </cell>
          <cell r="E1464" t="str">
            <v>CO</v>
          </cell>
          <cell r="F1464">
            <v>41343</v>
          </cell>
          <cell r="G1464">
            <v>40290</v>
          </cell>
          <cell r="H1464">
            <v>47594</v>
          </cell>
          <cell r="I1464" t="str">
            <v>19 years, 11 months, 30 days</v>
          </cell>
          <cell r="J1464" t="str">
            <v>Renewables</v>
          </cell>
          <cell r="K1464" t="str">
            <v>Bioenergy</v>
          </cell>
          <cell r="L1464" t="str">
            <v>Biogas</v>
          </cell>
          <cell r="M1464" t="str">
            <v>Dx</v>
          </cell>
          <cell r="N1464" t="str">
            <v>Seeleys Bay</v>
          </cell>
          <cell r="O1464" t="str">
            <v>Leeds and Grenville</v>
          </cell>
          <cell r="P1464" t="str">
            <v>East</v>
          </cell>
        </row>
        <row r="1465">
          <cell r="C1465" t="str">
            <v>Solbright - Holmes Barns</v>
          </cell>
          <cell r="D1465" t="str">
            <v>1809457 Ontario Inc.</v>
          </cell>
          <cell r="E1465" t="str">
            <v>CO</v>
          </cell>
          <cell r="F1465">
            <v>41832</v>
          </cell>
          <cell r="G1465">
            <v>41439</v>
          </cell>
          <cell r="H1465">
            <v>48743</v>
          </cell>
          <cell r="I1465" t="str">
            <v>19 years, 11 months, 30 days</v>
          </cell>
          <cell r="J1465" t="str">
            <v>Renewables</v>
          </cell>
          <cell r="K1465" t="str">
            <v>Solar (Rooftop)</v>
          </cell>
          <cell r="L1465" t="str">
            <v>Solar</v>
          </cell>
          <cell r="M1465" t="str">
            <v>Dx</v>
          </cell>
          <cell r="N1465" t="str">
            <v>Napanee</v>
          </cell>
          <cell r="O1465" t="str">
            <v>Hastings</v>
          </cell>
          <cell r="P1465" t="str">
            <v>East</v>
          </cell>
        </row>
        <row r="1466">
          <cell r="C1466" t="str">
            <v>North American Steel Equipment Company Ltd.</v>
          </cell>
          <cell r="D1466" t="str">
            <v>North American Steel Equipment Company Ltd.</v>
          </cell>
          <cell r="E1466" t="str">
            <v>CO</v>
          </cell>
          <cell r="F1466">
            <v>41029</v>
          </cell>
          <cell r="G1466">
            <v>40961</v>
          </cell>
          <cell r="H1466">
            <v>48265</v>
          </cell>
          <cell r="I1466" t="str">
            <v>19 years, 11 months, 30 days</v>
          </cell>
          <cell r="J1466" t="str">
            <v>Renewables</v>
          </cell>
          <cell r="K1466" t="str">
            <v>Solar (Rooftop)</v>
          </cell>
          <cell r="L1466" t="str">
            <v>Solar</v>
          </cell>
          <cell r="M1466" t="str">
            <v>Dx</v>
          </cell>
          <cell r="N1466" t="str">
            <v>Whitby</v>
          </cell>
          <cell r="O1466" t="str">
            <v>Durham</v>
          </cell>
          <cell r="P1466" t="str">
            <v>Toronto</v>
          </cell>
        </row>
        <row r="1467">
          <cell r="C1467" t="str">
            <v>Atlantic Packaging - 333 Progress Ave</v>
          </cell>
          <cell r="D1467" t="str">
            <v>ATL Rooftop Solar LP</v>
          </cell>
          <cell r="E1467" t="str">
            <v>CO</v>
          </cell>
          <cell r="F1467">
            <v>41863</v>
          </cell>
          <cell r="G1467">
            <v>42040</v>
          </cell>
          <cell r="H1467">
            <v>49344</v>
          </cell>
          <cell r="I1467" t="str">
            <v>19 years, 11 months, 30 days</v>
          </cell>
          <cell r="J1467" t="str">
            <v>Renewables</v>
          </cell>
          <cell r="K1467" t="str">
            <v>Solar (Rooftop)</v>
          </cell>
          <cell r="L1467" t="str">
            <v>Solar</v>
          </cell>
          <cell r="M1467" t="str">
            <v>Dx</v>
          </cell>
          <cell r="N1467" t="str">
            <v>Toronto</v>
          </cell>
          <cell r="O1467" t="str">
            <v>Toronto</v>
          </cell>
          <cell r="P1467" t="str">
            <v>Toronto</v>
          </cell>
        </row>
        <row r="1468">
          <cell r="C1468" t="str">
            <v>6750 Davand</v>
          </cell>
          <cell r="D1468" t="str">
            <v>Solaire Kapuskasing Solar Inc.</v>
          </cell>
          <cell r="E1468" t="str">
            <v>CO</v>
          </cell>
          <cell r="F1468">
            <v>41827</v>
          </cell>
          <cell r="G1468">
            <v>41992</v>
          </cell>
          <cell r="H1468">
            <v>49296</v>
          </cell>
          <cell r="I1468" t="str">
            <v>19 years, 11 months, 29 days</v>
          </cell>
          <cell r="J1468" t="str">
            <v>Renewables</v>
          </cell>
          <cell r="K1468" t="str">
            <v>Solar (Rooftop)</v>
          </cell>
          <cell r="L1468" t="str">
            <v>Solar</v>
          </cell>
          <cell r="M1468" t="str">
            <v>Dx</v>
          </cell>
          <cell r="N1468" t="str">
            <v>Mississauga</v>
          </cell>
          <cell r="O1468" t="str">
            <v>Peel</v>
          </cell>
          <cell r="P1468" t="str">
            <v>Toronto</v>
          </cell>
        </row>
        <row r="1469">
          <cell r="C1469" t="str">
            <v>O02-595 Moodie</v>
          </cell>
          <cell r="D1469" t="str">
            <v>Conseil scolaire de district catholique du Centre-Est de l'Ontario</v>
          </cell>
          <cell r="E1469" t="str">
            <v>CO</v>
          </cell>
          <cell r="F1469">
            <v>41834</v>
          </cell>
          <cell r="G1469">
            <v>42059</v>
          </cell>
          <cell r="H1469">
            <v>49363</v>
          </cell>
          <cell r="I1469" t="str">
            <v>19 years, 11 months, 30 days</v>
          </cell>
          <cell r="J1469" t="str">
            <v>Renewables</v>
          </cell>
          <cell r="K1469" t="str">
            <v>Solar (Rooftop)</v>
          </cell>
          <cell r="L1469" t="str">
            <v>Solar</v>
          </cell>
          <cell r="M1469" t="str">
            <v>Dx</v>
          </cell>
          <cell r="N1469" t="str">
            <v>Ottawa</v>
          </cell>
          <cell r="O1469" t="str">
            <v>Ottawa</v>
          </cell>
          <cell r="P1469" t="str">
            <v>Ottawa</v>
          </cell>
        </row>
        <row r="1470">
          <cell r="C1470" t="str">
            <v>The Corporation of St. John's Kilmarnock School</v>
          </cell>
          <cell r="D1470" t="str">
            <v>Amp Canada Inc.</v>
          </cell>
          <cell r="E1470" t="str">
            <v>CO</v>
          </cell>
          <cell r="F1470">
            <v>41820</v>
          </cell>
          <cell r="G1470">
            <v>41955</v>
          </cell>
          <cell r="H1470">
            <v>49124</v>
          </cell>
          <cell r="I1470" t="str">
            <v>19 years, 7 months, 17 days</v>
          </cell>
          <cell r="J1470" t="str">
            <v>Renewables</v>
          </cell>
          <cell r="K1470" t="str">
            <v>Solar (Rooftop)</v>
          </cell>
          <cell r="L1470" t="str">
            <v>Solar</v>
          </cell>
          <cell r="M1470" t="str">
            <v>Dx</v>
          </cell>
          <cell r="N1470" t="str">
            <v>Breslau</v>
          </cell>
          <cell r="O1470" t="str">
            <v>Waterloo</v>
          </cell>
          <cell r="P1470" t="str">
            <v>Southwest</v>
          </cell>
        </row>
        <row r="1471">
          <cell r="C1471" t="str">
            <v>BarnFit</v>
          </cell>
          <cell r="D1471" t="str">
            <v>Wilspring Farms Ltd</v>
          </cell>
          <cell r="E1471" t="str">
            <v>CO</v>
          </cell>
          <cell r="F1471">
            <v>41029</v>
          </cell>
          <cell r="G1471">
            <v>40785</v>
          </cell>
          <cell r="H1471">
            <v>48089</v>
          </cell>
          <cell r="I1471" t="str">
            <v>19 years, 11 months, 30 days</v>
          </cell>
          <cell r="J1471" t="str">
            <v>Renewables</v>
          </cell>
          <cell r="K1471" t="str">
            <v>Solar (Rooftop)</v>
          </cell>
          <cell r="L1471" t="str">
            <v>Solar</v>
          </cell>
          <cell r="M1471" t="str">
            <v>Dx</v>
          </cell>
          <cell r="N1471" t="str">
            <v>Uxbridge</v>
          </cell>
          <cell r="O1471" t="str">
            <v>Durham</v>
          </cell>
          <cell r="P1471" t="str">
            <v>Essa</v>
          </cell>
        </row>
        <row r="1472">
          <cell r="C1472" t="str">
            <v>Oshawa Village Suites</v>
          </cell>
          <cell r="D1472" t="str">
            <v>Solar Finance Inc.</v>
          </cell>
          <cell r="E1472" t="str">
            <v>CO</v>
          </cell>
          <cell r="F1472">
            <v>41822</v>
          </cell>
          <cell r="G1472">
            <v>41607</v>
          </cell>
          <cell r="H1472">
            <v>48911</v>
          </cell>
          <cell r="I1472" t="str">
            <v>19 years, 11 months, 30 days</v>
          </cell>
          <cell r="J1472" t="str">
            <v>Renewables</v>
          </cell>
          <cell r="K1472" t="str">
            <v>Solar (Rooftop)</v>
          </cell>
          <cell r="L1472" t="str">
            <v>Solar</v>
          </cell>
          <cell r="M1472" t="str">
            <v>Dx</v>
          </cell>
          <cell r="N1472" t="str">
            <v>Oshawa</v>
          </cell>
          <cell r="O1472" t="str">
            <v>Durham</v>
          </cell>
          <cell r="P1472" t="str">
            <v>Toronto</v>
          </cell>
        </row>
        <row r="1473">
          <cell r="C1473" t="str">
            <v>SATEC WA PORTER COLLEGIATE INSTITUTE</v>
          </cell>
          <cell r="D1473" t="str">
            <v>Toronto District School Board</v>
          </cell>
          <cell r="E1473" t="str">
            <v>CO</v>
          </cell>
          <cell r="F1473">
            <v>41818</v>
          </cell>
          <cell r="G1473">
            <v>41010</v>
          </cell>
          <cell r="H1473">
            <v>48314</v>
          </cell>
          <cell r="I1473" t="str">
            <v>19 years, 11 months, 30 days</v>
          </cell>
          <cell r="J1473" t="str">
            <v>Renewables</v>
          </cell>
          <cell r="K1473" t="str">
            <v>Solar (Rooftop)</v>
          </cell>
          <cell r="L1473" t="str">
            <v>Solar</v>
          </cell>
          <cell r="M1473" t="str">
            <v>Dx</v>
          </cell>
          <cell r="N1473" t="str">
            <v>Toronto</v>
          </cell>
          <cell r="O1473" t="str">
            <v>Toronto</v>
          </cell>
          <cell r="P1473" t="str">
            <v>Toronto</v>
          </cell>
        </row>
        <row r="1474">
          <cell r="C1474" t="str">
            <v>O02-2011 Glenfern</v>
          </cell>
          <cell r="D1474" t="str">
            <v>Fengate (FGDI) Limited Partnership</v>
          </cell>
          <cell r="E1474" t="str">
            <v>CO</v>
          </cell>
          <cell r="F1474">
            <v>41827</v>
          </cell>
          <cell r="G1474">
            <v>42053</v>
          </cell>
          <cell r="H1474">
            <v>49357</v>
          </cell>
          <cell r="I1474" t="str">
            <v>19 years, 11 months, 30 days</v>
          </cell>
          <cell r="J1474" t="str">
            <v>Renewables</v>
          </cell>
          <cell r="K1474" t="str">
            <v>Solar (Rooftop)</v>
          </cell>
          <cell r="L1474" t="str">
            <v>Solar</v>
          </cell>
          <cell r="M1474" t="str">
            <v>Dx</v>
          </cell>
          <cell r="N1474" t="str">
            <v>Ottawa</v>
          </cell>
          <cell r="O1474" t="str">
            <v>Ottawa</v>
          </cell>
          <cell r="P1474" t="str">
            <v>Ottawa</v>
          </cell>
        </row>
        <row r="1475">
          <cell r="C1475" t="str">
            <v>Rockwood Farm</v>
          </cell>
          <cell r="D1475" t="str">
            <v>Eric Schwindt</v>
          </cell>
          <cell r="E1475" t="str">
            <v>CO</v>
          </cell>
          <cell r="F1475">
            <v>41806</v>
          </cell>
          <cell r="G1475">
            <v>41085</v>
          </cell>
          <cell r="H1475">
            <v>48389</v>
          </cell>
          <cell r="I1475" t="str">
            <v>19 years, 11 months, 30 days</v>
          </cell>
          <cell r="J1475" t="str">
            <v>Renewables</v>
          </cell>
          <cell r="K1475" t="str">
            <v>Solar (Rooftop)</v>
          </cell>
          <cell r="L1475" t="str">
            <v>Solar</v>
          </cell>
          <cell r="M1475" t="str">
            <v>Dx</v>
          </cell>
          <cell r="N1475" t="str">
            <v>Elmira</v>
          </cell>
          <cell r="O1475" t="str">
            <v>Waterloo</v>
          </cell>
          <cell r="P1475" t="str">
            <v>Southwest</v>
          </cell>
        </row>
        <row r="1476">
          <cell r="C1476" t="str">
            <v>CKSS Solar PV Project</v>
          </cell>
          <cell r="D1476" t="str">
            <v>Lambton-Kent District School Board</v>
          </cell>
          <cell r="E1476" t="str">
            <v>CO</v>
          </cell>
          <cell r="F1476">
            <v>41827</v>
          </cell>
          <cell r="G1476">
            <v>40814</v>
          </cell>
          <cell r="H1476">
            <v>48118</v>
          </cell>
          <cell r="I1476" t="str">
            <v>19 years, 11 months, 30 days</v>
          </cell>
          <cell r="J1476" t="str">
            <v>Renewables</v>
          </cell>
          <cell r="K1476" t="str">
            <v>Solar (Rooftop)</v>
          </cell>
          <cell r="L1476" t="str">
            <v>Solar</v>
          </cell>
          <cell r="M1476" t="str">
            <v>Dx</v>
          </cell>
          <cell r="N1476" t="str">
            <v>Chatham</v>
          </cell>
          <cell r="O1476" t="str">
            <v>Chatham-Kent</v>
          </cell>
          <cell r="P1476" t="str">
            <v>West</v>
          </cell>
        </row>
        <row r="1477">
          <cell r="C1477" t="str">
            <v>Birnam Pork</v>
          </cell>
          <cell r="D1477" t="str">
            <v>SE 2011 LP</v>
          </cell>
          <cell r="E1477" t="str">
            <v>CO</v>
          </cell>
          <cell r="F1477">
            <v>41799</v>
          </cell>
          <cell r="G1477">
            <v>41460</v>
          </cell>
          <cell r="H1477">
            <v>48764</v>
          </cell>
          <cell r="I1477" t="str">
            <v>19 years, 11 months, 29 days</v>
          </cell>
          <cell r="J1477" t="str">
            <v>Renewables</v>
          </cell>
          <cell r="K1477" t="str">
            <v>Solar (Rooftop)</v>
          </cell>
          <cell r="L1477" t="str">
            <v>Solar</v>
          </cell>
          <cell r="M1477" t="str">
            <v>Dx</v>
          </cell>
          <cell r="N1477" t="str">
            <v>Watford</v>
          </cell>
          <cell r="O1477" t="str">
            <v>Lambton</v>
          </cell>
          <cell r="P1477" t="str">
            <v>West</v>
          </cell>
        </row>
        <row r="1478">
          <cell r="C1478" t="str">
            <v>Stone Mills Solar Farm A (500KW)</v>
          </cell>
          <cell r="D1478" t="str">
            <v>Alectra Utilities Corporation</v>
          </cell>
          <cell r="E1478" t="str">
            <v>CO</v>
          </cell>
          <cell r="F1478">
            <v>41819</v>
          </cell>
          <cell r="G1478">
            <v>41458</v>
          </cell>
          <cell r="H1478">
            <v>48762</v>
          </cell>
          <cell r="I1478" t="str">
            <v>19 years, 11 months, 29 days</v>
          </cell>
          <cell r="J1478" t="str">
            <v>Renewables</v>
          </cell>
          <cell r="K1478" t="str">
            <v>Solar (Rooftop)</v>
          </cell>
          <cell r="L1478" t="str">
            <v>Solar</v>
          </cell>
          <cell r="M1478" t="str">
            <v>Dx</v>
          </cell>
          <cell r="N1478" t="str">
            <v>Newburgh</v>
          </cell>
          <cell r="O1478" t="str">
            <v>Lennox and Addington</v>
          </cell>
          <cell r="P1478" t="str">
            <v>East</v>
          </cell>
        </row>
        <row r="1479">
          <cell r="C1479" t="str">
            <v>Clearydale Farms</v>
          </cell>
          <cell r="D1479" t="str">
            <v>Clearydale Farms</v>
          </cell>
          <cell r="E1479" t="str">
            <v>CO</v>
          </cell>
          <cell r="F1479">
            <v>41294</v>
          </cell>
          <cell r="G1479">
            <v>41416</v>
          </cell>
          <cell r="H1479">
            <v>48598</v>
          </cell>
          <cell r="I1479" t="str">
            <v>19 years, 7 months, 28 days</v>
          </cell>
          <cell r="J1479" t="str">
            <v>Renewables</v>
          </cell>
          <cell r="K1479" t="str">
            <v>Bioenergy</v>
          </cell>
          <cell r="L1479" t="str">
            <v>Biogas</v>
          </cell>
          <cell r="M1479" t="str">
            <v>Dx</v>
          </cell>
          <cell r="N1479" t="str">
            <v>Spencerville</v>
          </cell>
          <cell r="O1479" t="str">
            <v>Leeds and Grenville</v>
          </cell>
          <cell r="P1479" t="str">
            <v>East</v>
          </cell>
        </row>
        <row r="1480">
          <cell r="C1480" t="str">
            <v>#199 8505 Tecumseh Rd, Windsor</v>
          </cell>
          <cell r="D1480" t="str">
            <v>PSI Solar Finance 1 Limited Partnership</v>
          </cell>
          <cell r="E1480" t="str">
            <v>CO</v>
          </cell>
          <cell r="F1480">
            <v>41897</v>
          </cell>
          <cell r="G1480">
            <v>41472</v>
          </cell>
          <cell r="H1480">
            <v>48776</v>
          </cell>
          <cell r="I1480" t="str">
            <v>19 years, 11 months, 29 days</v>
          </cell>
          <cell r="J1480" t="str">
            <v>Renewables</v>
          </cell>
          <cell r="K1480" t="str">
            <v>Solar (Rooftop)</v>
          </cell>
          <cell r="L1480" t="str">
            <v>Solar</v>
          </cell>
          <cell r="M1480" t="str">
            <v>Dx</v>
          </cell>
          <cell r="N1480" t="str">
            <v>Windsor</v>
          </cell>
          <cell r="O1480" t="str">
            <v>Essex</v>
          </cell>
          <cell r="P1480" t="str">
            <v>West</v>
          </cell>
        </row>
        <row r="1481">
          <cell r="C1481" t="str">
            <v>Suntract1</v>
          </cell>
          <cell r="D1481" t="str">
            <v>Fit Solar Systems Limited</v>
          </cell>
          <cell r="E1481" t="str">
            <v>CO</v>
          </cell>
          <cell r="F1481">
            <v>41792</v>
          </cell>
          <cell r="G1481">
            <v>41535</v>
          </cell>
          <cell r="H1481">
            <v>48839</v>
          </cell>
          <cell r="I1481" t="str">
            <v>19 years, 11 months, 30 days</v>
          </cell>
          <cell r="J1481" t="str">
            <v>Renewables</v>
          </cell>
          <cell r="K1481" t="str">
            <v>Solar (Rooftop)</v>
          </cell>
          <cell r="L1481" t="str">
            <v>Solar</v>
          </cell>
          <cell r="M1481" t="str">
            <v>Dx</v>
          </cell>
          <cell r="N1481" t="str">
            <v>Toronto</v>
          </cell>
          <cell r="O1481" t="str">
            <v>Toronto</v>
          </cell>
          <cell r="P1481" t="str">
            <v>Toronto</v>
          </cell>
        </row>
        <row r="1482">
          <cell r="C1482" t="str">
            <v>CEPEO Elementary Jeanne-Sauve</v>
          </cell>
          <cell r="D1482" t="str">
            <v>Ameresco CEPEO Solar Inc.</v>
          </cell>
          <cell r="E1482" t="str">
            <v>CO</v>
          </cell>
          <cell r="F1482">
            <v>41029</v>
          </cell>
          <cell r="G1482">
            <v>41228</v>
          </cell>
          <cell r="H1482">
            <v>48333</v>
          </cell>
          <cell r="I1482" t="str">
            <v>19 years, 5 months, 14 days</v>
          </cell>
          <cell r="J1482" t="str">
            <v>Renewables</v>
          </cell>
          <cell r="K1482" t="str">
            <v>Solar (Rooftop)</v>
          </cell>
          <cell r="L1482" t="str">
            <v>Solar</v>
          </cell>
          <cell r="M1482" t="str">
            <v>Dx</v>
          </cell>
          <cell r="N1482" t="str">
            <v>Ottawa</v>
          </cell>
          <cell r="O1482" t="str">
            <v>Ottawa</v>
          </cell>
          <cell r="P1482" t="str">
            <v>Ottawa</v>
          </cell>
        </row>
        <row r="1483">
          <cell r="C1483" t="str">
            <v>Part lot # 1516 Concession 6 Williamsburg</v>
          </cell>
          <cell r="D1483" t="str">
            <v>Eco-Energy Reserves Inc.</v>
          </cell>
          <cell r="E1483" t="str">
            <v>CO</v>
          </cell>
          <cell r="F1483">
            <v>41822</v>
          </cell>
          <cell r="G1483">
            <v>41234</v>
          </cell>
          <cell r="H1483">
            <v>48538</v>
          </cell>
          <cell r="I1483" t="str">
            <v>19 years, 11 months, 30 days</v>
          </cell>
          <cell r="J1483" t="str">
            <v>Renewables</v>
          </cell>
          <cell r="K1483" t="str">
            <v>Solar (Rooftop)</v>
          </cell>
          <cell r="L1483" t="str">
            <v>Solar</v>
          </cell>
          <cell r="M1483" t="str">
            <v>Dx</v>
          </cell>
          <cell r="N1483" t="str">
            <v>Williamsburg</v>
          </cell>
          <cell r="O1483" t="str">
            <v>Stormont, Dundas and Glengarry</v>
          </cell>
          <cell r="P1483" t="str">
            <v>East</v>
          </cell>
        </row>
        <row r="1484">
          <cell r="C1484" t="str">
            <v>M07 - 6660 Campobello</v>
          </cell>
          <cell r="D1484" t="str">
            <v>Sky Solar (Canada) FIT 1 Limited Partnership</v>
          </cell>
          <cell r="E1484" t="str">
            <v>CO</v>
          </cell>
          <cell r="F1484">
            <v>41843</v>
          </cell>
          <cell r="G1484">
            <v>41946</v>
          </cell>
          <cell r="H1484">
            <v>49250</v>
          </cell>
          <cell r="I1484" t="str">
            <v>19 years, 11 months, 30 days</v>
          </cell>
          <cell r="J1484" t="str">
            <v>Renewables</v>
          </cell>
          <cell r="K1484" t="str">
            <v>Solar (Rooftop)</v>
          </cell>
          <cell r="L1484" t="str">
            <v>Solar</v>
          </cell>
          <cell r="M1484" t="str">
            <v>Dx</v>
          </cell>
          <cell r="N1484" t="str">
            <v>Mississauga</v>
          </cell>
          <cell r="O1484" t="str">
            <v>Peel</v>
          </cell>
          <cell r="P1484" t="str">
            <v>Toronto</v>
          </cell>
        </row>
        <row r="1485">
          <cell r="C1485" t="str">
            <v>250kW Commercial Roof Solar PV Project</v>
          </cell>
          <cell r="D1485" t="str">
            <v>1838185 Ontario Inc.</v>
          </cell>
          <cell r="E1485" t="str">
            <v>CO</v>
          </cell>
          <cell r="F1485">
            <v>41841</v>
          </cell>
          <cell r="G1485">
            <v>41306</v>
          </cell>
          <cell r="H1485">
            <v>48610</v>
          </cell>
          <cell r="I1485" t="str">
            <v>19 years, 11 months, 30 days</v>
          </cell>
          <cell r="J1485" t="str">
            <v>Renewables</v>
          </cell>
          <cell r="K1485" t="str">
            <v>Solar (Rooftop)</v>
          </cell>
          <cell r="L1485" t="str">
            <v>Solar</v>
          </cell>
          <cell r="M1485" t="str">
            <v>Dx</v>
          </cell>
          <cell r="N1485" t="str">
            <v>Sarnia</v>
          </cell>
          <cell r="O1485" t="str">
            <v>Lambton</v>
          </cell>
          <cell r="P1485" t="str">
            <v>West</v>
          </cell>
        </row>
        <row r="1486">
          <cell r="C1486" t="str">
            <v>DR. NORMAN BETHUNE COLLEGIATE INSTITUTE</v>
          </cell>
          <cell r="D1486" t="str">
            <v>Toronto District School Board</v>
          </cell>
          <cell r="E1486" t="str">
            <v>CO</v>
          </cell>
          <cell r="F1486">
            <v>41813</v>
          </cell>
          <cell r="G1486">
            <v>41039</v>
          </cell>
          <cell r="H1486">
            <v>48343</v>
          </cell>
          <cell r="I1486" t="str">
            <v>19 years, 11 months, 29 days</v>
          </cell>
          <cell r="J1486" t="str">
            <v>Renewables</v>
          </cell>
          <cell r="K1486" t="str">
            <v>Solar (Rooftop)</v>
          </cell>
          <cell r="L1486" t="str">
            <v>Solar</v>
          </cell>
          <cell r="M1486" t="str">
            <v>Dx</v>
          </cell>
          <cell r="N1486" t="str">
            <v>Toronto</v>
          </cell>
          <cell r="O1486" t="str">
            <v>Toronto</v>
          </cell>
          <cell r="P1486" t="str">
            <v>Toronto</v>
          </cell>
        </row>
        <row r="1487">
          <cell r="C1487" t="str">
            <v>Crossroads Public School</v>
          </cell>
          <cell r="D1487" t="str">
            <v>District School Board of Niagara (DSBN)</v>
          </cell>
          <cell r="E1487" t="str">
            <v>CO</v>
          </cell>
          <cell r="F1487">
            <v>41825</v>
          </cell>
          <cell r="G1487">
            <v>41470</v>
          </cell>
          <cell r="H1487">
            <v>48774</v>
          </cell>
          <cell r="I1487" t="str">
            <v>19 years, 11 months, 29 days</v>
          </cell>
          <cell r="J1487" t="str">
            <v>Renewables</v>
          </cell>
          <cell r="K1487" t="str">
            <v>Solar (Rooftop)</v>
          </cell>
          <cell r="L1487" t="str">
            <v>Solar</v>
          </cell>
          <cell r="M1487" t="str">
            <v>Dx</v>
          </cell>
          <cell r="N1487" t="str">
            <v>Niagara-on-the-Lake</v>
          </cell>
          <cell r="O1487" t="str">
            <v>Niagara</v>
          </cell>
          <cell r="P1487" t="str">
            <v>Niagara</v>
          </cell>
        </row>
        <row r="1488">
          <cell r="C1488" t="str">
            <v>1850 Fisher Drive</v>
          </cell>
          <cell r="D1488" t="str">
            <v>PSI Solar Finance 1 Limited Partnership</v>
          </cell>
          <cell r="E1488" t="str">
            <v>CO</v>
          </cell>
          <cell r="F1488">
            <v>41363</v>
          </cell>
          <cell r="G1488">
            <v>41227</v>
          </cell>
          <cell r="H1488">
            <v>48531</v>
          </cell>
          <cell r="I1488" t="str">
            <v>19 years, 11 months, 30 days</v>
          </cell>
          <cell r="J1488" t="str">
            <v>Renewables</v>
          </cell>
          <cell r="K1488" t="str">
            <v>Solar (Rooftop)</v>
          </cell>
          <cell r="L1488" t="str">
            <v>Solar</v>
          </cell>
          <cell r="M1488" t="str">
            <v>Dx</v>
          </cell>
          <cell r="N1488" t="str">
            <v>Peterborough</v>
          </cell>
          <cell r="O1488" t="str">
            <v>Peterborough</v>
          </cell>
          <cell r="P1488" t="str">
            <v>East</v>
          </cell>
        </row>
        <row r="1489">
          <cell r="C1489" t="str">
            <v>LapWel Renewable Energy (shop rooftop)</v>
          </cell>
          <cell r="D1489" t="str">
            <v>2114520 Ontario Inc.</v>
          </cell>
          <cell r="E1489" t="str">
            <v>CO</v>
          </cell>
          <cell r="F1489">
            <v>41796</v>
          </cell>
          <cell r="G1489">
            <v>41949</v>
          </cell>
          <cell r="H1489">
            <v>49253</v>
          </cell>
          <cell r="I1489" t="str">
            <v>19 years, 11 months, 30 days</v>
          </cell>
          <cell r="J1489" t="str">
            <v>Renewables</v>
          </cell>
          <cell r="K1489" t="str">
            <v>Solar (Rooftop)</v>
          </cell>
          <cell r="L1489" t="str">
            <v>Solar</v>
          </cell>
          <cell r="M1489" t="str">
            <v>Dx</v>
          </cell>
          <cell r="N1489" t="str">
            <v>Alexandria</v>
          </cell>
          <cell r="O1489" t="str">
            <v>Stormont, Dundas and Glengarry</v>
          </cell>
          <cell r="P1489" t="str">
            <v>Ottawa</v>
          </cell>
        </row>
        <row r="1490">
          <cell r="C1490" t="str">
            <v>MARGAL</v>
          </cell>
          <cell r="D1490" t="str">
            <v>Margal Properties Inc.</v>
          </cell>
          <cell r="E1490" t="str">
            <v>CO</v>
          </cell>
          <cell r="F1490">
            <v>41813</v>
          </cell>
          <cell r="G1490">
            <v>41802</v>
          </cell>
          <cell r="H1490">
            <v>49106</v>
          </cell>
          <cell r="I1490" t="str">
            <v>19 years, 11 months, 30 days</v>
          </cell>
          <cell r="J1490" t="str">
            <v>Renewables</v>
          </cell>
          <cell r="K1490" t="str">
            <v>Solar (Rooftop)</v>
          </cell>
          <cell r="L1490" t="str">
            <v>Solar</v>
          </cell>
          <cell r="M1490" t="str">
            <v>Dx</v>
          </cell>
          <cell r="N1490" t="str">
            <v>Erin</v>
          </cell>
          <cell r="O1490" t="str">
            <v>Wellington</v>
          </cell>
          <cell r="P1490" t="str">
            <v>Southwest</v>
          </cell>
        </row>
        <row r="1491">
          <cell r="C1491" t="str">
            <v>50 Atlantic Court</v>
          </cell>
          <cell r="D1491" t="str">
            <v>1129381 Ontario Inc.</v>
          </cell>
          <cell r="E1491" t="str">
            <v>CO</v>
          </cell>
          <cell r="F1491">
            <v>41834</v>
          </cell>
          <cell r="G1491">
            <v>41100</v>
          </cell>
          <cell r="H1491">
            <v>48404</v>
          </cell>
          <cell r="I1491" t="str">
            <v>19 years, 11 months, 29 days</v>
          </cell>
          <cell r="J1491" t="str">
            <v>Renewables</v>
          </cell>
          <cell r="K1491" t="str">
            <v>Solar (Rooftop)</v>
          </cell>
          <cell r="L1491" t="str">
            <v>Solar</v>
          </cell>
          <cell r="M1491" t="str">
            <v>Dx</v>
          </cell>
          <cell r="N1491" t="str">
            <v>London</v>
          </cell>
          <cell r="O1491" t="str">
            <v>Middlesex</v>
          </cell>
          <cell r="P1491" t="str">
            <v>West</v>
          </cell>
        </row>
        <row r="1492">
          <cell r="C1492" t="str">
            <v>Neeb Haven Farms</v>
          </cell>
          <cell r="D1492" t="str">
            <v>Neeb Haven Farms Ltd.</v>
          </cell>
          <cell r="E1492" t="str">
            <v>CO</v>
          </cell>
          <cell r="F1492">
            <v>41029</v>
          </cell>
          <cell r="G1492">
            <v>41036</v>
          </cell>
          <cell r="H1492">
            <v>48333</v>
          </cell>
          <cell r="I1492" t="str">
            <v>19 years, 11 months, 22 days</v>
          </cell>
          <cell r="J1492" t="str">
            <v>Renewables</v>
          </cell>
          <cell r="K1492" t="str">
            <v>Solar (Rooftop)</v>
          </cell>
          <cell r="L1492" t="str">
            <v>Solar</v>
          </cell>
          <cell r="M1492" t="str">
            <v>Dx</v>
          </cell>
          <cell r="N1492" t="str">
            <v>New Hamburg</v>
          </cell>
          <cell r="O1492" t="str">
            <v>Waterloo</v>
          </cell>
          <cell r="P1492" t="str">
            <v>Southwest</v>
          </cell>
        </row>
        <row r="1493">
          <cell r="C1493" t="str">
            <v>C5 Farm Solar One</v>
          </cell>
          <cell r="D1493" t="str">
            <v>2262474 Ontario Inc.</v>
          </cell>
          <cell r="E1493" t="str">
            <v>CO</v>
          </cell>
          <cell r="F1493">
            <v>41807</v>
          </cell>
          <cell r="G1493">
            <v>41100</v>
          </cell>
          <cell r="H1493">
            <v>48404</v>
          </cell>
          <cell r="I1493" t="str">
            <v>19 years, 11 months, 29 days</v>
          </cell>
          <cell r="J1493" t="str">
            <v>Renewables</v>
          </cell>
          <cell r="K1493" t="str">
            <v>Solar (Rooftop)</v>
          </cell>
          <cell r="L1493" t="str">
            <v>Solar</v>
          </cell>
          <cell r="M1493" t="str">
            <v>Dx</v>
          </cell>
          <cell r="N1493" t="str">
            <v>Delta</v>
          </cell>
          <cell r="O1493" t="str">
            <v>Leeds and Grenville</v>
          </cell>
          <cell r="P1493" t="str">
            <v>East</v>
          </cell>
        </row>
        <row r="1494">
          <cell r="C1494" t="str">
            <v>New-Life Mills</v>
          </cell>
          <cell r="D1494" t="str">
            <v>Newridge Farms Limited</v>
          </cell>
          <cell r="E1494" t="str">
            <v>CO</v>
          </cell>
          <cell r="F1494">
            <v>41827</v>
          </cell>
          <cell r="G1494">
            <v>41249</v>
          </cell>
          <cell r="H1494">
            <v>48553</v>
          </cell>
          <cell r="I1494" t="str">
            <v>19 years, 11 months, 29 days</v>
          </cell>
          <cell r="J1494" t="str">
            <v>Renewables</v>
          </cell>
          <cell r="K1494" t="str">
            <v>Solar (Rooftop)</v>
          </cell>
          <cell r="L1494" t="str">
            <v>Solar</v>
          </cell>
          <cell r="M1494" t="str">
            <v>Dx</v>
          </cell>
          <cell r="N1494" t="str">
            <v>Hanover</v>
          </cell>
          <cell r="O1494" t="str">
            <v>Grey</v>
          </cell>
          <cell r="P1494" t="str">
            <v>Southwest</v>
          </cell>
        </row>
        <row r="1495">
          <cell r="C1495" t="str">
            <v>Terra Niagara # 2</v>
          </cell>
          <cell r="D1495" t="str">
            <v>Brightroof Solar Limited Partnership</v>
          </cell>
          <cell r="E1495" t="str">
            <v>CO</v>
          </cell>
          <cell r="F1495">
            <v>41818</v>
          </cell>
          <cell r="G1495">
            <v>41920</v>
          </cell>
          <cell r="H1495">
            <v>49224</v>
          </cell>
          <cell r="I1495" t="str">
            <v>19 years, 11 months, 29 days</v>
          </cell>
          <cell r="J1495" t="str">
            <v>Renewables</v>
          </cell>
          <cell r="K1495" t="str">
            <v>Solar (Rooftop)</v>
          </cell>
          <cell r="L1495" t="str">
            <v>Solar</v>
          </cell>
          <cell r="M1495" t="str">
            <v>Dx</v>
          </cell>
          <cell r="N1495" t="str">
            <v>St. Catharines</v>
          </cell>
          <cell r="O1495" t="str">
            <v>Niagara</v>
          </cell>
          <cell r="P1495" t="str">
            <v>Niagara</v>
          </cell>
        </row>
        <row r="1496">
          <cell r="C1496" t="str">
            <v>Mother Teresa HS</v>
          </cell>
          <cell r="D1496" t="str">
            <v>Ottawa Catholic School Board</v>
          </cell>
          <cell r="E1496" t="str">
            <v>CO</v>
          </cell>
          <cell r="F1496">
            <v>41827</v>
          </cell>
          <cell r="G1496">
            <v>40975</v>
          </cell>
          <cell r="H1496">
            <v>48279</v>
          </cell>
          <cell r="I1496" t="str">
            <v>19 years, 11 months, 28 days</v>
          </cell>
          <cell r="J1496" t="str">
            <v>Renewables</v>
          </cell>
          <cell r="K1496" t="str">
            <v>Solar (Rooftop)</v>
          </cell>
          <cell r="L1496" t="str">
            <v>Solar</v>
          </cell>
          <cell r="M1496" t="str">
            <v>Dx</v>
          </cell>
          <cell r="N1496" t="str">
            <v>Ottawa</v>
          </cell>
          <cell r="O1496" t="str">
            <v>Ottawa</v>
          </cell>
          <cell r="P1496" t="str">
            <v>Ottawa</v>
          </cell>
        </row>
        <row r="1497">
          <cell r="C1497" t="str">
            <v>Niagara 1</v>
          </cell>
          <cell r="D1497" t="str">
            <v>Taiyo Energy Inc.</v>
          </cell>
          <cell r="E1497" t="str">
            <v>CO</v>
          </cell>
          <cell r="F1497">
            <v>41796</v>
          </cell>
          <cell r="G1497">
            <v>41880</v>
          </cell>
          <cell r="H1497">
            <v>49184</v>
          </cell>
          <cell r="I1497" t="str">
            <v>19 years, 11 months, 30 days</v>
          </cell>
          <cell r="J1497" t="str">
            <v>Renewables</v>
          </cell>
          <cell r="K1497" t="str">
            <v>Solar (Ground Mounted)</v>
          </cell>
          <cell r="L1497" t="str">
            <v>Solar</v>
          </cell>
          <cell r="M1497" t="str">
            <v>Dx</v>
          </cell>
          <cell r="N1497" t="str">
            <v>Port Colborne</v>
          </cell>
          <cell r="O1497" t="str">
            <v>Niagara</v>
          </cell>
          <cell r="P1497" t="str">
            <v>Niagara</v>
          </cell>
        </row>
        <row r="1498">
          <cell r="C1498" t="str">
            <v>Csoff 75kW</v>
          </cell>
          <cell r="D1498" t="str">
            <v>Josef Csoff</v>
          </cell>
          <cell r="E1498" t="str">
            <v>CO</v>
          </cell>
          <cell r="F1498">
            <v>41029</v>
          </cell>
          <cell r="G1498">
            <v>40900</v>
          </cell>
          <cell r="H1498">
            <v>48204</v>
          </cell>
          <cell r="I1498" t="str">
            <v>19 years, 11 months, 29 days</v>
          </cell>
          <cell r="J1498" t="str">
            <v>Renewables</v>
          </cell>
          <cell r="K1498" t="str">
            <v>Solar (Rooftop)</v>
          </cell>
          <cell r="L1498" t="str">
            <v>Solar</v>
          </cell>
          <cell r="M1498" t="str">
            <v>Dx</v>
          </cell>
          <cell r="N1498" t="str">
            <v>Otterville</v>
          </cell>
          <cell r="O1498" t="str">
            <v>Oxford</v>
          </cell>
          <cell r="P1498" t="str">
            <v>West</v>
          </cell>
        </row>
        <row r="1499">
          <cell r="C1499" t="str">
            <v>Skyjack Inc Plant 1</v>
          </cell>
          <cell r="D1499" t="str">
            <v>Skyjack Inc</v>
          </cell>
          <cell r="E1499" t="str">
            <v>CO</v>
          </cell>
          <cell r="F1499">
            <v>41461</v>
          </cell>
          <cell r="G1499">
            <v>41558</v>
          </cell>
          <cell r="H1499">
            <v>48862</v>
          </cell>
          <cell r="I1499" t="str">
            <v>19 years, 11 months, 29 days</v>
          </cell>
          <cell r="J1499" t="str">
            <v>Renewables</v>
          </cell>
          <cell r="K1499" t="str">
            <v>Solar (Rooftop)</v>
          </cell>
          <cell r="L1499" t="str">
            <v>Solar</v>
          </cell>
          <cell r="M1499" t="str">
            <v>Dx</v>
          </cell>
          <cell r="N1499" t="str">
            <v>Guelph</v>
          </cell>
          <cell r="O1499" t="str">
            <v>Wellington</v>
          </cell>
          <cell r="P1499" t="str">
            <v>Southwest</v>
          </cell>
        </row>
        <row r="1500">
          <cell r="C1500" t="str">
            <v>111 Snidercroft Road</v>
          </cell>
          <cell r="D1500" t="str">
            <v>Sunny Day Energy Inc.</v>
          </cell>
          <cell r="E1500" t="str">
            <v>CO</v>
          </cell>
          <cell r="F1500">
            <v>41834</v>
          </cell>
          <cell r="G1500">
            <v>41108</v>
          </cell>
          <cell r="H1500">
            <v>48412</v>
          </cell>
          <cell r="I1500" t="str">
            <v>19 years, 11 months, 29 days</v>
          </cell>
          <cell r="J1500" t="str">
            <v>Renewables</v>
          </cell>
          <cell r="K1500" t="str">
            <v>Solar (Rooftop)</v>
          </cell>
          <cell r="L1500" t="str">
            <v>Solar</v>
          </cell>
          <cell r="M1500" t="str">
            <v>Dx</v>
          </cell>
          <cell r="N1500" t="str">
            <v>Concord</v>
          </cell>
          <cell r="O1500" t="str">
            <v>York</v>
          </cell>
          <cell r="P1500" t="str">
            <v>Toronto</v>
          </cell>
        </row>
        <row r="1501">
          <cell r="C1501" t="str">
            <v>1233893 Ontario Ltd.</v>
          </cell>
          <cell r="D1501" t="str">
            <v>N&amp;G LP</v>
          </cell>
          <cell r="E1501" t="str">
            <v>CO</v>
          </cell>
          <cell r="F1501">
            <v>41813</v>
          </cell>
          <cell r="G1501">
            <v>40932</v>
          </cell>
          <cell r="H1501">
            <v>48236</v>
          </cell>
          <cell r="I1501" t="str">
            <v>19 years, 11 months, 30 days</v>
          </cell>
          <cell r="J1501" t="str">
            <v>Renewables</v>
          </cell>
          <cell r="K1501" t="str">
            <v>Solar (Rooftop)</v>
          </cell>
          <cell r="L1501" t="str">
            <v>Solar</v>
          </cell>
          <cell r="M1501" t="str">
            <v>Dx</v>
          </cell>
          <cell r="N1501" t="str">
            <v>Windsor</v>
          </cell>
          <cell r="O1501" t="str">
            <v>Essex</v>
          </cell>
          <cell r="P1501" t="str">
            <v>West</v>
          </cell>
        </row>
        <row r="1502">
          <cell r="C1502" t="str">
            <v>289 BRIDGELAND</v>
          </cell>
          <cell r="D1502" t="str">
            <v>H&amp;M Kids inc.</v>
          </cell>
          <cell r="E1502" t="str">
            <v>CO</v>
          </cell>
          <cell r="F1502">
            <v>41440</v>
          </cell>
          <cell r="G1502">
            <v>41345</v>
          </cell>
          <cell r="H1502">
            <v>48649</v>
          </cell>
          <cell r="I1502" t="str">
            <v>19 years, 11 months, 27 days</v>
          </cell>
          <cell r="J1502" t="str">
            <v>Renewables</v>
          </cell>
          <cell r="K1502" t="str">
            <v>Solar (Rooftop)</v>
          </cell>
          <cell r="L1502" t="str">
            <v>Solar</v>
          </cell>
          <cell r="M1502" t="str">
            <v>Dx</v>
          </cell>
          <cell r="N1502" t="str">
            <v>Toronto</v>
          </cell>
          <cell r="O1502" t="str">
            <v>Toronto</v>
          </cell>
          <cell r="P1502" t="str">
            <v>Toronto</v>
          </cell>
        </row>
        <row r="1503">
          <cell r="C1503" t="str">
            <v>Grandravine Park Community Centre Solar PV</v>
          </cell>
          <cell r="D1503" t="str">
            <v>Toronto Hydro-Electric System Limited</v>
          </cell>
          <cell r="E1503" t="str">
            <v>CO</v>
          </cell>
          <cell r="F1503">
            <v>41804</v>
          </cell>
          <cell r="G1503">
            <v>41360</v>
          </cell>
          <cell r="H1503">
            <v>48664</v>
          </cell>
          <cell r="I1503" t="str">
            <v>19 years, 11 months, 27 days</v>
          </cell>
          <cell r="J1503" t="str">
            <v>Renewables</v>
          </cell>
          <cell r="K1503" t="str">
            <v>Solar (Rooftop)</v>
          </cell>
          <cell r="L1503" t="str">
            <v>Solar</v>
          </cell>
          <cell r="M1503" t="str">
            <v>Dx</v>
          </cell>
          <cell r="N1503" t="str">
            <v>Toronto</v>
          </cell>
          <cell r="O1503" t="str">
            <v>Toronto</v>
          </cell>
          <cell r="P1503" t="str">
            <v>Toronto</v>
          </cell>
        </row>
        <row r="1504">
          <cell r="C1504" t="str">
            <v>C10-7933 Huntington</v>
          </cell>
          <cell r="D1504" t="str">
            <v>Alectra Utilities Corporation</v>
          </cell>
          <cell r="E1504" t="str">
            <v>CO</v>
          </cell>
          <cell r="F1504">
            <v>41854</v>
          </cell>
          <cell r="G1504">
            <v>41908</v>
          </cell>
          <cell r="H1504">
            <v>49212</v>
          </cell>
          <cell r="I1504" t="str">
            <v>19 years, 11 months, 30 days</v>
          </cell>
          <cell r="J1504" t="str">
            <v>Renewables</v>
          </cell>
          <cell r="K1504" t="str">
            <v>Solar (Rooftop)</v>
          </cell>
          <cell r="L1504" t="str">
            <v>Solar</v>
          </cell>
          <cell r="M1504" t="str">
            <v>Dx</v>
          </cell>
          <cell r="N1504" t="str">
            <v>Woodbridge</v>
          </cell>
          <cell r="O1504" t="str">
            <v>York</v>
          </cell>
          <cell r="P1504" t="str">
            <v>Toronto</v>
          </cell>
        </row>
        <row r="1505">
          <cell r="C1505" t="str">
            <v>Ad Lucem RT-XXX</v>
          </cell>
          <cell r="D1505" t="str">
            <v>Mark Lichty</v>
          </cell>
          <cell r="E1505" t="str">
            <v>CO</v>
          </cell>
          <cell r="F1505">
            <v>41834</v>
          </cell>
          <cell r="G1505">
            <v>41208</v>
          </cell>
          <cell r="H1505">
            <v>48512</v>
          </cell>
          <cell r="I1505" t="str">
            <v>19 years, 11 months, 29 days</v>
          </cell>
          <cell r="J1505" t="str">
            <v>Renewables</v>
          </cell>
          <cell r="K1505" t="str">
            <v>Solar (Rooftop)</v>
          </cell>
          <cell r="L1505" t="str">
            <v>Solar</v>
          </cell>
          <cell r="M1505" t="str">
            <v>Dx</v>
          </cell>
          <cell r="N1505" t="str">
            <v>Shakespeare</v>
          </cell>
          <cell r="O1505" t="str">
            <v>Perth</v>
          </cell>
          <cell r="P1505" t="str">
            <v>Southwest</v>
          </cell>
        </row>
        <row r="1506">
          <cell r="C1506" t="str">
            <v>(C77) Real Canadian Superstore South Service Road</v>
          </cell>
          <cell r="D1506" t="str">
            <v>Firelight Solar LP</v>
          </cell>
          <cell r="E1506" t="str">
            <v>CO</v>
          </cell>
          <cell r="F1506">
            <v>41805</v>
          </cell>
          <cell r="G1506">
            <v>41913</v>
          </cell>
          <cell r="H1506">
            <v>49217</v>
          </cell>
          <cell r="I1506" t="str">
            <v>19 years, 11 months, 29 days</v>
          </cell>
          <cell r="J1506" t="str">
            <v>Renewables</v>
          </cell>
          <cell r="K1506" t="str">
            <v>Solar (Rooftop)</v>
          </cell>
          <cell r="L1506" t="str">
            <v>Solar</v>
          </cell>
          <cell r="M1506" t="str">
            <v>Dx</v>
          </cell>
          <cell r="N1506" t="str">
            <v>Grimsby</v>
          </cell>
          <cell r="O1506" t="str">
            <v>Niagara</v>
          </cell>
          <cell r="P1506" t="str">
            <v>Niagara</v>
          </cell>
        </row>
        <row r="1507">
          <cell r="C1507" t="str">
            <v>TCHC - Danforth Ave. (1275)</v>
          </cell>
          <cell r="D1507" t="str">
            <v>Toronto Community Housing Corporation</v>
          </cell>
          <cell r="E1507" t="str">
            <v>CO</v>
          </cell>
          <cell r="F1507">
            <v>41827</v>
          </cell>
          <cell r="G1507">
            <v>41080</v>
          </cell>
          <cell r="H1507">
            <v>48384</v>
          </cell>
          <cell r="I1507" t="str">
            <v>19 years, 11 months, 30 days</v>
          </cell>
          <cell r="J1507" t="str">
            <v>Renewables</v>
          </cell>
          <cell r="K1507" t="str">
            <v>Solar (Rooftop)</v>
          </cell>
          <cell r="L1507" t="str">
            <v>Solar</v>
          </cell>
          <cell r="M1507" t="str">
            <v>Dx</v>
          </cell>
          <cell r="N1507" t="str">
            <v>Toronto</v>
          </cell>
          <cell r="O1507" t="str">
            <v>Toronto</v>
          </cell>
          <cell r="P1507" t="str">
            <v>Toronto</v>
          </cell>
        </row>
        <row r="1508">
          <cell r="C1508" t="str">
            <v>L01-2900 Walker's</v>
          </cell>
          <cell r="D1508" t="str">
            <v>Longo Power Generation Inc.</v>
          </cell>
          <cell r="E1508" t="str">
            <v>CO</v>
          </cell>
          <cell r="F1508">
            <v>41826</v>
          </cell>
          <cell r="G1508">
            <v>41803</v>
          </cell>
          <cell r="H1508">
            <v>49107</v>
          </cell>
          <cell r="I1508" t="str">
            <v>19 years, 11 months, 30 days</v>
          </cell>
          <cell r="J1508" t="str">
            <v>Renewables</v>
          </cell>
          <cell r="K1508" t="str">
            <v>Solar (Rooftop)</v>
          </cell>
          <cell r="L1508" t="str">
            <v>Solar</v>
          </cell>
          <cell r="M1508" t="str">
            <v>Dx</v>
          </cell>
          <cell r="N1508" t="str">
            <v>Burlington</v>
          </cell>
          <cell r="O1508" t="str">
            <v>Halton</v>
          </cell>
          <cell r="P1508" t="str">
            <v>Southwest</v>
          </cell>
        </row>
        <row r="1509">
          <cell r="C1509" t="str">
            <v>Keen Fit Project #1</v>
          </cell>
          <cell r="D1509" t="str">
            <v>Keenview Farms Ltd</v>
          </cell>
          <cell r="E1509" t="str">
            <v>CO</v>
          </cell>
          <cell r="F1509">
            <v>41814</v>
          </cell>
          <cell r="G1509">
            <v>41151</v>
          </cell>
          <cell r="H1509">
            <v>48455</v>
          </cell>
          <cell r="I1509" t="str">
            <v>19 years, 11 months, 30 days</v>
          </cell>
          <cell r="J1509" t="str">
            <v>Renewables</v>
          </cell>
          <cell r="K1509" t="str">
            <v>Solar (Rooftop)</v>
          </cell>
          <cell r="L1509" t="str">
            <v>Solar</v>
          </cell>
          <cell r="M1509" t="str">
            <v>Dx</v>
          </cell>
          <cell r="N1509" t="str">
            <v>Dunnville</v>
          </cell>
          <cell r="O1509" t="str">
            <v>Haldimand</v>
          </cell>
          <cell r="P1509" t="str">
            <v>Southwest</v>
          </cell>
        </row>
        <row r="1510">
          <cell r="C1510" t="str">
            <v>430 McNeilly Road</v>
          </cell>
          <cell r="D1510" t="str">
            <v>1520866 Ontario Limited</v>
          </cell>
          <cell r="E1510" t="str">
            <v>CO</v>
          </cell>
          <cell r="F1510">
            <v>41806</v>
          </cell>
          <cell r="G1510">
            <v>41443</v>
          </cell>
          <cell r="H1510">
            <v>48747</v>
          </cell>
          <cell r="I1510" t="str">
            <v>19 years, 11 months, 30 days</v>
          </cell>
          <cell r="J1510" t="str">
            <v>Renewables</v>
          </cell>
          <cell r="K1510" t="str">
            <v>Solar (Rooftop)</v>
          </cell>
          <cell r="L1510" t="str">
            <v>Solar</v>
          </cell>
          <cell r="M1510" t="str">
            <v>Dx</v>
          </cell>
          <cell r="N1510" t="str">
            <v>Hamilton</v>
          </cell>
          <cell r="O1510" t="str">
            <v>Hamilton</v>
          </cell>
          <cell r="P1510" t="str">
            <v>Niagara</v>
          </cell>
        </row>
        <row r="1511">
          <cell r="C1511" t="str">
            <v>Folkens # 6</v>
          </cell>
          <cell r="D1511" t="str">
            <v>2 4 6 0 8 8 2 O N T A R I O L I M I T E D</v>
          </cell>
          <cell r="E1511" t="str">
            <v>CO</v>
          </cell>
          <cell r="F1511">
            <v>41799</v>
          </cell>
          <cell r="G1511">
            <v>41981</v>
          </cell>
          <cell r="H1511">
            <v>49103</v>
          </cell>
          <cell r="I1511" t="str">
            <v>19 years, 6 months, 0 days</v>
          </cell>
          <cell r="J1511" t="str">
            <v>Renewables</v>
          </cell>
          <cell r="K1511" t="str">
            <v>Solar (Rooftop)</v>
          </cell>
          <cell r="L1511" t="str">
            <v>Solar</v>
          </cell>
          <cell r="M1511" t="str">
            <v>Dx</v>
          </cell>
          <cell r="N1511" t="str">
            <v>Hamilton</v>
          </cell>
          <cell r="O1511" t="str">
            <v>Hamilton</v>
          </cell>
          <cell r="P1511" t="str">
            <v>Southwest</v>
          </cell>
        </row>
        <row r="1512">
          <cell r="C1512" t="str">
            <v>Bow Lake Phase 2b</v>
          </cell>
          <cell r="D1512" t="str">
            <v>Nodin Kitagan 2 Limited Partnership</v>
          </cell>
          <cell r="E1512" t="str">
            <v>CO</v>
          </cell>
          <cell r="F1512">
            <v>42488</v>
          </cell>
          <cell r="G1512">
            <v>42271</v>
          </cell>
          <cell r="H1512">
            <v>49575</v>
          </cell>
          <cell r="I1512" t="str">
            <v>19 years, 11 months, 30 days</v>
          </cell>
          <cell r="J1512" t="str">
            <v>Renewables</v>
          </cell>
          <cell r="K1512" t="str">
            <v>Wind (On-Shore)</v>
          </cell>
          <cell r="L1512" t="str">
            <v>Wind</v>
          </cell>
          <cell r="M1512" t="str">
            <v>Tx</v>
          </cell>
          <cell r="N1512" t="str">
            <v>Montreal River Harbour</v>
          </cell>
          <cell r="O1512" t="str">
            <v>Algoma</v>
          </cell>
          <cell r="P1512" t="str">
            <v>Northeast</v>
          </cell>
        </row>
        <row r="1513">
          <cell r="C1513" t="str">
            <v>GREENLIFE</v>
          </cell>
          <cell r="D1513" t="str">
            <v>Del Ridge (Main Street) Inc.</v>
          </cell>
          <cell r="E1513" t="str">
            <v>CO</v>
          </cell>
          <cell r="F1513">
            <v>41797</v>
          </cell>
          <cell r="G1513">
            <v>41032</v>
          </cell>
          <cell r="H1513">
            <v>48336</v>
          </cell>
          <cell r="I1513" t="str">
            <v>19 years, 11 months, 29 days</v>
          </cell>
          <cell r="J1513" t="str">
            <v>Renewables</v>
          </cell>
          <cell r="K1513" t="str">
            <v>Solar (Rooftop)</v>
          </cell>
          <cell r="L1513" t="str">
            <v>Solar</v>
          </cell>
          <cell r="M1513" t="str">
            <v>Dx</v>
          </cell>
          <cell r="N1513" t="str">
            <v>Milton</v>
          </cell>
          <cell r="O1513" t="str">
            <v>Halton</v>
          </cell>
          <cell r="P1513" t="str">
            <v>Southwest</v>
          </cell>
        </row>
        <row r="1514">
          <cell r="C1514" t="str">
            <v>625 Harvie Settlement Rd</v>
          </cell>
          <cell r="D1514" t="str">
            <v>EcoPoly Properties Inc.</v>
          </cell>
          <cell r="E1514" t="str">
            <v>CO</v>
          </cell>
          <cell r="F1514">
            <v>41435</v>
          </cell>
          <cell r="G1514">
            <v>41437</v>
          </cell>
          <cell r="H1514">
            <v>48739</v>
          </cell>
          <cell r="I1514" t="str">
            <v>19 years, 11 months, 28 days</v>
          </cell>
          <cell r="J1514" t="str">
            <v>Renewables</v>
          </cell>
          <cell r="K1514" t="str">
            <v>Solar (Rooftop)</v>
          </cell>
          <cell r="L1514" t="str">
            <v>Solar</v>
          </cell>
          <cell r="M1514" t="str">
            <v>Dx</v>
          </cell>
          <cell r="N1514" t="str">
            <v>Orillia</v>
          </cell>
          <cell r="O1514" t="str">
            <v>Simcoe</v>
          </cell>
          <cell r="P1514" t="str">
            <v>Essa</v>
          </cell>
        </row>
        <row r="1515">
          <cell r="C1515" t="str">
            <v>3096 Devon Drive Solar</v>
          </cell>
          <cell r="D1515" t="str">
            <v>Solar Income Fund LP (#2)</v>
          </cell>
          <cell r="E1515" t="str">
            <v>CO</v>
          </cell>
          <cell r="F1515">
            <v>41806</v>
          </cell>
          <cell r="G1515">
            <v>41668</v>
          </cell>
          <cell r="H1515">
            <v>48972</v>
          </cell>
          <cell r="I1515" t="str">
            <v>19 years, 11 months, 30 days</v>
          </cell>
          <cell r="J1515" t="str">
            <v>Renewables</v>
          </cell>
          <cell r="K1515" t="str">
            <v>Solar (Rooftop)</v>
          </cell>
          <cell r="L1515" t="str">
            <v>Solar</v>
          </cell>
          <cell r="M1515" t="str">
            <v>Dx</v>
          </cell>
          <cell r="N1515" t="str">
            <v>Windsor</v>
          </cell>
          <cell r="O1515" t="str">
            <v>Essex</v>
          </cell>
          <cell r="P1515" t="str">
            <v>West</v>
          </cell>
        </row>
        <row r="1516">
          <cell r="C1516" t="str">
            <v>545 CR - 22 P.E.C.</v>
          </cell>
          <cell r="D1516" t="str">
            <v>CLEAVE ENERGY HOLDINGS LTD.</v>
          </cell>
          <cell r="E1516" t="str">
            <v>CO</v>
          </cell>
          <cell r="F1516">
            <v>41457</v>
          </cell>
          <cell r="G1516">
            <v>41708</v>
          </cell>
          <cell r="H1516">
            <v>48761</v>
          </cell>
          <cell r="I1516" t="str">
            <v>19 years, 3 months, 21 days</v>
          </cell>
          <cell r="J1516" t="str">
            <v>Renewables</v>
          </cell>
          <cell r="K1516" t="str">
            <v>Solar (Rooftop)</v>
          </cell>
          <cell r="L1516" t="str">
            <v>Solar</v>
          </cell>
          <cell r="M1516" t="str">
            <v>Dx</v>
          </cell>
          <cell r="N1516" t="str">
            <v>Picton</v>
          </cell>
          <cell r="O1516" t="str">
            <v>Prince Edward</v>
          </cell>
          <cell r="P1516" t="str">
            <v>East</v>
          </cell>
        </row>
        <row r="1517">
          <cell r="C1517" t="str">
            <v>#446 430 Holland St. W, Bradford</v>
          </cell>
          <cell r="D1517" t="str">
            <v>PSI Solar Finance 1 Limited Partnership</v>
          </cell>
          <cell r="E1517" t="str">
            <v>CO</v>
          </cell>
          <cell r="F1517">
            <v>41792</v>
          </cell>
          <cell r="G1517">
            <v>41470</v>
          </cell>
          <cell r="H1517">
            <v>48774</v>
          </cell>
          <cell r="I1517" t="str">
            <v>19 years, 11 months, 29 days</v>
          </cell>
          <cell r="J1517" t="str">
            <v>Renewables</v>
          </cell>
          <cell r="K1517" t="str">
            <v>Solar (Rooftop)</v>
          </cell>
          <cell r="L1517" t="str">
            <v>Solar</v>
          </cell>
          <cell r="M1517" t="str">
            <v>Dx</v>
          </cell>
          <cell r="N1517" t="str">
            <v>Bradford</v>
          </cell>
          <cell r="O1517" t="str">
            <v>Simcoe</v>
          </cell>
          <cell r="P1517" t="str">
            <v>Essa</v>
          </cell>
        </row>
        <row r="1518">
          <cell r="C1518" t="str">
            <v>3553 Montpellier Chelmsford Solar Array</v>
          </cell>
          <cell r="D1518" t="str">
            <v>Greater Sudbury Housing Corporation</v>
          </cell>
          <cell r="E1518" t="str">
            <v>CO</v>
          </cell>
          <cell r="F1518">
            <v>41820</v>
          </cell>
          <cell r="G1518">
            <v>41541</v>
          </cell>
          <cell r="H1518">
            <v>48845</v>
          </cell>
          <cell r="I1518" t="str">
            <v>19 years, 11 months, 30 days</v>
          </cell>
          <cell r="J1518" t="str">
            <v>Renewables</v>
          </cell>
          <cell r="K1518" t="str">
            <v>Solar (Rooftop)</v>
          </cell>
          <cell r="L1518" t="str">
            <v>Solar</v>
          </cell>
          <cell r="M1518" t="str">
            <v>Dx</v>
          </cell>
          <cell r="N1518" t="str">
            <v>Chelmsford</v>
          </cell>
          <cell r="O1518" t="str">
            <v>Greater Sudbury</v>
          </cell>
          <cell r="P1518" t="str">
            <v>Northeast</v>
          </cell>
        </row>
        <row r="1519">
          <cell r="C1519" t="str">
            <v>(C73) Real Canadian Superstore Highland Road West</v>
          </cell>
          <cell r="D1519" t="str">
            <v>Firelight Solar LP</v>
          </cell>
          <cell r="E1519" t="str">
            <v>CO</v>
          </cell>
          <cell r="F1519">
            <v>41805</v>
          </cell>
          <cell r="G1519">
            <v>41571</v>
          </cell>
          <cell r="H1519">
            <v>48875</v>
          </cell>
          <cell r="I1519" t="str">
            <v>19 years, 11 months, 29 days</v>
          </cell>
          <cell r="J1519" t="str">
            <v>Renewables</v>
          </cell>
          <cell r="K1519" t="str">
            <v>Solar (Rooftop)</v>
          </cell>
          <cell r="L1519" t="str">
            <v>Solar</v>
          </cell>
          <cell r="M1519" t="str">
            <v>Dx</v>
          </cell>
          <cell r="N1519" t="str">
            <v>Kitchener</v>
          </cell>
          <cell r="O1519" t="str">
            <v>Waterloo</v>
          </cell>
          <cell r="P1519" t="str">
            <v>Southwest</v>
          </cell>
        </row>
        <row r="1520">
          <cell r="C1520" t="str">
            <v>PowerStream 2010-122</v>
          </cell>
          <cell r="D1520" t="str">
            <v>Alectra Utilities Corporation</v>
          </cell>
          <cell r="E1520" t="str">
            <v>CO</v>
          </cell>
          <cell r="F1520">
            <v>41545</v>
          </cell>
          <cell r="G1520">
            <v>40899</v>
          </cell>
          <cell r="H1520">
            <v>48203</v>
          </cell>
          <cell r="I1520" t="str">
            <v>19 years, 11 months, 29 days</v>
          </cell>
          <cell r="J1520" t="str">
            <v>Renewables</v>
          </cell>
          <cell r="K1520" t="str">
            <v>Solar (Rooftop)</v>
          </cell>
          <cell r="L1520" t="str">
            <v>Solar</v>
          </cell>
          <cell r="M1520" t="str">
            <v>Dx</v>
          </cell>
          <cell r="N1520" t="str">
            <v>Thornhill</v>
          </cell>
          <cell r="O1520" t="str">
            <v>York</v>
          </cell>
          <cell r="P1520" t="str">
            <v>Toronto</v>
          </cell>
        </row>
        <row r="1521">
          <cell r="C1521" t="str">
            <v>80 Norwich</v>
          </cell>
          <cell r="D1521" t="str">
            <v>SunEdison DG Operating Holdings-2, LLC</v>
          </cell>
          <cell r="E1521" t="str">
            <v>CO</v>
          </cell>
          <cell r="F1521">
            <v>41029</v>
          </cell>
          <cell r="G1521">
            <v>40772</v>
          </cell>
          <cell r="H1521">
            <v>48076</v>
          </cell>
          <cell r="I1521" t="str">
            <v>19 years, 11 months, 30 days</v>
          </cell>
          <cell r="J1521" t="str">
            <v>Renewables</v>
          </cell>
          <cell r="K1521" t="str">
            <v>Solar (Rooftop)</v>
          </cell>
          <cell r="L1521" t="str">
            <v>Solar</v>
          </cell>
          <cell r="M1521" t="str">
            <v>Dx</v>
          </cell>
          <cell r="N1521" t="str">
            <v>Woodstock</v>
          </cell>
          <cell r="O1521" t="str">
            <v>Oxford</v>
          </cell>
          <cell r="P1521" t="str">
            <v>Southwest</v>
          </cell>
        </row>
        <row r="1522">
          <cell r="C1522" t="str">
            <v>NJ - FIT - 1</v>
          </cell>
          <cell r="D1522" t="str">
            <v>2247322 Ontario Inc</v>
          </cell>
          <cell r="E1522" t="str">
            <v>CO</v>
          </cell>
          <cell r="F1522">
            <v>41827</v>
          </cell>
          <cell r="G1522">
            <v>41010</v>
          </cell>
          <cell r="H1522">
            <v>48314</v>
          </cell>
          <cell r="I1522" t="str">
            <v>19 years, 11 months, 30 days</v>
          </cell>
          <cell r="J1522" t="str">
            <v>Renewables</v>
          </cell>
          <cell r="K1522" t="str">
            <v>Solar (Rooftop)</v>
          </cell>
          <cell r="L1522" t="str">
            <v>Solar</v>
          </cell>
          <cell r="M1522" t="str">
            <v>Dx</v>
          </cell>
          <cell r="N1522" t="str">
            <v>Stouffville</v>
          </cell>
          <cell r="O1522" t="str">
            <v>York</v>
          </cell>
          <cell r="P1522" t="str">
            <v>Essa</v>
          </cell>
        </row>
        <row r="1523">
          <cell r="C1523" t="str">
            <v>A11-235 Ardelt</v>
          </cell>
          <cell r="D1523" t="str">
            <v>Woodhouse Investments Inc.</v>
          </cell>
          <cell r="E1523" t="str">
            <v>CO</v>
          </cell>
          <cell r="F1523">
            <v>41825</v>
          </cell>
          <cell r="G1523">
            <v>41585</v>
          </cell>
          <cell r="H1523">
            <v>48889</v>
          </cell>
          <cell r="I1523" t="str">
            <v>19 years, 11 months, 30 days</v>
          </cell>
          <cell r="J1523" t="str">
            <v>Renewables</v>
          </cell>
          <cell r="K1523" t="str">
            <v>Solar (Rooftop)</v>
          </cell>
          <cell r="L1523" t="str">
            <v>Solar</v>
          </cell>
          <cell r="M1523" t="str">
            <v>Dx</v>
          </cell>
          <cell r="N1523" t="str">
            <v>Kitchener</v>
          </cell>
          <cell r="O1523" t="str">
            <v>Waterloo</v>
          </cell>
          <cell r="P1523" t="str">
            <v>Southwest</v>
          </cell>
        </row>
        <row r="1524">
          <cell r="C1524" t="str">
            <v>27 Regan Road</v>
          </cell>
          <cell r="D1524" t="str">
            <v>WC Enerco Inc.</v>
          </cell>
          <cell r="E1524" t="str">
            <v>CO</v>
          </cell>
          <cell r="F1524">
            <v>41813</v>
          </cell>
          <cell r="G1524">
            <v>41667</v>
          </cell>
          <cell r="H1524">
            <v>48971</v>
          </cell>
          <cell r="I1524" t="str">
            <v>19 years, 11 months, 30 days</v>
          </cell>
          <cell r="J1524" t="str">
            <v>Renewables</v>
          </cell>
          <cell r="K1524" t="str">
            <v>Solar (Rooftop)</v>
          </cell>
          <cell r="L1524" t="str">
            <v>Solar</v>
          </cell>
          <cell r="M1524" t="str">
            <v>Dx</v>
          </cell>
          <cell r="N1524" t="str">
            <v>Brampton</v>
          </cell>
          <cell r="O1524" t="str">
            <v>Peel</v>
          </cell>
          <cell r="P1524" t="str">
            <v>Toronto</v>
          </cell>
        </row>
        <row r="1525">
          <cell r="C1525" t="str">
            <v>3282 St. Etienne</v>
          </cell>
          <cell r="D1525" t="str">
            <v>2413221 Ontario Inc.</v>
          </cell>
          <cell r="E1525" t="str">
            <v>CO</v>
          </cell>
          <cell r="F1525">
            <v>41811</v>
          </cell>
          <cell r="G1525">
            <v>41971</v>
          </cell>
          <cell r="H1525">
            <v>49275</v>
          </cell>
          <cell r="I1525" t="str">
            <v>19 years, 11 months, 30 days</v>
          </cell>
          <cell r="J1525" t="str">
            <v>Renewables</v>
          </cell>
          <cell r="K1525" t="str">
            <v>Solar (Rooftop)</v>
          </cell>
          <cell r="L1525" t="str">
            <v>Solar</v>
          </cell>
          <cell r="M1525" t="str">
            <v>Dx</v>
          </cell>
          <cell r="N1525" t="str">
            <v>Windsor</v>
          </cell>
          <cell r="O1525" t="str">
            <v>Essex</v>
          </cell>
          <cell r="P1525" t="str">
            <v>West</v>
          </cell>
        </row>
        <row r="1526">
          <cell r="C1526" t="str">
            <v>1024248 Ontario Inc. Biogas</v>
          </cell>
          <cell r="D1526" t="str">
            <v>1024248 Ontario Inc.</v>
          </cell>
          <cell r="E1526" t="str">
            <v>CO</v>
          </cell>
          <cell r="F1526">
            <v>41440</v>
          </cell>
          <cell r="G1526">
            <v>41879</v>
          </cell>
          <cell r="H1526">
            <v>48744</v>
          </cell>
          <cell r="I1526" t="str">
            <v>18 years, 9 months, 17 days</v>
          </cell>
          <cell r="J1526" t="str">
            <v>Renewables</v>
          </cell>
          <cell r="K1526" t="str">
            <v>Bioenergy</v>
          </cell>
          <cell r="L1526" t="str">
            <v>Biogas (On-Farm)</v>
          </cell>
          <cell r="M1526" t="str">
            <v>Dx</v>
          </cell>
          <cell r="N1526" t="str">
            <v>St. Bernardin</v>
          </cell>
          <cell r="O1526" t="str">
            <v>Prescott and Russell</v>
          </cell>
          <cell r="P1526" t="str">
            <v>Ottawa</v>
          </cell>
        </row>
        <row r="1527">
          <cell r="C1527" t="str">
            <v>(C82) Real Canadian Superstore Victoria Street</v>
          </cell>
          <cell r="D1527" t="str">
            <v>Firelight Solar LP</v>
          </cell>
          <cell r="E1527" t="str">
            <v>CO</v>
          </cell>
          <cell r="F1527">
            <v>41805</v>
          </cell>
          <cell r="G1527">
            <v>41541</v>
          </cell>
          <cell r="H1527">
            <v>48845</v>
          </cell>
          <cell r="I1527" t="str">
            <v>19 years, 11 months, 30 days</v>
          </cell>
          <cell r="J1527" t="str">
            <v>Renewables</v>
          </cell>
          <cell r="K1527" t="str">
            <v>Solar (Rooftop)</v>
          </cell>
          <cell r="L1527" t="str">
            <v>Solar</v>
          </cell>
          <cell r="M1527" t="str">
            <v>Dx</v>
          </cell>
          <cell r="N1527" t="str">
            <v>Strathroy</v>
          </cell>
          <cell r="O1527" t="str">
            <v>Middlesex</v>
          </cell>
          <cell r="P1527" t="str">
            <v>West</v>
          </cell>
        </row>
        <row r="1528">
          <cell r="C1528" t="str">
            <v>T04-680 Kipling</v>
          </cell>
          <cell r="D1528" t="str">
            <v>Alectra Utilities Corporation</v>
          </cell>
          <cell r="E1528" t="str">
            <v>CO</v>
          </cell>
          <cell r="F1528">
            <v>41710</v>
          </cell>
          <cell r="G1528">
            <v>41764</v>
          </cell>
          <cell r="H1528">
            <v>49068</v>
          </cell>
          <cell r="I1528" t="str">
            <v>19 years, 11 months, 29 days</v>
          </cell>
          <cell r="J1528" t="str">
            <v>Renewables</v>
          </cell>
          <cell r="K1528" t="str">
            <v>Solar (Rooftop)</v>
          </cell>
          <cell r="L1528" t="str">
            <v>Solar</v>
          </cell>
          <cell r="M1528" t="str">
            <v>Dx</v>
          </cell>
          <cell r="N1528" t="str">
            <v>Toronto</v>
          </cell>
          <cell r="O1528" t="str">
            <v>Toronto</v>
          </cell>
          <cell r="P1528" t="str">
            <v>Toronto</v>
          </cell>
        </row>
        <row r="1529">
          <cell r="C1529" t="str">
            <v>176 Hayward Avenue</v>
          </cell>
          <cell r="D1529" t="str">
            <v>PSI Solar Finance 1 Limited Partnership</v>
          </cell>
          <cell r="E1529" t="str">
            <v>CO</v>
          </cell>
          <cell r="F1529">
            <v>41356</v>
          </cell>
          <cell r="G1529">
            <v>41341</v>
          </cell>
          <cell r="H1529">
            <v>48645</v>
          </cell>
          <cell r="I1529" t="str">
            <v>19 years, 11 months, 27 days</v>
          </cell>
          <cell r="J1529" t="str">
            <v>Renewables</v>
          </cell>
          <cell r="K1529" t="str">
            <v>Solar (Rooftop)</v>
          </cell>
          <cell r="L1529" t="str">
            <v>Solar</v>
          </cell>
          <cell r="M1529" t="str">
            <v>Dx</v>
          </cell>
          <cell r="N1529" t="str">
            <v>Kitchener</v>
          </cell>
          <cell r="O1529" t="str">
            <v>Waterloo</v>
          </cell>
          <cell r="P1529" t="str">
            <v>Southwest</v>
          </cell>
        </row>
        <row r="1530">
          <cell r="C1530" t="str">
            <v>Atlantic Packaging - 255 Brimley Road</v>
          </cell>
          <cell r="D1530" t="str">
            <v>ATL Rooftop Solar LP</v>
          </cell>
          <cell r="E1530" t="str">
            <v>CO</v>
          </cell>
          <cell r="F1530">
            <v>41811</v>
          </cell>
          <cell r="G1530">
            <v>41985</v>
          </cell>
          <cell r="H1530">
            <v>49289</v>
          </cell>
          <cell r="I1530" t="str">
            <v>19 years, 11 months, 29 days</v>
          </cell>
          <cell r="J1530" t="str">
            <v>Renewables</v>
          </cell>
          <cell r="K1530" t="str">
            <v>Solar (Rooftop)</v>
          </cell>
          <cell r="L1530" t="str">
            <v>Solar</v>
          </cell>
          <cell r="M1530" t="str">
            <v>Dx</v>
          </cell>
          <cell r="N1530" t="str">
            <v>Toronto</v>
          </cell>
          <cell r="O1530" t="str">
            <v>Toronto</v>
          </cell>
          <cell r="P1530" t="str">
            <v>Toronto</v>
          </cell>
        </row>
        <row r="1531">
          <cell r="C1531" t="str">
            <v>35 Minthorn Boulevard</v>
          </cell>
          <cell r="D1531" t="str">
            <v>GBG Solar 2010 Partnership</v>
          </cell>
          <cell r="E1531" t="str">
            <v>CO</v>
          </cell>
          <cell r="F1531">
            <v>41877</v>
          </cell>
          <cell r="G1531">
            <v>41487</v>
          </cell>
          <cell r="H1531">
            <v>48791</v>
          </cell>
          <cell r="I1531" t="str">
            <v>19 years, 11 months, 30 days</v>
          </cell>
          <cell r="J1531" t="str">
            <v>Renewables</v>
          </cell>
          <cell r="K1531" t="str">
            <v>Solar (Rooftop)</v>
          </cell>
          <cell r="L1531" t="str">
            <v>Solar</v>
          </cell>
          <cell r="M1531" t="str">
            <v>Dx</v>
          </cell>
          <cell r="N1531" t="str">
            <v>Thornhill</v>
          </cell>
          <cell r="O1531" t="str">
            <v>York</v>
          </cell>
          <cell r="P1531" t="str">
            <v>Toronto</v>
          </cell>
        </row>
        <row r="1532">
          <cell r="C1532" t="str">
            <v>Kozak Mechanical, Lot 15</v>
          </cell>
          <cell r="D1532" t="str">
            <v>WC Enerco Inc.</v>
          </cell>
          <cell r="E1532" t="str">
            <v>CO</v>
          </cell>
          <cell r="F1532">
            <v>41790</v>
          </cell>
          <cell r="G1532">
            <v>42338</v>
          </cell>
          <cell r="H1532">
            <v>49642</v>
          </cell>
          <cell r="I1532" t="str">
            <v>19 years, 11 months, 30 days</v>
          </cell>
          <cell r="J1532" t="str">
            <v>Renewables</v>
          </cell>
          <cell r="K1532" t="str">
            <v>Solar (Ground Mounted)</v>
          </cell>
          <cell r="L1532" t="str">
            <v>Solar</v>
          </cell>
          <cell r="M1532" t="str">
            <v>Dx</v>
          </cell>
          <cell r="N1532" t="str">
            <v>Sebright</v>
          </cell>
          <cell r="O1532" t="str">
            <v>Simcoe</v>
          </cell>
          <cell r="P1532" t="str">
            <v>Essa</v>
          </cell>
        </row>
        <row r="1533">
          <cell r="C1533" t="str">
            <v>247 Kingsley Road</v>
          </cell>
          <cell r="D1533" t="str">
            <v>CLEAVE ENERGY HOLDINGS LTD.</v>
          </cell>
          <cell r="E1533" t="str">
            <v>CO</v>
          </cell>
          <cell r="F1533">
            <v>41457</v>
          </cell>
          <cell r="G1533">
            <v>41708</v>
          </cell>
          <cell r="H1533">
            <v>48761</v>
          </cell>
          <cell r="I1533" t="str">
            <v>19 years, 3 months, 21 days</v>
          </cell>
          <cell r="J1533" t="str">
            <v>Renewables</v>
          </cell>
          <cell r="K1533" t="str">
            <v>Solar (Rooftop)</v>
          </cell>
          <cell r="L1533" t="str">
            <v>Solar</v>
          </cell>
          <cell r="M1533" t="str">
            <v>Dx</v>
          </cell>
          <cell r="N1533" t="str">
            <v>Picton</v>
          </cell>
          <cell r="O1533" t="str">
            <v>Prince Edward</v>
          </cell>
          <cell r="P1533" t="str">
            <v>East</v>
          </cell>
        </row>
        <row r="1534">
          <cell r="C1534" t="str">
            <v>Corvex Manufacturing</v>
          </cell>
          <cell r="D1534" t="str">
            <v>Linamar Corporation</v>
          </cell>
          <cell r="E1534" t="str">
            <v>CO</v>
          </cell>
          <cell r="F1534">
            <v>41029</v>
          </cell>
          <cell r="G1534">
            <v>40983</v>
          </cell>
          <cell r="H1534">
            <v>48287</v>
          </cell>
          <cell r="I1534" t="str">
            <v>19 years, 11 months, 28 days</v>
          </cell>
          <cell r="J1534" t="str">
            <v>Renewables</v>
          </cell>
          <cell r="K1534" t="str">
            <v>Solar (Rooftop)</v>
          </cell>
          <cell r="L1534" t="str">
            <v>Solar</v>
          </cell>
          <cell r="M1534" t="str">
            <v>Dx</v>
          </cell>
          <cell r="N1534" t="str">
            <v>Guelph</v>
          </cell>
          <cell r="O1534" t="str">
            <v>Wellington</v>
          </cell>
          <cell r="P1534" t="str">
            <v>Southwest</v>
          </cell>
        </row>
        <row r="1535">
          <cell r="C1535" t="str">
            <v>(O1) Bayly Street Warehouse</v>
          </cell>
          <cell r="D1535" t="str">
            <v>Firelight Solar LP</v>
          </cell>
          <cell r="E1535" t="str">
            <v>CO</v>
          </cell>
          <cell r="F1535">
            <v>41843</v>
          </cell>
          <cell r="G1535">
            <v>41914</v>
          </cell>
          <cell r="H1535">
            <v>49218</v>
          </cell>
          <cell r="I1535" t="str">
            <v>19 years, 11 months, 29 days</v>
          </cell>
          <cell r="J1535" t="str">
            <v>Renewables</v>
          </cell>
          <cell r="K1535" t="str">
            <v>Solar (Rooftop)</v>
          </cell>
          <cell r="L1535" t="str">
            <v>Solar</v>
          </cell>
          <cell r="M1535" t="str">
            <v>Dx</v>
          </cell>
          <cell r="N1535" t="str">
            <v>Ajax</v>
          </cell>
          <cell r="O1535" t="str">
            <v>Durham</v>
          </cell>
          <cell r="P1535" t="str">
            <v>Toronto</v>
          </cell>
        </row>
        <row r="1536">
          <cell r="C1536" t="str">
            <v>Inglewood Light and Power</v>
          </cell>
          <cell r="D1536" t="str">
            <v>Riverdale Management Ltd.</v>
          </cell>
          <cell r="E1536" t="str">
            <v>CO</v>
          </cell>
          <cell r="F1536">
            <v>41029</v>
          </cell>
          <cell r="G1536">
            <v>40717</v>
          </cell>
          <cell r="H1536">
            <v>48021</v>
          </cell>
          <cell r="I1536" t="str">
            <v>19 years, 11 months, 30 days</v>
          </cell>
          <cell r="J1536" t="str">
            <v>Renewables</v>
          </cell>
          <cell r="K1536" t="str">
            <v>Solar (Rooftop)</v>
          </cell>
          <cell r="L1536" t="str">
            <v>Solar</v>
          </cell>
          <cell r="M1536" t="str">
            <v>Dx</v>
          </cell>
          <cell r="N1536" t="str">
            <v>Caledon</v>
          </cell>
          <cell r="O1536" t="str">
            <v>Peel</v>
          </cell>
          <cell r="P1536" t="str">
            <v>Southwest</v>
          </cell>
        </row>
        <row r="1537">
          <cell r="C1537" t="str">
            <v>LTC Wonderland - Photovoltaic Installation</v>
          </cell>
          <cell r="D1537" t="str">
            <v>London Transit Commission</v>
          </cell>
          <cell r="E1537" t="str">
            <v>CO</v>
          </cell>
          <cell r="F1537">
            <v>41811</v>
          </cell>
          <cell r="G1537">
            <v>40947</v>
          </cell>
          <cell r="H1537">
            <v>48251</v>
          </cell>
          <cell r="I1537" t="str">
            <v>19 years, 11 months, 30 days</v>
          </cell>
          <cell r="J1537" t="str">
            <v>Renewables</v>
          </cell>
          <cell r="K1537" t="str">
            <v>Solar (Rooftop)</v>
          </cell>
          <cell r="L1537" t="str">
            <v>Solar</v>
          </cell>
          <cell r="M1537" t="str">
            <v>Dx</v>
          </cell>
          <cell r="N1537" t="str">
            <v>London</v>
          </cell>
          <cell r="O1537" t="str">
            <v>Middlesex</v>
          </cell>
          <cell r="P1537" t="str">
            <v>West</v>
          </cell>
        </row>
        <row r="1538">
          <cell r="C1538" t="str">
            <v>Kingston Gardiner TS Unity Road</v>
          </cell>
          <cell r="D1538" t="str">
            <v>SunE Unity LP</v>
          </cell>
          <cell r="E1538" t="str">
            <v>CO</v>
          </cell>
          <cell r="F1538">
            <v>41391</v>
          </cell>
          <cell r="G1538">
            <v>41670</v>
          </cell>
          <cell r="H1538">
            <v>48974</v>
          </cell>
          <cell r="I1538" t="str">
            <v>19 years, 11 months, 30 days</v>
          </cell>
          <cell r="J1538" t="str">
            <v>Renewables</v>
          </cell>
          <cell r="K1538" t="str">
            <v>Solar (Ground Mounted)</v>
          </cell>
          <cell r="L1538" t="str">
            <v>Solar</v>
          </cell>
          <cell r="M1538" t="str">
            <v>Dx</v>
          </cell>
          <cell r="N1538" t="str">
            <v>Elginburg</v>
          </cell>
          <cell r="O1538" t="str">
            <v>Frontenac</v>
          </cell>
          <cell r="P1538" t="str">
            <v>East</v>
          </cell>
        </row>
        <row r="1539">
          <cell r="C1539" t="str">
            <v>PowerStream 2010-103</v>
          </cell>
          <cell r="D1539" t="str">
            <v>Alectra Utilities Corporation</v>
          </cell>
          <cell r="E1539" t="str">
            <v>CO</v>
          </cell>
          <cell r="F1539">
            <v>41461</v>
          </cell>
          <cell r="G1539">
            <v>40974</v>
          </cell>
          <cell r="H1539">
            <v>48278</v>
          </cell>
          <cell r="I1539" t="str">
            <v>19 years, 11 months, 28 days</v>
          </cell>
          <cell r="J1539" t="str">
            <v>Renewables</v>
          </cell>
          <cell r="K1539" t="str">
            <v>Solar (Rooftop)</v>
          </cell>
          <cell r="L1539" t="str">
            <v>Solar</v>
          </cell>
          <cell r="M1539" t="str">
            <v>Dx</v>
          </cell>
          <cell r="N1539" t="str">
            <v>Markham</v>
          </cell>
          <cell r="O1539" t="str">
            <v>York</v>
          </cell>
          <cell r="P1539" t="str">
            <v>Toronto</v>
          </cell>
        </row>
        <row r="1540">
          <cell r="C1540" t="str">
            <v>CanFirst - Richmond Hill (45 A West Wilmot Street)</v>
          </cell>
          <cell r="D1540" t="str">
            <v>Firelight Solar LP</v>
          </cell>
          <cell r="E1540" t="str">
            <v>CO</v>
          </cell>
          <cell r="F1540">
            <v>41029</v>
          </cell>
          <cell r="G1540">
            <v>40679</v>
          </cell>
          <cell r="H1540">
            <v>47983</v>
          </cell>
          <cell r="I1540" t="str">
            <v>19 years, 11 months, 29 days</v>
          </cell>
          <cell r="J1540" t="str">
            <v>Renewables</v>
          </cell>
          <cell r="K1540" t="str">
            <v>Solar (Rooftop)</v>
          </cell>
          <cell r="L1540" t="str">
            <v>Solar</v>
          </cell>
          <cell r="M1540" t="str">
            <v>Dx</v>
          </cell>
          <cell r="N1540" t="str">
            <v>Richmond Hill</v>
          </cell>
          <cell r="O1540" t="str">
            <v>York</v>
          </cell>
          <cell r="P1540" t="str">
            <v>Toronto</v>
          </cell>
        </row>
        <row r="1541">
          <cell r="C1541" t="str">
            <v>RWCW Solar</v>
          </cell>
          <cell r="D1541" t="str">
            <v>Royal Windsor Car Wash</v>
          </cell>
          <cell r="E1541" t="str">
            <v>CO</v>
          </cell>
          <cell r="F1541">
            <v>41029</v>
          </cell>
          <cell r="G1541">
            <v>40820</v>
          </cell>
          <cell r="H1541">
            <v>48124</v>
          </cell>
          <cell r="I1541" t="str">
            <v>19 years, 11 months, 29 days</v>
          </cell>
          <cell r="J1541" t="str">
            <v>Renewables</v>
          </cell>
          <cell r="K1541" t="str">
            <v>Solar (Rooftop)</v>
          </cell>
          <cell r="L1541" t="str">
            <v>Solar</v>
          </cell>
          <cell r="M1541" t="str">
            <v>Dx</v>
          </cell>
          <cell r="N1541" t="str">
            <v>Oakville</v>
          </cell>
          <cell r="O1541" t="str">
            <v>Halton</v>
          </cell>
          <cell r="P1541" t="str">
            <v>Toronto</v>
          </cell>
        </row>
        <row r="1542">
          <cell r="C1542" t="str">
            <v>Solar Shed</v>
          </cell>
          <cell r="D1542" t="str">
            <v>Judith Lynn Harrigan John Gerard Harrigan</v>
          </cell>
          <cell r="E1542" t="str">
            <v>CO</v>
          </cell>
          <cell r="F1542">
            <v>41790</v>
          </cell>
          <cell r="G1542">
            <v>41310</v>
          </cell>
          <cell r="H1542">
            <v>48614</v>
          </cell>
          <cell r="I1542" t="str">
            <v>19 years, 11 months, 30 days</v>
          </cell>
          <cell r="J1542" t="str">
            <v>Renewables</v>
          </cell>
          <cell r="K1542" t="str">
            <v>Solar (Rooftop)</v>
          </cell>
          <cell r="L1542" t="str">
            <v>Solar</v>
          </cell>
          <cell r="M1542" t="str">
            <v>Dx</v>
          </cell>
          <cell r="N1542" t="str">
            <v>Bailieboro</v>
          </cell>
          <cell r="O1542" t="str">
            <v>Peterborough</v>
          </cell>
          <cell r="P1542" t="str">
            <v>East</v>
          </cell>
        </row>
        <row r="1543">
          <cell r="C1543" t="str">
            <v>RE Smiths Falls 4</v>
          </cell>
          <cell r="D1543" t="str">
            <v>Aurora Smiths Falls 4 Limited Partnership</v>
          </cell>
          <cell r="E1543" t="str">
            <v>CO</v>
          </cell>
          <cell r="F1543">
            <v>41475</v>
          </cell>
          <cell r="G1543">
            <v>41674</v>
          </cell>
          <cell r="H1543">
            <v>48978</v>
          </cell>
          <cell r="I1543" t="str">
            <v>19 years, 11 months, 30 days</v>
          </cell>
          <cell r="J1543" t="str">
            <v>Renewables</v>
          </cell>
          <cell r="K1543" t="str">
            <v>Solar (Ground Mounted)</v>
          </cell>
          <cell r="L1543" t="str">
            <v>Solar</v>
          </cell>
          <cell r="M1543" t="str">
            <v>Dx</v>
          </cell>
          <cell r="N1543" t="str">
            <v>Perth</v>
          </cell>
          <cell r="O1543" t="str">
            <v>Lanark</v>
          </cell>
          <cell r="P1543" t="str">
            <v>East</v>
          </cell>
        </row>
        <row r="1544">
          <cell r="C1544" t="str">
            <v>Okikendawt Hydroelectric Project</v>
          </cell>
          <cell r="D1544" t="str">
            <v>Okikendawt Hydro L.P.</v>
          </cell>
          <cell r="E1544" t="str">
            <v>CO</v>
          </cell>
          <cell r="F1544">
            <v>43024</v>
          </cell>
          <cell r="G1544">
            <v>42207</v>
          </cell>
          <cell r="H1544">
            <v>56816</v>
          </cell>
          <cell r="I1544" t="str">
            <v>39 years, 11 months, 29 days</v>
          </cell>
          <cell r="J1544" t="str">
            <v>Renewables</v>
          </cell>
          <cell r="K1544" t="str">
            <v>Run-of-River</v>
          </cell>
          <cell r="L1544" t="str">
            <v>Waterpower</v>
          </cell>
          <cell r="M1544" t="str">
            <v>Dx</v>
          </cell>
          <cell r="N1544" t="str">
            <v>Monetville</v>
          </cell>
          <cell r="O1544" t="str">
            <v>Sudbury</v>
          </cell>
          <cell r="P1544" t="str">
            <v>Northeast</v>
          </cell>
        </row>
        <row r="1545">
          <cell r="C1545" t="str">
            <v>Adelaide Wind Energy Centre</v>
          </cell>
          <cell r="D1545" t="str">
            <v>Kerwood Wind, LP</v>
          </cell>
          <cell r="E1545" t="str">
            <v>CO</v>
          </cell>
          <cell r="F1545">
            <v>42015</v>
          </cell>
          <cell r="G1545">
            <v>41873</v>
          </cell>
          <cell r="H1545">
            <v>49177</v>
          </cell>
          <cell r="I1545" t="str">
            <v>19 years, 11 months, 30 days</v>
          </cell>
          <cell r="J1545" t="str">
            <v>Renewables</v>
          </cell>
          <cell r="K1545" t="str">
            <v>Wind (On-Shore)</v>
          </cell>
          <cell r="L1545" t="str">
            <v>Wind</v>
          </cell>
          <cell r="M1545" t="str">
            <v>Tx</v>
          </cell>
          <cell r="N1545" t="str">
            <v>Kerwood</v>
          </cell>
          <cell r="O1545" t="str">
            <v>Middlesex</v>
          </cell>
          <cell r="P1545" t="str">
            <v>Bruce</v>
          </cell>
        </row>
        <row r="1546">
          <cell r="C1546" t="str">
            <v>H06-2120 PARKDALE</v>
          </cell>
          <cell r="D1546" t="str">
            <v>PSI Solar Finance 1 Limited Partnership</v>
          </cell>
          <cell r="E1546" t="str">
            <v>CO</v>
          </cell>
          <cell r="F1546">
            <v>41805</v>
          </cell>
          <cell r="G1546">
            <v>41901</v>
          </cell>
          <cell r="H1546">
            <v>49205</v>
          </cell>
          <cell r="I1546" t="str">
            <v>19 years, 11 months, 30 days</v>
          </cell>
          <cell r="J1546" t="str">
            <v>Renewables</v>
          </cell>
          <cell r="K1546" t="str">
            <v>Solar (Rooftop)</v>
          </cell>
          <cell r="L1546" t="str">
            <v>Solar</v>
          </cell>
          <cell r="M1546" t="str">
            <v>Dx</v>
          </cell>
          <cell r="N1546" t="str">
            <v>Brockville</v>
          </cell>
          <cell r="O1546" t="str">
            <v>Leeds and Grenville</v>
          </cell>
          <cell r="P1546" t="str">
            <v>East</v>
          </cell>
        </row>
        <row r="1547">
          <cell r="C1547" t="str">
            <v>SOLAR SPIRIT 4</v>
          </cell>
          <cell r="D1547" t="str">
            <v>SunE Solar Spirit LP</v>
          </cell>
          <cell r="E1547" t="str">
            <v>CO</v>
          </cell>
          <cell r="F1547">
            <v>41695</v>
          </cell>
          <cell r="G1547">
            <v>42044</v>
          </cell>
          <cell r="H1547">
            <v>49348</v>
          </cell>
          <cell r="I1547" t="str">
            <v>19 years, 11 months, 30 days</v>
          </cell>
          <cell r="J1547" t="str">
            <v>Renewables</v>
          </cell>
          <cell r="K1547" t="str">
            <v>Solar (Ground Mounted)</v>
          </cell>
          <cell r="L1547" t="str">
            <v>Solar</v>
          </cell>
          <cell r="M1547" t="str">
            <v>Dx</v>
          </cell>
          <cell r="N1547" t="str">
            <v>Corbyville</v>
          </cell>
          <cell r="O1547" t="str">
            <v>Hastings</v>
          </cell>
          <cell r="P1547" t="str">
            <v>East</v>
          </cell>
        </row>
        <row r="1548">
          <cell r="C1548" t="str">
            <v>George Leach Centre - Algoma University</v>
          </cell>
          <cell r="D1548" t="str">
            <v>PUC Services Inc.</v>
          </cell>
          <cell r="E1548" t="str">
            <v>CO</v>
          </cell>
          <cell r="F1548">
            <v>41811</v>
          </cell>
          <cell r="G1548">
            <v>40861</v>
          </cell>
          <cell r="H1548">
            <v>48165</v>
          </cell>
          <cell r="I1548" t="str">
            <v>19 years, 11 months, 30 days</v>
          </cell>
          <cell r="J1548" t="str">
            <v>Renewables</v>
          </cell>
          <cell r="K1548" t="str">
            <v>Solar (Rooftop)</v>
          </cell>
          <cell r="L1548" t="str">
            <v>Solar</v>
          </cell>
          <cell r="M1548" t="str">
            <v>Dx</v>
          </cell>
          <cell r="N1548" t="str">
            <v>Sault Ste. Marie</v>
          </cell>
          <cell r="O1548" t="str">
            <v>Algoma</v>
          </cell>
          <cell r="P1548" t="str">
            <v>Northeast</v>
          </cell>
        </row>
        <row r="1549">
          <cell r="C1549" t="str">
            <v>O02-1755 Merivale</v>
          </cell>
          <cell r="D1549" t="str">
            <v>PSI Solar Finance 1 Limited Partnership</v>
          </cell>
          <cell r="E1549" t="str">
            <v>CO</v>
          </cell>
          <cell r="F1549">
            <v>41832</v>
          </cell>
          <cell r="G1549">
            <v>41452</v>
          </cell>
          <cell r="H1549">
            <v>48756</v>
          </cell>
          <cell r="I1549" t="str">
            <v>19 years, 11 months, 30 days</v>
          </cell>
          <cell r="J1549" t="str">
            <v>Renewables</v>
          </cell>
          <cell r="K1549" t="str">
            <v>Solar (Rooftop)</v>
          </cell>
          <cell r="L1549" t="str">
            <v>Solar</v>
          </cell>
          <cell r="M1549" t="str">
            <v>Dx</v>
          </cell>
          <cell r="N1549" t="str">
            <v>Ottawa</v>
          </cell>
          <cell r="O1549" t="str">
            <v>Ottawa</v>
          </cell>
          <cell r="P1549" t="str">
            <v>Ottawa</v>
          </cell>
        </row>
        <row r="1550">
          <cell r="C1550" t="str">
            <v>GEDSB Hagersville Secondary</v>
          </cell>
          <cell r="D1550" t="str">
            <v>Ameresco GEDSB Solar Inc.</v>
          </cell>
          <cell r="E1550" t="str">
            <v>CO</v>
          </cell>
          <cell r="F1550">
            <v>41029</v>
          </cell>
          <cell r="G1550">
            <v>41204</v>
          </cell>
          <cell r="H1550">
            <v>48333</v>
          </cell>
          <cell r="I1550" t="str">
            <v>19 years, 6 months, 7 days</v>
          </cell>
          <cell r="J1550" t="str">
            <v>Renewables</v>
          </cell>
          <cell r="K1550" t="str">
            <v>Solar (Rooftop)</v>
          </cell>
          <cell r="L1550" t="str">
            <v>Solar</v>
          </cell>
          <cell r="M1550" t="str">
            <v>Dx</v>
          </cell>
          <cell r="N1550" t="str">
            <v>Hagersville</v>
          </cell>
          <cell r="O1550" t="str">
            <v>Haldimand</v>
          </cell>
          <cell r="P1550" t="str">
            <v>Southwest</v>
          </cell>
        </row>
        <row r="1551">
          <cell r="C1551" t="str">
            <v>GE Real Estate - Vaughan, ON (361 Rowntree Dairy )</v>
          </cell>
          <cell r="D1551" t="str">
            <v>Firelight Solar LP</v>
          </cell>
          <cell r="E1551" t="str">
            <v>CO</v>
          </cell>
          <cell r="F1551">
            <v>41029</v>
          </cell>
          <cell r="G1551">
            <v>40690</v>
          </cell>
          <cell r="H1551">
            <v>47994</v>
          </cell>
          <cell r="I1551" t="str">
            <v>19 years, 11 months, 29 days</v>
          </cell>
          <cell r="J1551" t="str">
            <v>Renewables</v>
          </cell>
          <cell r="K1551" t="str">
            <v>Solar (Rooftop)</v>
          </cell>
          <cell r="L1551" t="str">
            <v>Solar</v>
          </cell>
          <cell r="M1551" t="str">
            <v>Dx</v>
          </cell>
          <cell r="N1551" t="str">
            <v>Woodbridge</v>
          </cell>
          <cell r="O1551" t="str">
            <v>York</v>
          </cell>
          <cell r="P1551" t="str">
            <v>Toronto</v>
          </cell>
        </row>
        <row r="1552">
          <cell r="C1552" t="str">
            <v>Longhurst</v>
          </cell>
          <cell r="D1552" t="str">
            <v>1835298 Ontario Limited</v>
          </cell>
          <cell r="E1552" t="str">
            <v>CO</v>
          </cell>
          <cell r="F1552">
            <v>41029</v>
          </cell>
          <cell r="G1552">
            <v>40833</v>
          </cell>
          <cell r="H1552">
            <v>48137</v>
          </cell>
          <cell r="I1552" t="str">
            <v>19 years, 11 months, 29 days</v>
          </cell>
          <cell r="J1552" t="str">
            <v>Renewables</v>
          </cell>
          <cell r="K1552" t="str">
            <v>Solar (Rooftop)</v>
          </cell>
          <cell r="L1552" t="str">
            <v>Solar</v>
          </cell>
          <cell r="M1552" t="str">
            <v>Dx</v>
          </cell>
          <cell r="N1552" t="str">
            <v>St. Thomas</v>
          </cell>
          <cell r="O1552" t="str">
            <v>Elgin</v>
          </cell>
          <cell r="P1552" t="str">
            <v>West</v>
          </cell>
        </row>
        <row r="1553">
          <cell r="C1553" t="str">
            <v>#237 3850 HIGHWAY #7, WOODBRIDGE</v>
          </cell>
          <cell r="D1553" t="str">
            <v>PSI Solar Finance 1 Limited Partnership</v>
          </cell>
          <cell r="E1553" t="str">
            <v>CO</v>
          </cell>
          <cell r="F1553">
            <v>42183</v>
          </cell>
          <cell r="G1553">
            <v>41606</v>
          </cell>
          <cell r="H1553">
            <v>48910</v>
          </cell>
          <cell r="I1553" t="str">
            <v>19 years, 11 months, 30 days</v>
          </cell>
          <cell r="J1553" t="str">
            <v>Renewables</v>
          </cell>
          <cell r="K1553" t="str">
            <v>Solar (Rooftop)</v>
          </cell>
          <cell r="L1553" t="str">
            <v>Solar</v>
          </cell>
          <cell r="M1553" t="str">
            <v>Dx</v>
          </cell>
          <cell r="N1553" t="str">
            <v>Woodbridge</v>
          </cell>
          <cell r="O1553" t="str">
            <v>York</v>
          </cell>
          <cell r="P1553" t="str">
            <v>Toronto</v>
          </cell>
        </row>
        <row r="1554">
          <cell r="C1554" t="str">
            <v>48 Nery Avenue</v>
          </cell>
          <cell r="D1554" t="str">
            <v>2421907 Ontario Limited</v>
          </cell>
          <cell r="E1554" t="str">
            <v>CO</v>
          </cell>
          <cell r="F1554">
            <v>41820</v>
          </cell>
          <cell r="G1554">
            <v>41907</v>
          </cell>
          <cell r="H1554">
            <v>49124</v>
          </cell>
          <cell r="I1554" t="str">
            <v>19 years, 9 months, 4 days</v>
          </cell>
          <cell r="J1554" t="str">
            <v>Renewables</v>
          </cell>
          <cell r="K1554" t="str">
            <v>Solar (Rooftop)</v>
          </cell>
          <cell r="L1554" t="str">
            <v>Solar</v>
          </cell>
          <cell r="M1554" t="str">
            <v>Dx</v>
          </cell>
          <cell r="N1554" t="str">
            <v>Picton</v>
          </cell>
          <cell r="O1554" t="str">
            <v>Prince Edward</v>
          </cell>
          <cell r="P1554" t="str">
            <v>East</v>
          </cell>
        </row>
        <row r="1555">
          <cell r="C1555" t="str">
            <v>2020 Old Keene Road GPE 09017504</v>
          </cell>
          <cell r="D1555" t="str">
            <v>2020 Old Keene Road Inc.</v>
          </cell>
          <cell r="E1555" t="str">
            <v>CO</v>
          </cell>
          <cell r="F1555">
            <v>41029</v>
          </cell>
          <cell r="G1555">
            <v>40851</v>
          </cell>
          <cell r="H1555">
            <v>48155</v>
          </cell>
          <cell r="I1555" t="str">
            <v>19 years, 11 months, 30 days</v>
          </cell>
          <cell r="J1555" t="str">
            <v>Renewables</v>
          </cell>
          <cell r="K1555" t="str">
            <v>Solar (Rooftop)</v>
          </cell>
          <cell r="L1555" t="str">
            <v>Solar</v>
          </cell>
          <cell r="M1555" t="str">
            <v>Dx</v>
          </cell>
          <cell r="N1555" t="str">
            <v>Peterborough</v>
          </cell>
          <cell r="O1555" t="str">
            <v>Peterborough</v>
          </cell>
          <cell r="P1555" t="str">
            <v>East</v>
          </cell>
        </row>
        <row r="1556">
          <cell r="C1556" t="str">
            <v>Ferme Geranik Biogas</v>
          </cell>
          <cell r="D1556" t="str">
            <v>Ferme Geranik Inc.</v>
          </cell>
          <cell r="E1556" t="str">
            <v>CO</v>
          </cell>
          <cell r="F1556">
            <v>40928</v>
          </cell>
          <cell r="G1556">
            <v>40815</v>
          </cell>
          <cell r="H1556">
            <v>48119</v>
          </cell>
          <cell r="I1556" t="str">
            <v>19 years, 11 months, 30 days</v>
          </cell>
          <cell r="J1556" t="str">
            <v>Renewables</v>
          </cell>
          <cell r="K1556" t="str">
            <v>Bioenergy</v>
          </cell>
          <cell r="L1556" t="str">
            <v>Biogas</v>
          </cell>
          <cell r="M1556" t="str">
            <v>Dx</v>
          </cell>
          <cell r="N1556" t="str">
            <v>St. Albert</v>
          </cell>
          <cell r="O1556" t="str">
            <v>Prescott and Russell</v>
          </cell>
          <cell r="P1556" t="str">
            <v>Ottawa</v>
          </cell>
        </row>
        <row r="1557">
          <cell r="C1557" t="str">
            <v>CityLights</v>
          </cell>
          <cell r="D1557" t="str">
            <v>Axium City Light LP</v>
          </cell>
          <cell r="E1557" t="str">
            <v>CO</v>
          </cell>
          <cell r="F1557">
            <v>41695</v>
          </cell>
          <cell r="G1557">
            <v>42026</v>
          </cell>
          <cell r="H1557">
            <v>49330</v>
          </cell>
          <cell r="I1557" t="str">
            <v>19 years, 11 months, 30 days</v>
          </cell>
          <cell r="J1557" t="str">
            <v>Renewables</v>
          </cell>
          <cell r="K1557" t="str">
            <v>Solar (Ground Mounted)</v>
          </cell>
          <cell r="L1557" t="str">
            <v>Solar</v>
          </cell>
          <cell r="M1557" t="str">
            <v>Dx</v>
          </cell>
          <cell r="N1557" t="str">
            <v>Chesterville</v>
          </cell>
          <cell r="O1557" t="str">
            <v>Stormont, Dundas and Glengarry</v>
          </cell>
          <cell r="P1557" t="str">
            <v>East</v>
          </cell>
        </row>
        <row r="1558">
          <cell r="C1558" t="str">
            <v>SUNNY SHORES SOLAR FARM</v>
          </cell>
          <cell r="D1558" t="str">
            <v>Sunny Shores L.P.</v>
          </cell>
          <cell r="E1558" t="str">
            <v>CO</v>
          </cell>
          <cell r="F1558">
            <v>41655</v>
          </cell>
          <cell r="G1558">
            <v>41906</v>
          </cell>
          <cell r="H1558">
            <v>49210</v>
          </cell>
          <cell r="I1558" t="str">
            <v>19 years, 11 months, 30 days</v>
          </cell>
          <cell r="J1558" t="str">
            <v>Renewables</v>
          </cell>
          <cell r="K1558" t="str">
            <v>Solar (Ground Mounted)</v>
          </cell>
          <cell r="L1558" t="str">
            <v>Solar</v>
          </cell>
          <cell r="M1558" t="str">
            <v>Dx</v>
          </cell>
          <cell r="N1558" t="str">
            <v>Roseneath</v>
          </cell>
          <cell r="O1558" t="str">
            <v>Northumberland</v>
          </cell>
          <cell r="P1558" t="str">
            <v>East</v>
          </cell>
        </row>
        <row r="1559">
          <cell r="C1559" t="str">
            <v>CC Solar Fit Dundas St</v>
          </cell>
          <cell r="D1559" t="str">
            <v>1564534 Ontario Ltd</v>
          </cell>
          <cell r="E1559" t="str">
            <v>CO</v>
          </cell>
          <cell r="F1559">
            <v>41813</v>
          </cell>
          <cell r="G1559">
            <v>41385</v>
          </cell>
          <cell r="H1559">
            <v>48689</v>
          </cell>
          <cell r="I1559" t="str">
            <v>19 years, 11 months, 30 days</v>
          </cell>
          <cell r="J1559" t="str">
            <v>Renewables</v>
          </cell>
          <cell r="K1559" t="str">
            <v>Solar (Rooftop)</v>
          </cell>
          <cell r="L1559" t="str">
            <v>Solar</v>
          </cell>
          <cell r="M1559" t="str">
            <v>Dx</v>
          </cell>
          <cell r="N1559" t="str">
            <v>Toronto</v>
          </cell>
          <cell r="O1559" t="str">
            <v>Toronto</v>
          </cell>
          <cell r="P1559" t="str">
            <v>Toronto</v>
          </cell>
        </row>
        <row r="1560">
          <cell r="C1560" t="str">
            <v>Carlesimo Holding Inc.</v>
          </cell>
          <cell r="D1560" t="str">
            <v>Alectra Utilities Corporation</v>
          </cell>
          <cell r="E1560" t="str">
            <v>CO</v>
          </cell>
          <cell r="F1560">
            <v>41841</v>
          </cell>
          <cell r="G1560">
            <v>41856</v>
          </cell>
          <cell r="H1560">
            <v>49160</v>
          </cell>
          <cell r="I1560" t="str">
            <v>19 years, 11 months, 30 days</v>
          </cell>
          <cell r="J1560" t="str">
            <v>Renewables</v>
          </cell>
          <cell r="K1560" t="str">
            <v>Solar (Rooftop)</v>
          </cell>
          <cell r="L1560" t="str">
            <v>Solar</v>
          </cell>
          <cell r="M1560" t="str">
            <v>Dx</v>
          </cell>
          <cell r="N1560" t="str">
            <v>Oldcastle</v>
          </cell>
          <cell r="O1560" t="str">
            <v>Essex</v>
          </cell>
          <cell r="P1560" t="str">
            <v>West</v>
          </cell>
        </row>
        <row r="1561">
          <cell r="C1561" t="str">
            <v>(C14) Real Canadian Superstore Talbot Street</v>
          </cell>
          <cell r="D1561" t="str">
            <v>Firelight Solar LP</v>
          </cell>
          <cell r="E1561" t="str">
            <v>CO</v>
          </cell>
          <cell r="F1561">
            <v>41735</v>
          </cell>
          <cell r="G1561">
            <v>41332</v>
          </cell>
          <cell r="H1561">
            <v>48636</v>
          </cell>
          <cell r="I1561" t="str">
            <v>19 years, 11 months, 30 days</v>
          </cell>
          <cell r="J1561" t="str">
            <v>Renewables</v>
          </cell>
          <cell r="K1561" t="str">
            <v>Solar (Rooftop)</v>
          </cell>
          <cell r="L1561" t="str">
            <v>Solar</v>
          </cell>
          <cell r="M1561" t="str">
            <v>Dx</v>
          </cell>
          <cell r="N1561" t="str">
            <v>St. Thomas</v>
          </cell>
          <cell r="O1561" t="str">
            <v>Elgin</v>
          </cell>
          <cell r="P1561" t="str">
            <v>West</v>
          </cell>
        </row>
        <row r="1562">
          <cell r="C1562" t="str">
            <v>JB Solar</v>
          </cell>
          <cell r="D1562" t="str">
            <v>Jeffrey Horn</v>
          </cell>
          <cell r="E1562" t="str">
            <v>CO</v>
          </cell>
          <cell r="F1562">
            <v>42110</v>
          </cell>
          <cell r="G1562">
            <v>42270</v>
          </cell>
          <cell r="H1562">
            <v>49414</v>
          </cell>
          <cell r="I1562" t="str">
            <v>19 years, 6 months, 23 days</v>
          </cell>
          <cell r="J1562" t="str">
            <v>Renewables</v>
          </cell>
          <cell r="K1562" t="str">
            <v>Solar (Rooftop)</v>
          </cell>
          <cell r="L1562" t="str">
            <v>Solar</v>
          </cell>
          <cell r="M1562" t="str">
            <v>Dx</v>
          </cell>
          <cell r="N1562" t="str">
            <v>Centralia</v>
          </cell>
          <cell r="O1562" t="str">
            <v>Huron</v>
          </cell>
          <cell r="P1562" t="str">
            <v>Southwest</v>
          </cell>
        </row>
        <row r="1563">
          <cell r="C1563" t="str">
            <v>1050 Brydges Street</v>
          </cell>
          <cell r="D1563" t="str">
            <v>Wolseley Canada Inc.</v>
          </cell>
          <cell r="E1563" t="str">
            <v>CO</v>
          </cell>
          <cell r="F1563">
            <v>42102</v>
          </cell>
          <cell r="G1563">
            <v>41900</v>
          </cell>
          <cell r="H1563">
            <v>49204</v>
          </cell>
          <cell r="I1563" t="str">
            <v>19 years, 11 months, 30 days</v>
          </cell>
          <cell r="J1563" t="str">
            <v>Renewables</v>
          </cell>
          <cell r="K1563" t="str">
            <v>Solar (Rooftop)</v>
          </cell>
          <cell r="L1563" t="str">
            <v>Solar</v>
          </cell>
          <cell r="M1563" t="str">
            <v>Dx</v>
          </cell>
          <cell r="N1563" t="str">
            <v>London</v>
          </cell>
          <cell r="O1563" t="str">
            <v>Middlesex</v>
          </cell>
          <cell r="P1563" t="str">
            <v>West</v>
          </cell>
        </row>
        <row r="1564">
          <cell r="C1564" t="str">
            <v>Muskoka Lumber - Storage Building</v>
          </cell>
          <cell r="D1564" t="str">
            <v>Muskoka Lumber and Building Supplies Centre Limited</v>
          </cell>
          <cell r="E1564" t="str">
            <v>CO</v>
          </cell>
          <cell r="F1564">
            <v>42112</v>
          </cell>
          <cell r="G1564">
            <v>42269</v>
          </cell>
          <cell r="H1564">
            <v>49416</v>
          </cell>
          <cell r="I1564" t="str">
            <v>19 years, 6 months, 26 days</v>
          </cell>
          <cell r="J1564" t="str">
            <v>Renewables</v>
          </cell>
          <cell r="K1564" t="str">
            <v>Solar (Rooftop)</v>
          </cell>
          <cell r="L1564" t="str">
            <v>Solar</v>
          </cell>
          <cell r="M1564" t="str">
            <v>Dx</v>
          </cell>
          <cell r="N1564" t="str">
            <v>Port Carling</v>
          </cell>
          <cell r="O1564" t="str">
            <v>Muskoka</v>
          </cell>
          <cell r="P1564" t="str">
            <v>Essa</v>
          </cell>
        </row>
        <row r="1565">
          <cell r="C1565" t="str">
            <v>Goshen Solar</v>
          </cell>
          <cell r="D1565" t="str">
            <v>Goshen Solar Inc.</v>
          </cell>
          <cell r="E1565" t="str">
            <v>CO</v>
          </cell>
          <cell r="F1565">
            <v>42061</v>
          </cell>
          <cell r="G1565">
            <v>42234</v>
          </cell>
          <cell r="H1565">
            <v>49365</v>
          </cell>
          <cell r="I1565" t="str">
            <v>19 years, 6 months, 7 days</v>
          </cell>
          <cell r="J1565" t="str">
            <v>Renewables</v>
          </cell>
          <cell r="K1565" t="str">
            <v>Solar (Rooftop)</v>
          </cell>
          <cell r="L1565" t="str">
            <v>Solar</v>
          </cell>
          <cell r="M1565" t="str">
            <v>Dx</v>
          </cell>
          <cell r="N1565" t="str">
            <v>Renfrew</v>
          </cell>
          <cell r="O1565" t="str">
            <v>Renfrew</v>
          </cell>
          <cell r="P1565" t="str">
            <v>East</v>
          </cell>
        </row>
        <row r="1566">
          <cell r="C1566" t="str">
            <v>McGarry - Sewage Lagoon</v>
          </cell>
          <cell r="D1566" t="str">
            <v>Solaire McGarry Solar Inc.</v>
          </cell>
          <cell r="E1566" t="str">
            <v>CO</v>
          </cell>
          <cell r="F1566">
            <v>42602</v>
          </cell>
          <cell r="G1566">
            <v>43151</v>
          </cell>
          <cell r="H1566">
            <v>49906</v>
          </cell>
          <cell r="I1566" t="str">
            <v>18 years, 5 months, 30 days</v>
          </cell>
          <cell r="J1566" t="str">
            <v>Renewables</v>
          </cell>
          <cell r="K1566" t="str">
            <v>Solar (Ground Mounted)</v>
          </cell>
          <cell r="L1566" t="str">
            <v>Solar</v>
          </cell>
          <cell r="M1566" t="str">
            <v>Dx</v>
          </cell>
          <cell r="N1566" t="str">
            <v>McGarry</v>
          </cell>
          <cell r="O1566" t="str">
            <v>Cochrane</v>
          </cell>
          <cell r="P1566" t="str">
            <v>Northeast</v>
          </cell>
        </row>
        <row r="1567">
          <cell r="C1567" t="str">
            <v>Whiteside Farms Perkinsfield</v>
          </cell>
          <cell r="D1567" t="str">
            <v>SCCEC LP</v>
          </cell>
          <cell r="E1567" t="str">
            <v>CO</v>
          </cell>
          <cell r="F1567">
            <v>42097</v>
          </cell>
          <cell r="G1567">
            <v>42003</v>
          </cell>
          <cell r="H1567">
            <v>49307</v>
          </cell>
          <cell r="I1567" t="str">
            <v>19 years, 11 months, 29 days</v>
          </cell>
          <cell r="J1567" t="str">
            <v>Renewables</v>
          </cell>
          <cell r="K1567" t="str">
            <v>Solar (Rooftop)</v>
          </cell>
          <cell r="L1567" t="str">
            <v>Solar</v>
          </cell>
          <cell r="M1567" t="str">
            <v>Dx</v>
          </cell>
          <cell r="N1567" t="str">
            <v>Tiny</v>
          </cell>
          <cell r="O1567" t="str">
            <v>Simcoe</v>
          </cell>
          <cell r="P1567" t="str">
            <v>Essa</v>
          </cell>
        </row>
        <row r="1568">
          <cell r="C1568" t="str">
            <v>YCDSB - St. Mary of the Angels</v>
          </cell>
          <cell r="D1568" t="str">
            <v>Potentia Solar 7 Limited Partnership</v>
          </cell>
          <cell r="E1568" t="str">
            <v>CO</v>
          </cell>
          <cell r="F1568">
            <v>42068</v>
          </cell>
          <cell r="G1568">
            <v>42222</v>
          </cell>
          <cell r="H1568">
            <v>49372</v>
          </cell>
          <cell r="I1568" t="str">
            <v>19 years, 6 months, 26 days</v>
          </cell>
          <cell r="J1568" t="str">
            <v>Renewables</v>
          </cell>
          <cell r="K1568" t="str">
            <v>Solar (Rooftop)</v>
          </cell>
          <cell r="L1568" t="str">
            <v>Solar</v>
          </cell>
          <cell r="M1568" t="str">
            <v>Dx</v>
          </cell>
          <cell r="N1568" t="str">
            <v>Woodbridge</v>
          </cell>
          <cell r="O1568" t="str">
            <v>York</v>
          </cell>
          <cell r="P1568" t="str">
            <v>Toronto</v>
          </cell>
        </row>
        <row r="1569">
          <cell r="C1569" t="str">
            <v>Calico PS</v>
          </cell>
          <cell r="D1569" t="str">
            <v>TSPS (Portfolio 2) Limited Partnership</v>
          </cell>
          <cell r="E1569" t="str">
            <v>CO</v>
          </cell>
          <cell r="F1569">
            <v>42581</v>
          </cell>
          <cell r="G1569">
            <v>42671</v>
          </cell>
          <cell r="H1569">
            <v>49885</v>
          </cell>
          <cell r="I1569" t="str">
            <v>19 years, 9 months, 1 days</v>
          </cell>
          <cell r="J1569" t="str">
            <v>Renewables</v>
          </cell>
          <cell r="K1569" t="str">
            <v>Solar (Rooftop)</v>
          </cell>
          <cell r="L1569" t="str">
            <v>Solar</v>
          </cell>
          <cell r="M1569" t="str">
            <v>Dx</v>
          </cell>
          <cell r="N1569" t="str">
            <v>Toronto</v>
          </cell>
          <cell r="O1569" t="str">
            <v>Toronto</v>
          </cell>
          <cell r="P1569" t="str">
            <v>Toronto</v>
          </cell>
        </row>
        <row r="1570">
          <cell r="C1570" t="str">
            <v>420 Passmore Ave</v>
          </cell>
          <cell r="D1570" t="str">
            <v>2344215 Ontario Inc.</v>
          </cell>
          <cell r="E1570" t="str">
            <v>CO</v>
          </cell>
          <cell r="F1570">
            <v>42112</v>
          </cell>
          <cell r="G1570">
            <v>42292</v>
          </cell>
          <cell r="H1570">
            <v>49416</v>
          </cell>
          <cell r="I1570" t="str">
            <v>19 years, 6 months, 2 days</v>
          </cell>
          <cell r="J1570" t="str">
            <v>Renewables</v>
          </cell>
          <cell r="K1570" t="str">
            <v>Solar (Rooftop)</v>
          </cell>
          <cell r="L1570" t="str">
            <v>Solar</v>
          </cell>
          <cell r="M1570" t="str">
            <v>Dx</v>
          </cell>
          <cell r="N1570" t="str">
            <v>Toronto</v>
          </cell>
          <cell r="O1570" t="str">
            <v>Toronto</v>
          </cell>
          <cell r="P1570" t="str">
            <v>Toronto</v>
          </cell>
        </row>
        <row r="1571">
          <cell r="C1571" t="str">
            <v>M07-1205 Corporate</v>
          </cell>
          <cell r="D1571" t="str">
            <v>SHY1 2012 FIT2 LTD.</v>
          </cell>
          <cell r="E1571" t="str">
            <v>CO</v>
          </cell>
          <cell r="F1571">
            <v>42095</v>
          </cell>
          <cell r="G1571">
            <v>42235</v>
          </cell>
          <cell r="H1571">
            <v>49399</v>
          </cell>
          <cell r="I1571" t="str">
            <v>19 years, 7 months, 12 days</v>
          </cell>
          <cell r="J1571" t="str">
            <v>Renewables</v>
          </cell>
          <cell r="K1571" t="str">
            <v>Solar (Rooftop)</v>
          </cell>
          <cell r="L1571" t="str">
            <v>Solar</v>
          </cell>
          <cell r="M1571" t="str">
            <v>Dx</v>
          </cell>
          <cell r="N1571" t="str">
            <v>Burlington</v>
          </cell>
          <cell r="O1571" t="str">
            <v>Halton</v>
          </cell>
          <cell r="P1571" t="str">
            <v>Southwest</v>
          </cell>
        </row>
        <row r="1572">
          <cell r="C1572" t="str">
            <v>Lamberton PS</v>
          </cell>
          <cell r="D1572" t="str">
            <v>TSPS (Portfolio 2) Limited Partnership</v>
          </cell>
          <cell r="E1572" t="str">
            <v>CO</v>
          </cell>
          <cell r="F1572">
            <v>42602</v>
          </cell>
          <cell r="G1572">
            <v>42643</v>
          </cell>
          <cell r="H1572">
            <v>49906</v>
          </cell>
          <cell r="I1572" t="str">
            <v>19 years, 10 months, 20 days</v>
          </cell>
          <cell r="J1572" t="str">
            <v>Renewables</v>
          </cell>
          <cell r="K1572" t="str">
            <v>Solar (Rooftop)</v>
          </cell>
          <cell r="L1572" t="str">
            <v>Solar</v>
          </cell>
          <cell r="M1572" t="str">
            <v>Dx</v>
          </cell>
          <cell r="N1572" t="str">
            <v>Toronto</v>
          </cell>
          <cell r="O1572" t="str">
            <v>Toronto</v>
          </cell>
          <cell r="P1572" t="str">
            <v>Toronto</v>
          </cell>
        </row>
        <row r="1573">
          <cell r="C1573" t="str">
            <v>Frankland Community S Jr</v>
          </cell>
          <cell r="D1573" t="str">
            <v>TSPS (Portfolio 1) Limited Partnership</v>
          </cell>
          <cell r="E1573" t="str">
            <v>CO</v>
          </cell>
          <cell r="F1573">
            <v>42590</v>
          </cell>
          <cell r="G1573">
            <v>41995</v>
          </cell>
          <cell r="H1573">
            <v>49299</v>
          </cell>
          <cell r="I1573" t="str">
            <v>19 years, 11 months, 29 days</v>
          </cell>
          <cell r="J1573" t="str">
            <v>Renewables</v>
          </cell>
          <cell r="K1573" t="str">
            <v>Solar (Rooftop)</v>
          </cell>
          <cell r="L1573" t="str">
            <v>Solar</v>
          </cell>
          <cell r="M1573" t="str">
            <v>Dx</v>
          </cell>
          <cell r="N1573" t="str">
            <v>Toronto</v>
          </cell>
          <cell r="O1573" t="str">
            <v>Toronto</v>
          </cell>
          <cell r="P1573" t="str">
            <v>Toronto</v>
          </cell>
        </row>
        <row r="1574">
          <cell r="C1574" t="str">
            <v>RT Machining</v>
          </cell>
          <cell r="D1574" t="str">
            <v>Timothy Capital Corp.</v>
          </cell>
          <cell r="E1574" t="str">
            <v>CO</v>
          </cell>
          <cell r="F1574">
            <v>42104</v>
          </cell>
          <cell r="G1574">
            <v>42235</v>
          </cell>
          <cell r="H1574">
            <v>49408</v>
          </cell>
          <cell r="I1574" t="str">
            <v>19 years, 7 months, 21 days</v>
          </cell>
          <cell r="J1574" t="str">
            <v>Renewables</v>
          </cell>
          <cell r="K1574" t="str">
            <v>Solar (Rooftop)</v>
          </cell>
          <cell r="L1574" t="str">
            <v>Solar</v>
          </cell>
          <cell r="M1574" t="str">
            <v>Dx</v>
          </cell>
          <cell r="N1574" t="str">
            <v>Oldcastle</v>
          </cell>
          <cell r="O1574" t="str">
            <v>Essex</v>
          </cell>
          <cell r="P1574" t="str">
            <v>West</v>
          </cell>
        </row>
        <row r="1575">
          <cell r="C1575" t="str">
            <v>Steenbrook Acres</v>
          </cell>
          <cell r="D1575" t="str">
            <v>SE 2012 LP</v>
          </cell>
          <cell r="E1575" t="str">
            <v>CO</v>
          </cell>
          <cell r="F1575">
            <v>42112</v>
          </cell>
          <cell r="G1575">
            <v>41915</v>
          </cell>
          <cell r="H1575">
            <v>49219</v>
          </cell>
          <cell r="I1575" t="str">
            <v>19 years, 11 months, 29 days</v>
          </cell>
          <cell r="J1575" t="str">
            <v>Renewables</v>
          </cell>
          <cell r="K1575" t="str">
            <v>Solar (Rooftop)</v>
          </cell>
          <cell r="L1575" t="str">
            <v>Solar</v>
          </cell>
          <cell r="M1575" t="str">
            <v>Dx</v>
          </cell>
          <cell r="N1575" t="str">
            <v>Drayton</v>
          </cell>
          <cell r="O1575" t="str">
            <v>Wellington</v>
          </cell>
          <cell r="P1575" t="str">
            <v>Southwest</v>
          </cell>
        </row>
        <row r="1576">
          <cell r="C1576" t="str">
            <v>Solvation-V</v>
          </cell>
          <cell r="D1576" t="str">
            <v>SUNSHARE1 LP</v>
          </cell>
          <cell r="E1576" t="str">
            <v>CO</v>
          </cell>
          <cell r="F1576">
            <v>42757</v>
          </cell>
          <cell r="G1576">
            <v>42614</v>
          </cell>
          <cell r="H1576">
            <v>49918</v>
          </cell>
          <cell r="I1576" t="str">
            <v>19 years, 11 months, 30 days</v>
          </cell>
          <cell r="J1576" t="str">
            <v>Renewables</v>
          </cell>
          <cell r="K1576" t="str">
            <v>Solar (Ground Mounted)</v>
          </cell>
          <cell r="L1576" t="str">
            <v>Solar</v>
          </cell>
          <cell r="M1576" t="str">
            <v>Dx</v>
          </cell>
          <cell r="N1576" t="str">
            <v>Blind River</v>
          </cell>
          <cell r="O1576" t="str">
            <v>Algoma</v>
          </cell>
          <cell r="P1576" t="str">
            <v>Northeast</v>
          </cell>
        </row>
        <row r="1577">
          <cell r="C1577" t="str">
            <v>LON-1420 Global</v>
          </cell>
          <cell r="D1577" t="str">
            <v>Métis Nation of Ontario - BrightRoof Solar LP</v>
          </cell>
          <cell r="E1577" t="str">
            <v>CO</v>
          </cell>
          <cell r="F1577">
            <v>42063</v>
          </cell>
          <cell r="G1577">
            <v>41885</v>
          </cell>
          <cell r="H1577">
            <v>49189</v>
          </cell>
          <cell r="I1577" t="str">
            <v>19 years, 11 months, 30 days</v>
          </cell>
          <cell r="J1577" t="str">
            <v>Renewables</v>
          </cell>
          <cell r="K1577" t="str">
            <v>Solar (Rooftop)</v>
          </cell>
          <cell r="L1577" t="str">
            <v>Solar</v>
          </cell>
          <cell r="M1577" t="str">
            <v>Dx</v>
          </cell>
          <cell r="N1577" t="str">
            <v>London</v>
          </cell>
          <cell r="O1577" t="str">
            <v>Middlesex</v>
          </cell>
          <cell r="P1577" t="str">
            <v>West</v>
          </cell>
        </row>
        <row r="1578">
          <cell r="C1578" t="str">
            <v>Beaucrest Apartments - REI Solar PV Project</v>
          </cell>
          <cell r="D1578" t="str">
            <v>Parry Sound Non-Profit Housing Corporation</v>
          </cell>
          <cell r="E1578" t="str">
            <v>CO</v>
          </cell>
          <cell r="F1578">
            <v>42104</v>
          </cell>
          <cell r="G1578">
            <v>42244</v>
          </cell>
          <cell r="H1578">
            <v>49408</v>
          </cell>
          <cell r="I1578" t="str">
            <v>19 years, 7 months, 12 days</v>
          </cell>
          <cell r="J1578" t="str">
            <v>Renewables</v>
          </cell>
          <cell r="K1578" t="str">
            <v>Solar (Rooftop)</v>
          </cell>
          <cell r="L1578" t="str">
            <v>Solar</v>
          </cell>
          <cell r="M1578" t="str">
            <v>Dx</v>
          </cell>
          <cell r="N1578" t="str">
            <v>Parry Sound</v>
          </cell>
          <cell r="O1578" t="str">
            <v>Parry Sound</v>
          </cell>
          <cell r="P1578" t="str">
            <v>Essa</v>
          </cell>
        </row>
        <row r="1579">
          <cell r="C1579" t="str">
            <v>Forest Hill Jr &amp; Sr PS</v>
          </cell>
          <cell r="D1579" t="str">
            <v>TSPS (Portfolio 2) Limited Partnership</v>
          </cell>
          <cell r="E1579" t="str">
            <v>CO</v>
          </cell>
          <cell r="F1579">
            <v>42590</v>
          </cell>
          <cell r="G1579">
            <v>42361</v>
          </cell>
          <cell r="H1579">
            <v>49665</v>
          </cell>
          <cell r="I1579" t="str">
            <v>19 years, 11 months, 29 days</v>
          </cell>
          <cell r="J1579" t="str">
            <v>Renewables</v>
          </cell>
          <cell r="K1579" t="str">
            <v>Solar (Rooftop)</v>
          </cell>
          <cell r="L1579" t="str">
            <v>Solar</v>
          </cell>
          <cell r="M1579" t="str">
            <v>Dx</v>
          </cell>
          <cell r="N1579" t="str">
            <v>Toronto</v>
          </cell>
          <cell r="O1579" t="str">
            <v>Toronto</v>
          </cell>
          <cell r="P1579" t="str">
            <v>Toronto</v>
          </cell>
        </row>
        <row r="1580">
          <cell r="C1580" t="str">
            <v>B01-39 Craig</v>
          </cell>
          <cell r="D1580" t="str">
            <v>SHY1 2012 FIT2 LTD.</v>
          </cell>
          <cell r="E1580" t="str">
            <v>CO</v>
          </cell>
          <cell r="F1580">
            <v>42095</v>
          </cell>
          <cell r="G1580">
            <v>42215</v>
          </cell>
          <cell r="H1580">
            <v>49399</v>
          </cell>
          <cell r="I1580" t="str">
            <v>19 years, 8 months, 1 days</v>
          </cell>
          <cell r="J1580" t="str">
            <v>Renewables</v>
          </cell>
          <cell r="K1580" t="str">
            <v>Solar (Rooftop)</v>
          </cell>
          <cell r="L1580" t="str">
            <v>Solar</v>
          </cell>
          <cell r="M1580" t="str">
            <v>Dx</v>
          </cell>
          <cell r="N1580" t="str">
            <v>Brantford</v>
          </cell>
          <cell r="O1580" t="str">
            <v>Brant</v>
          </cell>
          <cell r="P1580" t="str">
            <v>Southwest</v>
          </cell>
        </row>
        <row r="1581">
          <cell r="C1581" t="str">
            <v>Kenton PS</v>
          </cell>
          <cell r="D1581" t="str">
            <v>TSPS (Portfolio 2) Limited Partnership</v>
          </cell>
          <cell r="E1581" t="str">
            <v>CO</v>
          </cell>
          <cell r="F1581">
            <v>42602</v>
          </cell>
          <cell r="G1581">
            <v>42671</v>
          </cell>
          <cell r="H1581">
            <v>49906</v>
          </cell>
          <cell r="I1581" t="str">
            <v>19 years, 9 months, 22 days</v>
          </cell>
          <cell r="J1581" t="str">
            <v>Renewables</v>
          </cell>
          <cell r="K1581" t="str">
            <v>Solar (Rooftop)</v>
          </cell>
          <cell r="L1581" t="str">
            <v>Solar</v>
          </cell>
          <cell r="M1581" t="str">
            <v>Dx</v>
          </cell>
          <cell r="N1581" t="str">
            <v>Toronto</v>
          </cell>
          <cell r="O1581" t="str">
            <v>Toronto</v>
          </cell>
          <cell r="P1581" t="str">
            <v>Toronto</v>
          </cell>
        </row>
        <row r="1582">
          <cell r="C1582" t="str">
            <v>Douglas Park</v>
          </cell>
          <cell r="D1582" t="str">
            <v>TSPS (Portfolio 1) Limited Partnership</v>
          </cell>
          <cell r="E1582" t="str">
            <v>CO</v>
          </cell>
          <cell r="F1582">
            <v>42588</v>
          </cell>
          <cell r="G1582">
            <v>42180</v>
          </cell>
          <cell r="H1582">
            <v>49484</v>
          </cell>
          <cell r="I1582" t="str">
            <v>19 years, 11 months, 30 days</v>
          </cell>
          <cell r="J1582" t="str">
            <v>Renewables</v>
          </cell>
          <cell r="K1582" t="str">
            <v>Solar (Rooftop)</v>
          </cell>
          <cell r="L1582" t="str">
            <v>Solar</v>
          </cell>
          <cell r="M1582" t="str">
            <v>Dx</v>
          </cell>
          <cell r="N1582" t="str">
            <v>Toronto</v>
          </cell>
          <cell r="O1582" t="str">
            <v>Toronto</v>
          </cell>
          <cell r="P1582" t="str">
            <v>Toronto</v>
          </cell>
        </row>
        <row r="1583">
          <cell r="C1583" t="str">
            <v>SP59</v>
          </cell>
          <cell r="D1583" t="str">
            <v>SCCEC LP</v>
          </cell>
          <cell r="E1583" t="str">
            <v>CO</v>
          </cell>
          <cell r="F1583">
            <v>42104</v>
          </cell>
          <cell r="G1583">
            <v>42102</v>
          </cell>
          <cell r="H1583">
            <v>49406</v>
          </cell>
          <cell r="I1583" t="str">
            <v>19 years, 11 months, 30 days</v>
          </cell>
          <cell r="J1583" t="str">
            <v>Renewables</v>
          </cell>
          <cell r="K1583" t="str">
            <v>Solar (Rooftop)</v>
          </cell>
          <cell r="L1583" t="str">
            <v>Solar</v>
          </cell>
          <cell r="M1583" t="str">
            <v>Dx</v>
          </cell>
          <cell r="N1583" t="str">
            <v>Innisfil</v>
          </cell>
          <cell r="O1583" t="str">
            <v>Simcoe</v>
          </cell>
          <cell r="P1583" t="str">
            <v>Southwest</v>
          </cell>
        </row>
        <row r="1584">
          <cell r="C1584" t="str">
            <v>28 Rivalda</v>
          </cell>
          <cell r="D1584" t="str">
            <v>SIL-DOM HOLDINGS LTD.</v>
          </cell>
          <cell r="E1584" t="str">
            <v>CO</v>
          </cell>
          <cell r="F1584">
            <v>42070</v>
          </cell>
          <cell r="G1584">
            <v>42069</v>
          </cell>
          <cell r="H1584">
            <v>49373</v>
          </cell>
          <cell r="I1584" t="str">
            <v>19 years, 11 months, 27 days</v>
          </cell>
          <cell r="J1584" t="str">
            <v>Renewables</v>
          </cell>
          <cell r="K1584" t="str">
            <v>Solar (Rooftop)</v>
          </cell>
          <cell r="L1584" t="str">
            <v>Solar</v>
          </cell>
          <cell r="M1584" t="str">
            <v>Dx</v>
          </cell>
          <cell r="N1584" t="str">
            <v>Toronto</v>
          </cell>
          <cell r="O1584" t="str">
            <v>Toronto</v>
          </cell>
          <cell r="P1584" t="str">
            <v>Toronto</v>
          </cell>
        </row>
        <row r="1585">
          <cell r="C1585" t="str">
            <v>Lester B Pearson PS (former Snowcrest PS)</v>
          </cell>
          <cell r="D1585" t="str">
            <v>TSPS (Portfolio 2) Limited Partnership</v>
          </cell>
          <cell r="E1585" t="str">
            <v>CO</v>
          </cell>
          <cell r="F1585">
            <v>42602</v>
          </cell>
          <cell r="G1585">
            <v>42703</v>
          </cell>
          <cell r="H1585">
            <v>49906</v>
          </cell>
          <cell r="I1585" t="str">
            <v>19 years, 8 months, 21 days</v>
          </cell>
          <cell r="J1585" t="str">
            <v>Renewables</v>
          </cell>
          <cell r="K1585" t="str">
            <v>Solar (Rooftop)</v>
          </cell>
          <cell r="L1585" t="str">
            <v>Solar</v>
          </cell>
          <cell r="M1585" t="str">
            <v>Dx</v>
          </cell>
          <cell r="N1585" t="str">
            <v>Toronto</v>
          </cell>
          <cell r="O1585" t="str">
            <v>Toronto</v>
          </cell>
          <cell r="P1585" t="str">
            <v>Toronto</v>
          </cell>
        </row>
        <row r="1586">
          <cell r="C1586" t="str">
            <v>Solexica - 200 Romina</v>
          </cell>
          <cell r="D1586" t="str">
            <v>Solexica Solar Vaughan GP</v>
          </cell>
          <cell r="E1586" t="str">
            <v>CO</v>
          </cell>
          <cell r="F1586">
            <v>42112</v>
          </cell>
          <cell r="G1586">
            <v>41974</v>
          </cell>
          <cell r="H1586">
            <v>49278</v>
          </cell>
          <cell r="I1586" t="str">
            <v>19 years, 11 months, 29 days</v>
          </cell>
          <cell r="J1586" t="str">
            <v>Renewables</v>
          </cell>
          <cell r="K1586" t="str">
            <v>Solar (Rooftop)</v>
          </cell>
          <cell r="L1586" t="str">
            <v>Solar</v>
          </cell>
          <cell r="M1586" t="str">
            <v>Dx</v>
          </cell>
          <cell r="N1586" t="str">
            <v>Concord</v>
          </cell>
          <cell r="O1586" t="str">
            <v>York</v>
          </cell>
          <cell r="P1586" t="str">
            <v>Toronto</v>
          </cell>
        </row>
        <row r="1587">
          <cell r="C1587" t="str">
            <v>Greenland PS</v>
          </cell>
          <cell r="D1587" t="str">
            <v>TSPS (Portfolio 2) Limited Partnership</v>
          </cell>
          <cell r="E1587" t="str">
            <v>CO</v>
          </cell>
          <cell r="F1587">
            <v>42597</v>
          </cell>
          <cell r="G1587">
            <v>42335</v>
          </cell>
          <cell r="H1587">
            <v>49639</v>
          </cell>
          <cell r="I1587" t="str">
            <v>19 years, 11 months, 30 days</v>
          </cell>
          <cell r="J1587" t="str">
            <v>Renewables</v>
          </cell>
          <cell r="K1587" t="str">
            <v>Solar (Rooftop)</v>
          </cell>
          <cell r="L1587" t="str">
            <v>Solar</v>
          </cell>
          <cell r="M1587" t="str">
            <v>Dx</v>
          </cell>
          <cell r="N1587" t="str">
            <v>Toronto</v>
          </cell>
          <cell r="O1587" t="str">
            <v>Toronto</v>
          </cell>
          <cell r="P1587" t="str">
            <v>Toronto</v>
          </cell>
        </row>
        <row r="1588">
          <cell r="C1588" t="str">
            <v>Fisherville Junior High School</v>
          </cell>
          <cell r="D1588" t="str">
            <v>TSPS (Portfolio 1) Limited Partnership</v>
          </cell>
          <cell r="E1588" t="str">
            <v>CO</v>
          </cell>
          <cell r="F1588">
            <v>42590</v>
          </cell>
          <cell r="G1588">
            <v>42222</v>
          </cell>
          <cell r="H1588">
            <v>49526</v>
          </cell>
          <cell r="I1588" t="str">
            <v>19 years, 11 months, 30 days</v>
          </cell>
          <cell r="J1588" t="str">
            <v>Renewables</v>
          </cell>
          <cell r="K1588" t="str">
            <v>Solar (Rooftop)</v>
          </cell>
          <cell r="L1588" t="str">
            <v>Solar</v>
          </cell>
          <cell r="M1588" t="str">
            <v>Dx</v>
          </cell>
          <cell r="N1588" t="str">
            <v>Toronto</v>
          </cell>
          <cell r="O1588" t="str">
            <v>Toronto</v>
          </cell>
          <cell r="P1588" t="str">
            <v>Toronto</v>
          </cell>
        </row>
        <row r="1589">
          <cell r="C1589" t="str">
            <v>Butcher Enterprises</v>
          </cell>
          <cell r="D1589" t="str">
            <v>Community Solar Assets 2 Limited</v>
          </cell>
          <cell r="E1589" t="str">
            <v>CO</v>
          </cell>
          <cell r="F1589">
            <v>42117</v>
          </cell>
          <cell r="G1589">
            <v>42299</v>
          </cell>
          <cell r="H1589">
            <v>49421</v>
          </cell>
          <cell r="I1589" t="str">
            <v>19 years, 6 months, 0 days</v>
          </cell>
          <cell r="J1589" t="str">
            <v>Renewables</v>
          </cell>
          <cell r="K1589" t="str">
            <v>Solar (Rooftop)</v>
          </cell>
          <cell r="L1589" t="str">
            <v>Solar</v>
          </cell>
          <cell r="M1589" t="str">
            <v>Dx</v>
          </cell>
          <cell r="N1589" t="str">
            <v>Brampton</v>
          </cell>
          <cell r="O1589" t="str">
            <v>Peel</v>
          </cell>
          <cell r="P1589" t="str">
            <v>Toronto</v>
          </cell>
        </row>
        <row r="1590">
          <cell r="C1590" t="str">
            <v>PBrantSol12</v>
          </cell>
          <cell r="D1590" t="str">
            <v>Patricia Brant</v>
          </cell>
          <cell r="E1590" t="str">
            <v>CO</v>
          </cell>
          <cell r="F1590">
            <v>42061</v>
          </cell>
          <cell r="G1590">
            <v>42031</v>
          </cell>
          <cell r="H1590">
            <v>49335</v>
          </cell>
          <cell r="I1590" t="str">
            <v>19 years, 11 months, 30 days</v>
          </cell>
          <cell r="J1590" t="str">
            <v>Renewables</v>
          </cell>
          <cell r="K1590" t="str">
            <v>Solar (Rooftop)</v>
          </cell>
          <cell r="L1590" t="str">
            <v>Solar</v>
          </cell>
          <cell r="M1590" t="str">
            <v>Dx</v>
          </cell>
          <cell r="N1590" t="str">
            <v>Deseronto</v>
          </cell>
          <cell r="O1590" t="str">
            <v>Hastings</v>
          </cell>
          <cell r="P1590" t="str">
            <v>East</v>
          </cell>
        </row>
        <row r="1591">
          <cell r="C1591" t="str">
            <v>Albert St Solar</v>
          </cell>
          <cell r="D1591" t="str">
            <v>James Looman</v>
          </cell>
          <cell r="E1591" t="str">
            <v>CO</v>
          </cell>
          <cell r="F1591">
            <v>42477</v>
          </cell>
          <cell r="G1591">
            <v>42369</v>
          </cell>
          <cell r="H1591">
            <v>49673</v>
          </cell>
          <cell r="I1591" t="str">
            <v>19 years, 11 months, 29 days</v>
          </cell>
          <cell r="J1591" t="str">
            <v>Renewables</v>
          </cell>
          <cell r="K1591" t="str">
            <v>Solar (Rooftop)</v>
          </cell>
          <cell r="L1591" t="str">
            <v>Solar</v>
          </cell>
          <cell r="M1591" t="str">
            <v>Dx</v>
          </cell>
          <cell r="N1591" t="str">
            <v>Strathroy</v>
          </cell>
          <cell r="O1591" t="str">
            <v>Middlesex</v>
          </cell>
          <cell r="P1591" t="str">
            <v>West</v>
          </cell>
        </row>
        <row r="1592">
          <cell r="C1592" t="str">
            <v>TOR-500 Barmac</v>
          </cell>
          <cell r="D1592" t="str">
            <v>Métis Nation of Ontario - BrightRoof Solar LP</v>
          </cell>
          <cell r="E1592" t="str">
            <v>CO</v>
          </cell>
          <cell r="F1592">
            <v>42117</v>
          </cell>
          <cell r="G1592">
            <v>42055</v>
          </cell>
          <cell r="H1592">
            <v>49359</v>
          </cell>
          <cell r="I1592" t="str">
            <v>19 years, 11 months, 30 days</v>
          </cell>
          <cell r="J1592" t="str">
            <v>Renewables</v>
          </cell>
          <cell r="K1592" t="str">
            <v>Solar (Rooftop)</v>
          </cell>
          <cell r="L1592" t="str">
            <v>Solar</v>
          </cell>
          <cell r="M1592" t="str">
            <v>Dx</v>
          </cell>
          <cell r="N1592" t="str">
            <v>Toronto</v>
          </cell>
          <cell r="O1592" t="str">
            <v>Toronto</v>
          </cell>
          <cell r="P1592" t="str">
            <v>Toronto</v>
          </cell>
        </row>
        <row r="1593">
          <cell r="C1593" t="str">
            <v>AGRIS Solar (Hallowell - East)</v>
          </cell>
          <cell r="D1593" t="str">
            <v>AGRIS Solar Co-operative Inc.</v>
          </cell>
          <cell r="E1593" t="str">
            <v>CO</v>
          </cell>
          <cell r="F1593">
            <v>42761</v>
          </cell>
          <cell r="G1593">
            <v>42490</v>
          </cell>
          <cell r="H1593">
            <v>49794</v>
          </cell>
          <cell r="I1593" t="str">
            <v>19 years, 11 months, 30 days</v>
          </cell>
          <cell r="J1593" t="str">
            <v>Renewables</v>
          </cell>
          <cell r="K1593" t="str">
            <v>Solar (Ground Mounted)</v>
          </cell>
          <cell r="L1593" t="str">
            <v>Solar</v>
          </cell>
          <cell r="M1593" t="str">
            <v>Dx</v>
          </cell>
          <cell r="N1593" t="str">
            <v>Bloomfield</v>
          </cell>
          <cell r="O1593" t="str">
            <v>Prince Edward</v>
          </cell>
          <cell r="P1593" t="str">
            <v>East</v>
          </cell>
        </row>
        <row r="1594">
          <cell r="C1594" t="str">
            <v>HOME TWO</v>
          </cell>
          <cell r="D1594" t="str">
            <v>William Montgomery Daunt</v>
          </cell>
          <cell r="E1594" t="str">
            <v>CO</v>
          </cell>
          <cell r="F1594">
            <v>42102</v>
          </cell>
          <cell r="G1594">
            <v>42066</v>
          </cell>
          <cell r="H1594">
            <v>49370</v>
          </cell>
          <cell r="I1594" t="str">
            <v>19 years, 11 months, 27 days</v>
          </cell>
          <cell r="J1594" t="str">
            <v>Renewables</v>
          </cell>
          <cell r="K1594" t="str">
            <v>Solar (Rooftop)</v>
          </cell>
          <cell r="L1594" t="str">
            <v>Solar</v>
          </cell>
          <cell r="M1594" t="str">
            <v>Dx</v>
          </cell>
          <cell r="N1594" t="str">
            <v>Gorrie</v>
          </cell>
          <cell r="O1594" t="str">
            <v>Huron</v>
          </cell>
          <cell r="P1594" t="str">
            <v>Southwest</v>
          </cell>
        </row>
        <row r="1595">
          <cell r="C1595" t="str">
            <v>Cedarbrook Jr PS</v>
          </cell>
          <cell r="D1595" t="str">
            <v>TSPS (Portfolio 1) Limited Partnership</v>
          </cell>
          <cell r="E1595" t="str">
            <v>CO</v>
          </cell>
          <cell r="F1595">
            <v>42583</v>
          </cell>
          <cell r="G1595">
            <v>42096</v>
          </cell>
          <cell r="H1595">
            <v>49400</v>
          </cell>
          <cell r="I1595" t="str">
            <v>19 years, 11 months, 30 days</v>
          </cell>
          <cell r="J1595" t="str">
            <v>Renewables</v>
          </cell>
          <cell r="K1595" t="str">
            <v>Solar (Rooftop)</v>
          </cell>
          <cell r="L1595" t="str">
            <v>Solar</v>
          </cell>
          <cell r="M1595" t="str">
            <v>Dx</v>
          </cell>
          <cell r="N1595" t="str">
            <v>Toronto</v>
          </cell>
          <cell r="O1595" t="str">
            <v>Toronto</v>
          </cell>
          <cell r="P1595" t="str">
            <v>Toronto</v>
          </cell>
        </row>
        <row r="1596">
          <cell r="C1596" t="str">
            <v>Rockcliffe MS</v>
          </cell>
          <cell r="D1596" t="str">
            <v>TSPS (Portfolio 2) Limited Partnership</v>
          </cell>
          <cell r="E1596" t="str">
            <v>CO</v>
          </cell>
          <cell r="F1596">
            <v>42609</v>
          </cell>
          <cell r="G1596">
            <v>42703</v>
          </cell>
          <cell r="H1596">
            <v>49913</v>
          </cell>
          <cell r="I1596" t="str">
            <v>19 years, 8 months, 28 days</v>
          </cell>
          <cell r="J1596" t="str">
            <v>Renewables</v>
          </cell>
          <cell r="K1596" t="str">
            <v>Solar (Rooftop)</v>
          </cell>
          <cell r="L1596" t="str">
            <v>Solar</v>
          </cell>
          <cell r="M1596" t="str">
            <v>Dx</v>
          </cell>
          <cell r="N1596" t="str">
            <v>Toronto</v>
          </cell>
          <cell r="O1596" t="str">
            <v>Toronto</v>
          </cell>
          <cell r="P1596" t="str">
            <v>Toronto</v>
          </cell>
        </row>
        <row r="1597">
          <cell r="C1597" t="str">
            <v>Sir Samuel B Steele Jr PS</v>
          </cell>
          <cell r="D1597" t="str">
            <v>TSPS (Portfolio 2) Limited Partnership</v>
          </cell>
          <cell r="E1597" t="str">
            <v>CO</v>
          </cell>
          <cell r="F1597">
            <v>42611</v>
          </cell>
          <cell r="G1597">
            <v>42355</v>
          </cell>
          <cell r="H1597">
            <v>49659</v>
          </cell>
          <cell r="I1597" t="str">
            <v>19 years, 11 months, 29 days</v>
          </cell>
          <cell r="J1597" t="str">
            <v>Renewables</v>
          </cell>
          <cell r="K1597" t="str">
            <v>Solar (Rooftop)</v>
          </cell>
          <cell r="L1597" t="str">
            <v>Solar</v>
          </cell>
          <cell r="M1597" t="str">
            <v>Dx</v>
          </cell>
          <cell r="N1597" t="str">
            <v>Toronto</v>
          </cell>
          <cell r="O1597" t="str">
            <v>Toronto</v>
          </cell>
          <cell r="P1597" t="str">
            <v>Toronto</v>
          </cell>
        </row>
        <row r="1598">
          <cell r="C1598" t="str">
            <v>Runnymede CI</v>
          </cell>
          <cell r="D1598" t="str">
            <v>TSPS (Portfolio 2) Limited Partnership</v>
          </cell>
          <cell r="E1598" t="str">
            <v>CO</v>
          </cell>
          <cell r="F1598">
            <v>42609</v>
          </cell>
          <cell r="G1598">
            <v>42703</v>
          </cell>
          <cell r="H1598">
            <v>49913</v>
          </cell>
          <cell r="I1598" t="str">
            <v>19 years, 8 months, 28 days</v>
          </cell>
          <cell r="J1598" t="str">
            <v>Renewables</v>
          </cell>
          <cell r="K1598" t="str">
            <v>Solar (Rooftop)</v>
          </cell>
          <cell r="L1598" t="str">
            <v>Solar</v>
          </cell>
          <cell r="M1598" t="str">
            <v>Dx</v>
          </cell>
          <cell r="N1598" t="str">
            <v>Toronto</v>
          </cell>
          <cell r="O1598" t="str">
            <v>Toronto</v>
          </cell>
          <cell r="P1598" t="str">
            <v>Toronto</v>
          </cell>
        </row>
        <row r="1599">
          <cell r="C1599" t="str">
            <v>AGRIS Solar (LT 5 CON 3 DYMOND)</v>
          </cell>
          <cell r="D1599" t="str">
            <v>AGRIS Solar Co-operative Inc.</v>
          </cell>
          <cell r="E1599" t="str">
            <v>CO</v>
          </cell>
          <cell r="F1599">
            <v>42699</v>
          </cell>
          <cell r="G1599">
            <v>42160</v>
          </cell>
          <cell r="H1599">
            <v>49464</v>
          </cell>
          <cell r="I1599" t="str">
            <v>19 years, 11 months, 30 days</v>
          </cell>
          <cell r="J1599" t="str">
            <v>Renewables</v>
          </cell>
          <cell r="K1599" t="str">
            <v>Solar (Ground Mounted)</v>
          </cell>
          <cell r="L1599" t="str">
            <v>Solar</v>
          </cell>
          <cell r="M1599" t="str">
            <v>Dx</v>
          </cell>
          <cell r="N1599" t="str">
            <v>New Liskeard</v>
          </cell>
          <cell r="O1599" t="str">
            <v>Timiskaming</v>
          </cell>
          <cell r="P1599" t="str">
            <v>Northeast</v>
          </cell>
        </row>
        <row r="1600">
          <cell r="C1600" t="str">
            <v>Milliken PS</v>
          </cell>
          <cell r="D1600" t="str">
            <v>TSPS (Portfolio 2) Limited Partnership</v>
          </cell>
          <cell r="E1600" t="str">
            <v>CO</v>
          </cell>
          <cell r="F1600">
            <v>42604</v>
          </cell>
          <cell r="G1600">
            <v>42355</v>
          </cell>
          <cell r="H1600">
            <v>49659</v>
          </cell>
          <cell r="I1600" t="str">
            <v>19 years, 11 months, 29 days</v>
          </cell>
          <cell r="J1600" t="str">
            <v>Renewables</v>
          </cell>
          <cell r="K1600" t="str">
            <v>Solar (Rooftop)</v>
          </cell>
          <cell r="L1600" t="str">
            <v>Solar</v>
          </cell>
          <cell r="M1600" t="str">
            <v>Dx</v>
          </cell>
          <cell r="N1600" t="str">
            <v>Toronto</v>
          </cell>
          <cell r="O1600" t="str">
            <v>Toronto</v>
          </cell>
          <cell r="P1600" t="str">
            <v>Toronto</v>
          </cell>
        </row>
        <row r="1601">
          <cell r="C1601" t="str">
            <v>Grenoble PS</v>
          </cell>
          <cell r="D1601" t="str">
            <v>TSPS (Portfolio 2) Limited Partnership</v>
          </cell>
          <cell r="E1601" t="str">
            <v>CO</v>
          </cell>
          <cell r="F1601">
            <v>42597</v>
          </cell>
          <cell r="G1601">
            <v>42321</v>
          </cell>
          <cell r="H1601">
            <v>49625</v>
          </cell>
          <cell r="I1601" t="str">
            <v>19 years, 11 months, 30 days</v>
          </cell>
          <cell r="J1601" t="str">
            <v>Renewables</v>
          </cell>
          <cell r="K1601" t="str">
            <v>Solar (Rooftop)</v>
          </cell>
          <cell r="L1601" t="str">
            <v>Solar</v>
          </cell>
          <cell r="M1601" t="str">
            <v>Dx</v>
          </cell>
          <cell r="N1601" t="str">
            <v>Toronto</v>
          </cell>
          <cell r="O1601" t="str">
            <v>Toronto</v>
          </cell>
          <cell r="P1601" t="str">
            <v>Toronto</v>
          </cell>
        </row>
        <row r="1602">
          <cell r="C1602" t="str">
            <v>Humewood Community School</v>
          </cell>
          <cell r="D1602" t="str">
            <v>TSPS (Portfolio 2) Limited Partnership</v>
          </cell>
          <cell r="E1602" t="str">
            <v>CO</v>
          </cell>
          <cell r="F1602">
            <v>42597</v>
          </cell>
          <cell r="G1602">
            <v>42335</v>
          </cell>
          <cell r="H1602">
            <v>49639</v>
          </cell>
          <cell r="I1602" t="str">
            <v>19 years, 11 months, 30 days</v>
          </cell>
          <cell r="J1602" t="str">
            <v>Renewables</v>
          </cell>
          <cell r="K1602" t="str">
            <v>Solar (Rooftop)</v>
          </cell>
          <cell r="L1602" t="str">
            <v>Solar</v>
          </cell>
          <cell r="M1602" t="str">
            <v>Dx</v>
          </cell>
          <cell r="N1602" t="str">
            <v>Toronto</v>
          </cell>
          <cell r="O1602" t="str">
            <v>Toronto</v>
          </cell>
          <cell r="P1602" t="str">
            <v>Toronto</v>
          </cell>
        </row>
        <row r="1603">
          <cell r="C1603" t="str">
            <v>1000 Clarke</v>
          </cell>
          <cell r="D1603" t="str">
            <v>N&amp;G LP</v>
          </cell>
          <cell r="E1603" t="str">
            <v>CO</v>
          </cell>
          <cell r="F1603">
            <v>42054</v>
          </cell>
          <cell r="G1603">
            <v>42200</v>
          </cell>
          <cell r="H1603">
            <v>49358</v>
          </cell>
          <cell r="I1603" t="str">
            <v>19 years, 7 months, 3 days</v>
          </cell>
          <cell r="J1603" t="str">
            <v>Renewables</v>
          </cell>
          <cell r="K1603" t="str">
            <v>Solar (Rooftop)</v>
          </cell>
          <cell r="L1603" t="str">
            <v>Solar</v>
          </cell>
          <cell r="M1603" t="str">
            <v>Dx</v>
          </cell>
          <cell r="N1603" t="str">
            <v>London</v>
          </cell>
          <cell r="O1603" t="str">
            <v>Middlesex</v>
          </cell>
          <cell r="P1603" t="str">
            <v>West</v>
          </cell>
        </row>
        <row r="1604">
          <cell r="C1604" t="str">
            <v>Sabre Solar I</v>
          </cell>
          <cell r="D1604" t="str">
            <v>CEW Algonquin IX Limited Partnership</v>
          </cell>
          <cell r="E1604" t="str">
            <v>CO</v>
          </cell>
          <cell r="F1604">
            <v>42117</v>
          </cell>
          <cell r="G1604">
            <v>42391</v>
          </cell>
          <cell r="H1604">
            <v>49421</v>
          </cell>
          <cell r="I1604" t="str">
            <v>19 years, 3 months, 0 days</v>
          </cell>
          <cell r="J1604" t="str">
            <v>Renewables</v>
          </cell>
          <cell r="K1604" t="str">
            <v>Solar (Rooftop)</v>
          </cell>
          <cell r="L1604" t="str">
            <v>Solar</v>
          </cell>
          <cell r="M1604" t="str">
            <v>Dx</v>
          </cell>
          <cell r="N1604" t="str">
            <v>Gravenhurst</v>
          </cell>
          <cell r="O1604" t="str">
            <v>Muskoka</v>
          </cell>
          <cell r="P1604" t="str">
            <v>Essa</v>
          </cell>
        </row>
        <row r="1605">
          <cell r="C1605" t="str">
            <v>Monarch Park Collegiate</v>
          </cell>
          <cell r="D1605" t="str">
            <v>TSPS (Portfolio 1) Limited Partnership</v>
          </cell>
          <cell r="E1605" t="str">
            <v>CO</v>
          </cell>
          <cell r="F1605">
            <v>42604</v>
          </cell>
          <cell r="G1605">
            <v>42338</v>
          </cell>
          <cell r="H1605">
            <v>49642</v>
          </cell>
          <cell r="I1605" t="str">
            <v>19 years, 11 months, 30 days</v>
          </cell>
          <cell r="J1605" t="str">
            <v>Renewables</v>
          </cell>
          <cell r="K1605" t="str">
            <v>Solar (Rooftop)</v>
          </cell>
          <cell r="L1605" t="str">
            <v>Solar</v>
          </cell>
          <cell r="M1605" t="str">
            <v>Dx</v>
          </cell>
          <cell r="N1605" t="str">
            <v>Toronto</v>
          </cell>
          <cell r="O1605" t="str">
            <v>Toronto</v>
          </cell>
          <cell r="P1605" t="str">
            <v>Toronto</v>
          </cell>
        </row>
        <row r="1606">
          <cell r="C1606" t="str">
            <v>EXE-39995 Harvest</v>
          </cell>
          <cell r="D1606" t="str">
            <v>Métis Nation of Ontario - BrightRoof Solar LP</v>
          </cell>
          <cell r="E1606" t="str">
            <v>CO</v>
          </cell>
          <cell r="F1606">
            <v>42104</v>
          </cell>
          <cell r="G1606">
            <v>42023</v>
          </cell>
          <cell r="H1606">
            <v>49327</v>
          </cell>
          <cell r="I1606" t="str">
            <v>19 years, 11 months, 30 days</v>
          </cell>
          <cell r="J1606" t="str">
            <v>Renewables</v>
          </cell>
          <cell r="K1606" t="str">
            <v>Solar (Rooftop)</v>
          </cell>
          <cell r="L1606" t="str">
            <v>Solar</v>
          </cell>
          <cell r="M1606" t="str">
            <v>Dx</v>
          </cell>
          <cell r="N1606" t="str">
            <v>Exeter</v>
          </cell>
          <cell r="O1606" t="str">
            <v>Huron</v>
          </cell>
          <cell r="P1606" t="str">
            <v>Southwest</v>
          </cell>
        </row>
        <row r="1607">
          <cell r="C1607" t="str">
            <v>Steelesview PS</v>
          </cell>
          <cell r="D1607" t="str">
            <v>TSPS (Portfolio 2) Limited Partnership</v>
          </cell>
          <cell r="E1607" t="str">
            <v>CO</v>
          </cell>
          <cell r="F1607">
            <v>42611</v>
          </cell>
          <cell r="G1607">
            <v>42584</v>
          </cell>
          <cell r="H1607">
            <v>49888</v>
          </cell>
          <cell r="I1607" t="str">
            <v>19 years, 11 months, 30 days</v>
          </cell>
          <cell r="J1607" t="str">
            <v>Renewables</v>
          </cell>
          <cell r="K1607" t="str">
            <v>Solar (Rooftop)</v>
          </cell>
          <cell r="L1607" t="str">
            <v>Solar</v>
          </cell>
          <cell r="M1607" t="str">
            <v>Dx</v>
          </cell>
          <cell r="N1607" t="str">
            <v>Toronto</v>
          </cell>
          <cell r="O1607" t="str">
            <v>Toronto</v>
          </cell>
          <cell r="P1607" t="str">
            <v>Toronto</v>
          </cell>
        </row>
        <row r="1608">
          <cell r="C1608" t="str">
            <v>SunEdison ON-12-0300</v>
          </cell>
          <cell r="D1608" t="str">
            <v>PRI Industrial Solar Limited Partnership</v>
          </cell>
          <cell r="E1608" t="str">
            <v>CO</v>
          </cell>
          <cell r="F1608">
            <v>42097</v>
          </cell>
          <cell r="G1608">
            <v>42097</v>
          </cell>
          <cell r="H1608">
            <v>49401</v>
          </cell>
          <cell r="I1608" t="str">
            <v>19 years, 11 months, 30 days</v>
          </cell>
          <cell r="J1608" t="str">
            <v>Renewables</v>
          </cell>
          <cell r="K1608" t="str">
            <v>Solar (Rooftop)</v>
          </cell>
          <cell r="L1608" t="str">
            <v>Solar</v>
          </cell>
          <cell r="M1608" t="str">
            <v>Dx</v>
          </cell>
          <cell r="N1608" t="str">
            <v>Mississauga</v>
          </cell>
          <cell r="O1608" t="str">
            <v>Peel</v>
          </cell>
          <cell r="P1608" t="str">
            <v>Toronto</v>
          </cell>
        </row>
        <row r="1609">
          <cell r="C1609" t="str">
            <v>North Albion CI</v>
          </cell>
          <cell r="D1609" t="str">
            <v>TSPS (Portfolio 1) Limited Partnership</v>
          </cell>
          <cell r="E1609" t="str">
            <v>CO</v>
          </cell>
          <cell r="F1609">
            <v>42604</v>
          </cell>
          <cell r="G1609">
            <v>42402</v>
          </cell>
          <cell r="H1609">
            <v>49706</v>
          </cell>
          <cell r="I1609" t="str">
            <v>19 years, 11 months, 30 days</v>
          </cell>
          <cell r="J1609" t="str">
            <v>Renewables</v>
          </cell>
          <cell r="K1609" t="str">
            <v>Solar (Rooftop)</v>
          </cell>
          <cell r="L1609" t="str">
            <v>Solar</v>
          </cell>
          <cell r="M1609" t="str">
            <v>Dx</v>
          </cell>
          <cell r="N1609" t="str">
            <v>Toronto</v>
          </cell>
          <cell r="O1609" t="str">
            <v>Toronto</v>
          </cell>
          <cell r="P1609" t="str">
            <v>Toronto</v>
          </cell>
        </row>
        <row r="1610">
          <cell r="C1610" t="str">
            <v>4023 Third FIT Roof Mount 40</v>
          </cell>
          <cell r="D1610" t="str">
            <v>SCCEC LP</v>
          </cell>
          <cell r="E1610" t="str">
            <v>CO</v>
          </cell>
          <cell r="F1610">
            <v>42104</v>
          </cell>
          <cell r="G1610">
            <v>42187</v>
          </cell>
          <cell r="H1610">
            <v>49408</v>
          </cell>
          <cell r="I1610" t="str">
            <v>19 years, 9 months, 7 days</v>
          </cell>
          <cell r="J1610" t="str">
            <v>Renewables</v>
          </cell>
          <cell r="K1610" t="str">
            <v>Solar (Rooftop)</v>
          </cell>
          <cell r="L1610" t="str">
            <v>Solar</v>
          </cell>
          <cell r="M1610" t="str">
            <v>Dx</v>
          </cell>
          <cell r="N1610" t="str">
            <v>Tottenham</v>
          </cell>
          <cell r="O1610" t="str">
            <v>Simcoe</v>
          </cell>
          <cell r="P1610" t="str">
            <v>Essa</v>
          </cell>
        </row>
        <row r="1611">
          <cell r="C1611" t="str">
            <v>Harrow Solar</v>
          </cell>
          <cell r="D1611" t="str">
            <v>Harrow Solar Inc.</v>
          </cell>
          <cell r="E1611" t="str">
            <v>CO</v>
          </cell>
          <cell r="F1611">
            <v>42761</v>
          </cell>
          <cell r="G1611">
            <v>42209</v>
          </cell>
          <cell r="H1611">
            <v>49513</v>
          </cell>
          <cell r="I1611" t="str">
            <v>19 years, 11 months, 29 days</v>
          </cell>
          <cell r="J1611" t="str">
            <v>Renewables</v>
          </cell>
          <cell r="K1611" t="str">
            <v>Solar (Ground Mounted)</v>
          </cell>
          <cell r="L1611" t="str">
            <v>Solar</v>
          </cell>
          <cell r="M1611" t="str">
            <v>Dx</v>
          </cell>
          <cell r="N1611" t="str">
            <v>Harrow</v>
          </cell>
          <cell r="O1611" t="str">
            <v>Essex</v>
          </cell>
          <cell r="P1611" t="str">
            <v>West</v>
          </cell>
        </row>
        <row r="1612">
          <cell r="C1612" t="str">
            <v>64 - Oegema Turkey Farm</v>
          </cell>
          <cell r="D1612" t="str">
            <v>SIF-AMBER PROJECTS LP</v>
          </cell>
          <cell r="E1612" t="str">
            <v>CO</v>
          </cell>
          <cell r="F1612">
            <v>42056</v>
          </cell>
          <cell r="G1612">
            <v>42235</v>
          </cell>
          <cell r="H1612">
            <v>49360</v>
          </cell>
          <cell r="I1612" t="str">
            <v>19 years, 6 months, 1 days</v>
          </cell>
          <cell r="J1612" t="str">
            <v>Renewables</v>
          </cell>
          <cell r="K1612" t="str">
            <v>Solar (Rooftop)</v>
          </cell>
          <cell r="L1612" t="str">
            <v>Solar</v>
          </cell>
          <cell r="M1612" t="str">
            <v>Dx</v>
          </cell>
          <cell r="N1612" t="str">
            <v>St. Thomas</v>
          </cell>
          <cell r="O1612" t="str">
            <v>Elgin</v>
          </cell>
          <cell r="P1612" t="str">
            <v>West</v>
          </cell>
        </row>
        <row r="1613">
          <cell r="C1613" t="str">
            <v>927251 Oxford County Road 8, Blandford-Blenheim</v>
          </cell>
          <cell r="D1613" t="str">
            <v>Mann MS2013400 LP</v>
          </cell>
          <cell r="E1613" t="str">
            <v>CO</v>
          </cell>
          <cell r="F1613">
            <v>42117</v>
          </cell>
          <cell r="G1613">
            <v>42293</v>
          </cell>
          <cell r="H1613">
            <v>49421</v>
          </cell>
          <cell r="I1613" t="str">
            <v>19 years, 6 months, 6 days</v>
          </cell>
          <cell r="J1613" t="str">
            <v>Renewables</v>
          </cell>
          <cell r="K1613" t="str">
            <v>Solar (Rooftop)</v>
          </cell>
          <cell r="L1613" t="str">
            <v>Solar</v>
          </cell>
          <cell r="M1613" t="str">
            <v>Dx</v>
          </cell>
          <cell r="N1613" t="str">
            <v>Plattsville</v>
          </cell>
          <cell r="O1613" t="str">
            <v>Oxford</v>
          </cell>
          <cell r="P1613" t="str">
            <v>Southwest</v>
          </cell>
        </row>
        <row r="1614">
          <cell r="C1614" t="str">
            <v>Downsview PS</v>
          </cell>
          <cell r="D1614" t="str">
            <v>TSPS (Portfolio 2) Limited Partnership</v>
          </cell>
          <cell r="E1614" t="str">
            <v>CO</v>
          </cell>
          <cell r="F1614">
            <v>42588</v>
          </cell>
          <cell r="G1614">
            <v>42369</v>
          </cell>
          <cell r="H1614">
            <v>49673</v>
          </cell>
          <cell r="I1614" t="str">
            <v>19 years, 11 months, 29 days</v>
          </cell>
          <cell r="J1614" t="str">
            <v>Renewables</v>
          </cell>
          <cell r="K1614" t="str">
            <v>Solar (Rooftop)</v>
          </cell>
          <cell r="L1614" t="str">
            <v>Solar</v>
          </cell>
          <cell r="M1614" t="str">
            <v>Dx</v>
          </cell>
          <cell r="N1614" t="str">
            <v>Toronto</v>
          </cell>
          <cell r="O1614" t="str">
            <v>Toronto</v>
          </cell>
          <cell r="P1614" t="str">
            <v>Toronto</v>
          </cell>
        </row>
        <row r="1615">
          <cell r="C1615" t="str">
            <v>SOMEREN SOLAR (Clover Valley Road)</v>
          </cell>
          <cell r="D1615" t="str">
            <v>PRI Solar Gardens LP</v>
          </cell>
          <cell r="E1615" t="str">
            <v>CO</v>
          </cell>
          <cell r="F1615">
            <v>42715</v>
          </cell>
          <cell r="G1615">
            <v>42444</v>
          </cell>
          <cell r="H1615">
            <v>49748</v>
          </cell>
          <cell r="I1615" t="str">
            <v>19 years, 11 months, 28 days</v>
          </cell>
          <cell r="J1615" t="str">
            <v>Renewables</v>
          </cell>
          <cell r="K1615" t="str">
            <v>Solar (Ground Mounted)</v>
          </cell>
          <cell r="L1615" t="str">
            <v>Solar</v>
          </cell>
          <cell r="M1615" t="str">
            <v>Dx</v>
          </cell>
          <cell r="N1615" t="str">
            <v>New Liskeard</v>
          </cell>
          <cell r="O1615" t="str">
            <v>Timiskaming</v>
          </cell>
          <cell r="P1615" t="str">
            <v>Northeast</v>
          </cell>
        </row>
        <row r="1616">
          <cell r="C1616" t="str">
            <v>Malvern Jr PS</v>
          </cell>
          <cell r="D1616" t="str">
            <v>TSPS (Portfolio 1) Limited Partnership</v>
          </cell>
          <cell r="E1616" t="str">
            <v>CO</v>
          </cell>
          <cell r="F1616">
            <v>42604</v>
          </cell>
          <cell r="G1616">
            <v>42003</v>
          </cell>
          <cell r="H1616">
            <v>49307</v>
          </cell>
          <cell r="I1616" t="str">
            <v>19 years, 11 months, 29 days</v>
          </cell>
          <cell r="J1616" t="str">
            <v>Renewables</v>
          </cell>
          <cell r="K1616" t="str">
            <v>Solar (Rooftop)</v>
          </cell>
          <cell r="L1616" t="str">
            <v>Solar</v>
          </cell>
          <cell r="M1616" t="str">
            <v>Dx</v>
          </cell>
          <cell r="N1616" t="str">
            <v>Toronto</v>
          </cell>
          <cell r="O1616" t="str">
            <v>Toronto</v>
          </cell>
          <cell r="P1616" t="str">
            <v>Toronto</v>
          </cell>
        </row>
        <row r="1617">
          <cell r="C1617" t="str">
            <v>Elmvale Sun Harvester</v>
          </cell>
          <cell r="D1617" t="str">
            <v>SonSolar Inc.</v>
          </cell>
          <cell r="E1617" t="str">
            <v>CO</v>
          </cell>
          <cell r="F1617">
            <v>42224</v>
          </cell>
          <cell r="G1617">
            <v>42408</v>
          </cell>
          <cell r="H1617">
            <v>49528</v>
          </cell>
          <cell r="I1617" t="str">
            <v>19 years, 5 months, 30 days</v>
          </cell>
          <cell r="J1617" t="str">
            <v>Renewables</v>
          </cell>
          <cell r="K1617" t="str">
            <v>Solar (Rooftop)</v>
          </cell>
          <cell r="L1617" t="str">
            <v>Solar</v>
          </cell>
          <cell r="M1617" t="str">
            <v>Dx</v>
          </cell>
          <cell r="N1617" t="str">
            <v>Elmvale</v>
          </cell>
          <cell r="O1617" t="str">
            <v>Simcoe</v>
          </cell>
          <cell r="P1617" t="str">
            <v>Essa</v>
          </cell>
        </row>
        <row r="1618">
          <cell r="C1618" t="str">
            <v>AGRIS Solar (LT 1 CON 3 CHAMBERLAIN)</v>
          </cell>
          <cell r="D1618" t="str">
            <v>AGRIS Solar Co-operative Inc.</v>
          </cell>
          <cell r="E1618" t="str">
            <v>CO</v>
          </cell>
          <cell r="F1618">
            <v>42757</v>
          </cell>
          <cell r="G1618">
            <v>42160</v>
          </cell>
          <cell r="H1618">
            <v>49464</v>
          </cell>
          <cell r="I1618" t="str">
            <v>19 years, 11 months, 30 days</v>
          </cell>
          <cell r="J1618" t="str">
            <v>Renewables</v>
          </cell>
          <cell r="K1618" t="str">
            <v>Solar (Ground Mounted)</v>
          </cell>
          <cell r="L1618" t="str">
            <v>Solar</v>
          </cell>
          <cell r="M1618" t="str">
            <v>Dx</v>
          </cell>
          <cell r="N1618" t="str">
            <v>Englehart</v>
          </cell>
          <cell r="O1618" t="str">
            <v>Timiskaming</v>
          </cell>
          <cell r="P1618" t="str">
            <v>Northeast</v>
          </cell>
        </row>
        <row r="1619">
          <cell r="C1619" t="str">
            <v>Earl Haig SS</v>
          </cell>
          <cell r="D1619" t="str">
            <v>TSPS (Portfolio 2) Limited Partnership</v>
          </cell>
          <cell r="E1619" t="str">
            <v>CO</v>
          </cell>
          <cell r="F1619">
            <v>42588</v>
          </cell>
          <cell r="G1619">
            <v>42643</v>
          </cell>
          <cell r="H1619">
            <v>49892</v>
          </cell>
          <cell r="I1619" t="str">
            <v>19 years, 10 months, 6 days</v>
          </cell>
          <cell r="J1619" t="str">
            <v>Renewables</v>
          </cell>
          <cell r="K1619" t="str">
            <v>Solar (Rooftop)</v>
          </cell>
          <cell r="L1619" t="str">
            <v>Solar</v>
          </cell>
          <cell r="M1619" t="str">
            <v>Dx</v>
          </cell>
          <cell r="N1619" t="str">
            <v>Toronto</v>
          </cell>
          <cell r="O1619" t="str">
            <v>Toronto</v>
          </cell>
          <cell r="P1619" t="str">
            <v>Toronto</v>
          </cell>
        </row>
        <row r="1620">
          <cell r="C1620" t="str">
            <v>Pineway PS</v>
          </cell>
          <cell r="D1620" t="str">
            <v>TSPS (Portfolio 2) Limited Partnership</v>
          </cell>
          <cell r="E1620" t="str">
            <v>CO</v>
          </cell>
          <cell r="F1620">
            <v>42604</v>
          </cell>
          <cell r="G1620">
            <v>42689</v>
          </cell>
          <cell r="H1620">
            <v>49908</v>
          </cell>
          <cell r="I1620" t="str">
            <v>19 years, 9 months, 6 days</v>
          </cell>
          <cell r="J1620" t="str">
            <v>Renewables</v>
          </cell>
          <cell r="K1620" t="str">
            <v>Solar (Rooftop)</v>
          </cell>
          <cell r="L1620" t="str">
            <v>Solar</v>
          </cell>
          <cell r="M1620" t="str">
            <v>Dx</v>
          </cell>
          <cell r="N1620" t="str">
            <v>Toronto</v>
          </cell>
          <cell r="O1620" t="str">
            <v>Toronto</v>
          </cell>
          <cell r="P1620" t="str">
            <v>Toronto</v>
          </cell>
        </row>
        <row r="1621">
          <cell r="C1621" t="str">
            <v>Essex Jr &amp; Sr PS</v>
          </cell>
          <cell r="D1621" t="str">
            <v>TSPS (Portfolio 1) Limited Partnership</v>
          </cell>
          <cell r="E1621" t="str">
            <v>CO</v>
          </cell>
          <cell r="F1621">
            <v>42590</v>
          </cell>
          <cell r="G1621">
            <v>42096</v>
          </cell>
          <cell r="H1621">
            <v>49400</v>
          </cell>
          <cell r="I1621" t="str">
            <v>19 years, 11 months, 30 days</v>
          </cell>
          <cell r="J1621" t="str">
            <v>Renewables</v>
          </cell>
          <cell r="K1621" t="str">
            <v>Solar (Rooftop)</v>
          </cell>
          <cell r="L1621" t="str">
            <v>Solar</v>
          </cell>
          <cell r="M1621" t="str">
            <v>Dx</v>
          </cell>
          <cell r="N1621" t="str">
            <v>Toronto</v>
          </cell>
          <cell r="O1621" t="str">
            <v>Toronto</v>
          </cell>
          <cell r="P1621" t="str">
            <v>Toronto</v>
          </cell>
        </row>
        <row r="1622">
          <cell r="C1622" t="str">
            <v>Smithfield MS</v>
          </cell>
          <cell r="D1622" t="str">
            <v>TSPS (Portfolio 1) Limited Partnership</v>
          </cell>
          <cell r="E1622" t="str">
            <v>CO</v>
          </cell>
          <cell r="F1622">
            <v>42611</v>
          </cell>
          <cell r="G1622">
            <v>42375</v>
          </cell>
          <cell r="H1622">
            <v>49679</v>
          </cell>
          <cell r="I1622" t="str">
            <v>19 years, 11 months, 30 days</v>
          </cell>
          <cell r="J1622" t="str">
            <v>Renewables</v>
          </cell>
          <cell r="K1622" t="str">
            <v>Solar (Rooftop)</v>
          </cell>
          <cell r="L1622" t="str">
            <v>Solar</v>
          </cell>
          <cell r="M1622" t="str">
            <v>Dx</v>
          </cell>
          <cell r="N1622" t="str">
            <v>Toronto</v>
          </cell>
          <cell r="O1622" t="str">
            <v>Toronto</v>
          </cell>
          <cell r="P1622" t="str">
            <v>Toronto</v>
          </cell>
        </row>
        <row r="1623">
          <cell r="C1623" t="str">
            <v>Capricorn Investments Corp. Ltd.</v>
          </cell>
          <cell r="D1623" t="str">
            <v>Life Solar JV 101 Inc.</v>
          </cell>
          <cell r="E1623" t="str">
            <v>CO</v>
          </cell>
          <cell r="F1623">
            <v>42110</v>
          </cell>
          <cell r="G1623">
            <v>42293</v>
          </cell>
          <cell r="H1623">
            <v>49414</v>
          </cell>
          <cell r="I1623" t="str">
            <v>19 years, 5 months, 30 days</v>
          </cell>
          <cell r="J1623" t="str">
            <v>Renewables</v>
          </cell>
          <cell r="K1623" t="str">
            <v>Solar (Rooftop)</v>
          </cell>
          <cell r="L1623" t="str">
            <v>Solar</v>
          </cell>
          <cell r="M1623" t="str">
            <v>Dx</v>
          </cell>
          <cell r="N1623" t="str">
            <v>Chesley</v>
          </cell>
          <cell r="O1623" t="str">
            <v>Bruce</v>
          </cell>
          <cell r="P1623" t="str">
            <v>Southwest</v>
          </cell>
        </row>
        <row r="1624">
          <cell r="C1624" t="str">
            <v>YCDSB - St. Cecilia</v>
          </cell>
          <cell r="D1624" t="str">
            <v>Potentia Solar 7 Limited Partnership</v>
          </cell>
          <cell r="E1624" t="str">
            <v>CO</v>
          </cell>
          <cell r="F1624">
            <v>42068</v>
          </cell>
          <cell r="G1624">
            <v>42213</v>
          </cell>
          <cell r="H1624">
            <v>49372</v>
          </cell>
          <cell r="I1624" t="str">
            <v>19 years, 7 months, 4 days</v>
          </cell>
          <cell r="J1624" t="str">
            <v>Renewables</v>
          </cell>
          <cell r="K1624" t="str">
            <v>Solar (Rooftop)</v>
          </cell>
          <cell r="L1624" t="str">
            <v>Solar</v>
          </cell>
          <cell r="M1624" t="str">
            <v>Dx</v>
          </cell>
          <cell r="N1624" t="str">
            <v>Vaughan</v>
          </cell>
          <cell r="O1624" t="str">
            <v>York</v>
          </cell>
          <cell r="P1624" t="str">
            <v>Toronto</v>
          </cell>
        </row>
        <row r="1625">
          <cell r="C1625" t="str">
            <v>Van Gorp Farms L3</v>
          </cell>
          <cell r="D1625" t="str">
            <v>SE 2012 LP</v>
          </cell>
          <cell r="E1625" t="str">
            <v>CO</v>
          </cell>
          <cell r="F1625">
            <v>42112</v>
          </cell>
          <cell r="G1625">
            <v>42257</v>
          </cell>
          <cell r="H1625">
            <v>49416</v>
          </cell>
          <cell r="I1625" t="str">
            <v>19 years, 7 months, 7 days</v>
          </cell>
          <cell r="J1625" t="str">
            <v>Renewables</v>
          </cell>
          <cell r="K1625" t="str">
            <v>Solar (Rooftop)</v>
          </cell>
          <cell r="L1625" t="str">
            <v>Solar</v>
          </cell>
          <cell r="M1625" t="str">
            <v>Dx</v>
          </cell>
          <cell r="N1625" t="str">
            <v>Thorndale</v>
          </cell>
          <cell r="O1625" t="str">
            <v>Middlesex</v>
          </cell>
          <cell r="P1625" t="str">
            <v>West</v>
          </cell>
        </row>
        <row r="1626">
          <cell r="C1626" t="str">
            <v>Dr. Norman Bethune CI</v>
          </cell>
          <cell r="D1626" t="str">
            <v>TSPS (Portfolio 2) Limited Partnership</v>
          </cell>
          <cell r="E1626" t="str">
            <v>CO</v>
          </cell>
          <cell r="F1626">
            <v>42611</v>
          </cell>
          <cell r="G1626">
            <v>42286</v>
          </cell>
          <cell r="H1626">
            <v>49590</v>
          </cell>
          <cell r="I1626" t="str">
            <v>19 years, 11 months, 29 days</v>
          </cell>
          <cell r="J1626" t="str">
            <v>Renewables</v>
          </cell>
          <cell r="K1626" t="str">
            <v>Solar (Rooftop)</v>
          </cell>
          <cell r="L1626" t="str">
            <v>Solar</v>
          </cell>
          <cell r="M1626" t="str">
            <v>Dx</v>
          </cell>
          <cell r="N1626" t="str">
            <v>Toronto</v>
          </cell>
          <cell r="O1626" t="str">
            <v>Toronto</v>
          </cell>
          <cell r="P1626" t="str">
            <v>Toronto</v>
          </cell>
        </row>
        <row r="1627">
          <cell r="C1627" t="str">
            <v>SOMEREN SOLAR (River Road)</v>
          </cell>
          <cell r="D1627" t="str">
            <v>PRI Solar Gardens LP</v>
          </cell>
          <cell r="E1627" t="str">
            <v>CO</v>
          </cell>
          <cell r="F1627">
            <v>42715</v>
          </cell>
          <cell r="G1627">
            <v>42459</v>
          </cell>
          <cell r="H1627">
            <v>49763</v>
          </cell>
          <cell r="I1627" t="str">
            <v>19 years, 11 months, 28 days</v>
          </cell>
          <cell r="J1627" t="str">
            <v>Renewables</v>
          </cell>
          <cell r="K1627" t="str">
            <v>Solar (Ground Mounted)</v>
          </cell>
          <cell r="L1627" t="str">
            <v>Solar</v>
          </cell>
          <cell r="M1627" t="str">
            <v>Dx</v>
          </cell>
          <cell r="N1627" t="str">
            <v>New Liskeard</v>
          </cell>
          <cell r="O1627" t="str">
            <v>Timiskaming</v>
          </cell>
          <cell r="P1627" t="str">
            <v>Northeast</v>
          </cell>
        </row>
        <row r="1628">
          <cell r="C1628" t="str">
            <v>Harriett Todd PS</v>
          </cell>
          <cell r="D1628" t="str">
            <v>Potentia Solar 5 Limited Partnership</v>
          </cell>
          <cell r="E1628" t="str">
            <v>CO</v>
          </cell>
          <cell r="F1628">
            <v>42063</v>
          </cell>
          <cell r="G1628">
            <v>42236</v>
          </cell>
          <cell r="H1628">
            <v>49367</v>
          </cell>
          <cell r="I1628" t="str">
            <v>19 years, 6 months, 7 days</v>
          </cell>
          <cell r="J1628" t="str">
            <v>Renewables</v>
          </cell>
          <cell r="K1628" t="str">
            <v>Solar (Rooftop)</v>
          </cell>
          <cell r="L1628" t="str">
            <v>Solar</v>
          </cell>
          <cell r="M1628" t="str">
            <v>Dx</v>
          </cell>
          <cell r="N1628" t="str">
            <v>Orillia</v>
          </cell>
          <cell r="O1628" t="str">
            <v>Simcoe</v>
          </cell>
          <cell r="P1628" t="str">
            <v>Essa</v>
          </cell>
        </row>
        <row r="1629">
          <cell r="C1629" t="str">
            <v>RIC-30 Pollard</v>
          </cell>
          <cell r="D1629" t="str">
            <v>Métis Nation of Ontario - BrightRoof Solar LP</v>
          </cell>
          <cell r="E1629" t="str">
            <v>CO</v>
          </cell>
          <cell r="F1629">
            <v>42063</v>
          </cell>
          <cell r="G1629">
            <v>42216</v>
          </cell>
          <cell r="H1629">
            <v>49367</v>
          </cell>
          <cell r="I1629" t="str">
            <v>19 years, 6 months, 27 days</v>
          </cell>
          <cell r="J1629" t="str">
            <v>Renewables</v>
          </cell>
          <cell r="K1629" t="str">
            <v>Solar (Rooftop)</v>
          </cell>
          <cell r="L1629" t="str">
            <v>Solar</v>
          </cell>
          <cell r="M1629" t="str">
            <v>Dx</v>
          </cell>
          <cell r="N1629" t="str">
            <v>Richmond Hill</v>
          </cell>
          <cell r="O1629" t="str">
            <v>York</v>
          </cell>
          <cell r="P1629" t="str">
            <v>Toronto</v>
          </cell>
        </row>
        <row r="1630">
          <cell r="C1630" t="str">
            <v>Whiteside Solar 1</v>
          </cell>
          <cell r="D1630" t="str">
            <v>SCCEC LP</v>
          </cell>
          <cell r="E1630" t="str">
            <v>CO</v>
          </cell>
          <cell r="F1630">
            <v>42102</v>
          </cell>
          <cell r="G1630">
            <v>42009</v>
          </cell>
          <cell r="H1630">
            <v>49313</v>
          </cell>
          <cell r="I1630" t="str">
            <v>19 years, 11 months, 30 days</v>
          </cell>
          <cell r="J1630" t="str">
            <v>Renewables</v>
          </cell>
          <cell r="K1630" t="str">
            <v>Solar (Rooftop)</v>
          </cell>
          <cell r="L1630" t="str">
            <v>Solar</v>
          </cell>
          <cell r="M1630" t="str">
            <v>Dx</v>
          </cell>
          <cell r="N1630" t="str">
            <v>Alliston</v>
          </cell>
          <cell r="O1630" t="str">
            <v>Simcoe</v>
          </cell>
          <cell r="P1630" t="str">
            <v>Southwest</v>
          </cell>
        </row>
        <row r="1631">
          <cell r="C1631" t="str">
            <v>500bingemans</v>
          </cell>
          <cell r="D1631" t="str">
            <v>GSC RP6 LP</v>
          </cell>
          <cell r="E1631" t="str">
            <v>CO</v>
          </cell>
          <cell r="F1631">
            <v>42082</v>
          </cell>
          <cell r="G1631">
            <v>41927</v>
          </cell>
          <cell r="H1631">
            <v>49231</v>
          </cell>
          <cell r="I1631" t="str">
            <v>19 years, 11 months, 29 days</v>
          </cell>
          <cell r="J1631" t="str">
            <v>Renewables</v>
          </cell>
          <cell r="K1631" t="str">
            <v>Solar (Rooftop)</v>
          </cell>
          <cell r="L1631" t="str">
            <v>Solar</v>
          </cell>
          <cell r="M1631" t="str">
            <v>Dx</v>
          </cell>
          <cell r="N1631" t="str">
            <v>Kitchener</v>
          </cell>
          <cell r="O1631" t="str">
            <v>Waterloo</v>
          </cell>
          <cell r="P1631" t="str">
            <v>Southwest</v>
          </cell>
        </row>
        <row r="1632">
          <cell r="C1632" t="str">
            <v>YCDSB - All Saints</v>
          </cell>
          <cell r="D1632" t="str">
            <v>Potentia Solar 7 Limited Partnership</v>
          </cell>
          <cell r="E1632" t="str">
            <v>CO</v>
          </cell>
          <cell r="F1632">
            <v>42075</v>
          </cell>
          <cell r="G1632">
            <v>42080</v>
          </cell>
          <cell r="H1632">
            <v>49379</v>
          </cell>
          <cell r="I1632" t="str">
            <v>19 years, 11 months, 22 days</v>
          </cell>
          <cell r="J1632" t="str">
            <v>Renewables</v>
          </cell>
          <cell r="K1632" t="str">
            <v>Solar (Rooftop)</v>
          </cell>
          <cell r="L1632" t="str">
            <v>Solar</v>
          </cell>
          <cell r="M1632" t="str">
            <v>Dx</v>
          </cell>
          <cell r="N1632" t="str">
            <v>Markham</v>
          </cell>
          <cell r="O1632" t="str">
            <v>York</v>
          </cell>
          <cell r="P1632" t="str">
            <v>Toronto</v>
          </cell>
        </row>
        <row r="1633">
          <cell r="C1633" t="str">
            <v>A_1231_Emblem_B</v>
          </cell>
          <cell r="D1633" t="str">
            <v>2343461 Ontario Inc.</v>
          </cell>
          <cell r="E1633" t="str">
            <v>CO</v>
          </cell>
          <cell r="F1633">
            <v>42097</v>
          </cell>
          <cell r="G1633">
            <v>42279</v>
          </cell>
          <cell r="H1633">
            <v>49401</v>
          </cell>
          <cell r="I1633" t="str">
            <v>19 years, 6 months, 0 days</v>
          </cell>
          <cell r="J1633" t="str">
            <v>Renewables</v>
          </cell>
          <cell r="K1633" t="str">
            <v>Solar (Rooftop)</v>
          </cell>
          <cell r="L1633" t="str">
            <v>Solar</v>
          </cell>
          <cell r="M1633" t="str">
            <v>Dx</v>
          </cell>
          <cell r="N1633" t="str">
            <v>Toronto</v>
          </cell>
          <cell r="O1633" t="str">
            <v>Toronto</v>
          </cell>
          <cell r="P1633" t="str">
            <v>Toronto</v>
          </cell>
        </row>
        <row r="1634">
          <cell r="C1634" t="str">
            <v>Ray MacNeil Solar</v>
          </cell>
          <cell r="D1634" t="str">
            <v>Raymond MacNeil</v>
          </cell>
          <cell r="E1634" t="str">
            <v>CO</v>
          </cell>
          <cell r="F1634">
            <v>42104</v>
          </cell>
          <cell r="G1634">
            <v>41939</v>
          </cell>
          <cell r="H1634">
            <v>49243</v>
          </cell>
          <cell r="I1634" t="str">
            <v>19 years, 11 months, 29 days</v>
          </cell>
          <cell r="J1634" t="str">
            <v>Renewables</v>
          </cell>
          <cell r="K1634" t="str">
            <v>Solar (Rooftop)</v>
          </cell>
          <cell r="L1634" t="str">
            <v>Solar</v>
          </cell>
          <cell r="M1634" t="str">
            <v>Dx</v>
          </cell>
          <cell r="N1634" t="str">
            <v>Canfield</v>
          </cell>
          <cell r="O1634" t="str">
            <v>Haldimand</v>
          </cell>
          <cell r="P1634" t="str">
            <v>Southwest</v>
          </cell>
        </row>
        <row r="1635">
          <cell r="C1635" t="str">
            <v>William G Davis Jr PS</v>
          </cell>
          <cell r="D1635" t="str">
            <v>TSPS (Portfolio 2) Limited Partnership</v>
          </cell>
          <cell r="E1635" t="str">
            <v>CO</v>
          </cell>
          <cell r="F1635">
            <v>42611</v>
          </cell>
          <cell r="G1635">
            <v>42478</v>
          </cell>
          <cell r="H1635">
            <v>49782</v>
          </cell>
          <cell r="I1635" t="str">
            <v>19 years, 11 months, 30 days</v>
          </cell>
          <cell r="J1635" t="str">
            <v>Renewables</v>
          </cell>
          <cell r="K1635" t="str">
            <v>Solar (Rooftop)</v>
          </cell>
          <cell r="L1635" t="str">
            <v>Solar</v>
          </cell>
          <cell r="M1635" t="str">
            <v>Dx</v>
          </cell>
          <cell r="N1635" t="str">
            <v>Toronto</v>
          </cell>
          <cell r="O1635" t="str">
            <v>Toronto</v>
          </cell>
          <cell r="P1635" t="str">
            <v>Toronto</v>
          </cell>
        </row>
        <row r="1636">
          <cell r="C1636" t="str">
            <v>General Crerar PS</v>
          </cell>
          <cell r="D1636" t="str">
            <v>TSPS (Portfolio 2) Limited Partnership</v>
          </cell>
          <cell r="E1636" t="str">
            <v>CO</v>
          </cell>
          <cell r="F1636">
            <v>42597</v>
          </cell>
          <cell r="G1636">
            <v>42275</v>
          </cell>
          <cell r="H1636">
            <v>49579</v>
          </cell>
          <cell r="I1636" t="str">
            <v>19 years, 11 months, 30 days</v>
          </cell>
          <cell r="J1636" t="str">
            <v>Renewables</v>
          </cell>
          <cell r="K1636" t="str">
            <v>Solar (Rooftop)</v>
          </cell>
          <cell r="L1636" t="str">
            <v>Solar</v>
          </cell>
          <cell r="M1636" t="str">
            <v>Dx</v>
          </cell>
          <cell r="N1636" t="str">
            <v>Toronto</v>
          </cell>
          <cell r="O1636" t="str">
            <v>Toronto</v>
          </cell>
          <cell r="P1636" t="str">
            <v>Toronto</v>
          </cell>
        </row>
        <row r="1637">
          <cell r="C1637" t="str">
            <v>Vaughan Road Academy</v>
          </cell>
          <cell r="D1637" t="str">
            <v>TSPS (Portfolio 2) Limited Partnership</v>
          </cell>
          <cell r="E1637" t="str">
            <v>CO</v>
          </cell>
          <cell r="F1637">
            <v>42611</v>
          </cell>
          <cell r="G1637">
            <v>42304</v>
          </cell>
          <cell r="H1637">
            <v>49608</v>
          </cell>
          <cell r="I1637" t="str">
            <v>19 years, 11 months, 29 days</v>
          </cell>
          <cell r="J1637" t="str">
            <v>Renewables</v>
          </cell>
          <cell r="K1637" t="str">
            <v>Solar (Rooftop)</v>
          </cell>
          <cell r="L1637" t="str">
            <v>Solar</v>
          </cell>
          <cell r="M1637" t="str">
            <v>Dx</v>
          </cell>
          <cell r="N1637" t="str">
            <v>Toronto</v>
          </cell>
          <cell r="O1637" t="str">
            <v>Toronto</v>
          </cell>
          <cell r="P1637" t="str">
            <v>Toronto</v>
          </cell>
        </row>
        <row r="1638">
          <cell r="C1638" t="str">
            <v>Minten Solar #2</v>
          </cell>
          <cell r="D1638" t="str">
            <v>Minten SFN Limited Partnership</v>
          </cell>
          <cell r="E1638" t="str">
            <v>CO</v>
          </cell>
          <cell r="F1638">
            <v>42112</v>
          </cell>
          <cell r="G1638">
            <v>42286</v>
          </cell>
          <cell r="H1638">
            <v>49416</v>
          </cell>
          <cell r="I1638" t="str">
            <v>19 years, 6 months, 8 days</v>
          </cell>
          <cell r="J1638" t="str">
            <v>Renewables</v>
          </cell>
          <cell r="K1638" t="str">
            <v>Solar (Rooftop)</v>
          </cell>
          <cell r="L1638" t="str">
            <v>Solar</v>
          </cell>
          <cell r="M1638" t="str">
            <v>Dx</v>
          </cell>
          <cell r="N1638" t="str">
            <v>Watford</v>
          </cell>
          <cell r="O1638" t="str">
            <v>Lambton</v>
          </cell>
          <cell r="P1638" t="str">
            <v>West</v>
          </cell>
        </row>
        <row r="1639">
          <cell r="C1639" t="str">
            <v>Rounds Ranch Roof Mount</v>
          </cell>
          <cell r="D1639" t="str">
            <v>SCCEC LP</v>
          </cell>
          <cell r="E1639" t="str">
            <v>CO</v>
          </cell>
          <cell r="F1639">
            <v>42104</v>
          </cell>
          <cell r="G1639">
            <v>42073</v>
          </cell>
          <cell r="H1639">
            <v>49377</v>
          </cell>
          <cell r="I1639" t="str">
            <v>19 years, 11 months, 27 days</v>
          </cell>
          <cell r="J1639" t="str">
            <v>Renewables</v>
          </cell>
          <cell r="K1639" t="str">
            <v>Solar (Rooftop)</v>
          </cell>
          <cell r="L1639" t="str">
            <v>Solar</v>
          </cell>
          <cell r="M1639" t="str">
            <v>Dx</v>
          </cell>
          <cell r="N1639" t="str">
            <v>Elmvale</v>
          </cell>
          <cell r="O1639" t="str">
            <v>Simcoe</v>
          </cell>
          <cell r="P1639" t="str">
            <v>Essa</v>
          </cell>
        </row>
        <row r="1640">
          <cell r="C1640" t="str">
            <v>YCDSB - Father Henri Nouwen</v>
          </cell>
          <cell r="D1640" t="str">
            <v>Potentia Solar 7 Limited Partnership</v>
          </cell>
          <cell r="E1640" t="str">
            <v>CO</v>
          </cell>
          <cell r="F1640">
            <v>42075</v>
          </cell>
          <cell r="G1640">
            <v>42080</v>
          </cell>
          <cell r="H1640">
            <v>49379</v>
          </cell>
          <cell r="I1640" t="str">
            <v>19 years, 11 months, 22 days</v>
          </cell>
          <cell r="J1640" t="str">
            <v>Renewables</v>
          </cell>
          <cell r="K1640" t="str">
            <v>Solar (Rooftop)</v>
          </cell>
          <cell r="L1640" t="str">
            <v>Solar</v>
          </cell>
          <cell r="M1640" t="str">
            <v>Dx</v>
          </cell>
          <cell r="N1640" t="str">
            <v>Richmond Hill</v>
          </cell>
          <cell r="O1640" t="str">
            <v>York</v>
          </cell>
          <cell r="P1640" t="str">
            <v>Toronto</v>
          </cell>
        </row>
        <row r="1641">
          <cell r="C1641" t="str">
            <v>36 Rivet</v>
          </cell>
          <cell r="D1641" t="str">
            <v>Rural Energy Limited Partnership</v>
          </cell>
          <cell r="E1641" t="str">
            <v>CO</v>
          </cell>
          <cell r="F1641">
            <v>42772</v>
          </cell>
          <cell r="G1641">
            <v>42473</v>
          </cell>
          <cell r="H1641">
            <v>49777</v>
          </cell>
          <cell r="I1641" t="str">
            <v>19 years, 11 months, 30 days</v>
          </cell>
          <cell r="J1641" t="str">
            <v>Renewables</v>
          </cell>
          <cell r="K1641" t="str">
            <v>Solar (Ground Mounted)</v>
          </cell>
          <cell r="L1641" t="str">
            <v>Solar</v>
          </cell>
          <cell r="M1641" t="str">
            <v>Dx</v>
          </cell>
          <cell r="N1641" t="str">
            <v>Sturgeon Falls</v>
          </cell>
          <cell r="O1641" t="str">
            <v>Nipissing</v>
          </cell>
          <cell r="P1641" t="str">
            <v>Northeast</v>
          </cell>
        </row>
        <row r="1642">
          <cell r="C1642" t="str">
            <v>RS LaSalle</v>
          </cell>
          <cell r="D1642" t="str">
            <v>Nautilus Eagle Lake Solar I Limited Partnership</v>
          </cell>
          <cell r="E1642" t="str">
            <v>CO</v>
          </cell>
          <cell r="F1642">
            <v>42089</v>
          </cell>
          <cell r="G1642">
            <v>42135</v>
          </cell>
          <cell r="H1642">
            <v>49393</v>
          </cell>
          <cell r="I1642" t="str">
            <v>19 years, 10 months, 14 days</v>
          </cell>
          <cell r="J1642" t="str">
            <v>Renewables</v>
          </cell>
          <cell r="K1642" t="str">
            <v>Solar (Rooftop)</v>
          </cell>
          <cell r="L1642" t="str">
            <v>Solar</v>
          </cell>
          <cell r="M1642" t="str">
            <v>Dx</v>
          </cell>
          <cell r="N1642" t="str">
            <v>Windsor</v>
          </cell>
          <cell r="O1642" t="str">
            <v>Essex</v>
          </cell>
          <cell r="P1642" t="str">
            <v>West</v>
          </cell>
        </row>
        <row r="1643">
          <cell r="C1643" t="str">
            <v>St. Lucy</v>
          </cell>
          <cell r="D1643" t="str">
            <v>Dufferin-Peel Catholic District School Board</v>
          </cell>
          <cell r="E1643" t="str">
            <v>CO</v>
          </cell>
          <cell r="F1643">
            <v>42104</v>
          </cell>
          <cell r="G1643">
            <v>42104</v>
          </cell>
          <cell r="H1643">
            <v>49408</v>
          </cell>
          <cell r="I1643" t="str">
            <v>19 years, 11 months, 30 days</v>
          </cell>
          <cell r="J1643" t="str">
            <v>Renewables</v>
          </cell>
          <cell r="K1643" t="str">
            <v>Solar (Rooftop)</v>
          </cell>
          <cell r="L1643" t="str">
            <v>Solar</v>
          </cell>
          <cell r="M1643" t="str">
            <v>Dx</v>
          </cell>
          <cell r="N1643" t="str">
            <v>Brampton</v>
          </cell>
          <cell r="O1643" t="str">
            <v>Peel</v>
          </cell>
          <cell r="P1643" t="str">
            <v>Toronto</v>
          </cell>
        </row>
        <row r="1644">
          <cell r="C1644" t="str">
            <v>1777 Stenson Blvd Peterborough</v>
          </cell>
          <cell r="D1644" t="str">
            <v>Greenbanktree Power Corporation</v>
          </cell>
          <cell r="E1644" t="str">
            <v>CO</v>
          </cell>
          <cell r="F1644">
            <v>42102</v>
          </cell>
          <cell r="G1644">
            <v>41963</v>
          </cell>
          <cell r="H1644">
            <v>49267</v>
          </cell>
          <cell r="I1644" t="str">
            <v>19 years, 11 months, 30 days</v>
          </cell>
          <cell r="J1644" t="str">
            <v>Renewables</v>
          </cell>
          <cell r="K1644" t="str">
            <v>Solar (Rooftop)</v>
          </cell>
          <cell r="L1644" t="str">
            <v>Solar</v>
          </cell>
          <cell r="M1644" t="str">
            <v>Dx</v>
          </cell>
          <cell r="N1644" t="str">
            <v>Peterborough</v>
          </cell>
          <cell r="O1644" t="str">
            <v>Peterborough</v>
          </cell>
          <cell r="P1644" t="str">
            <v>East</v>
          </cell>
        </row>
        <row r="1645">
          <cell r="C1645" t="str">
            <v>1574eaglestn</v>
          </cell>
          <cell r="D1645" t="str">
            <v>GSC RP1 LP</v>
          </cell>
          <cell r="E1645" t="str">
            <v>CO</v>
          </cell>
          <cell r="F1645">
            <v>42070</v>
          </cell>
          <cell r="G1645">
            <v>42201</v>
          </cell>
          <cell r="H1645">
            <v>49374</v>
          </cell>
          <cell r="I1645" t="str">
            <v>19 years, 7 months, 18 days</v>
          </cell>
          <cell r="J1645" t="str">
            <v>Renewables</v>
          </cell>
          <cell r="K1645" t="str">
            <v>Solar (Rooftop)</v>
          </cell>
          <cell r="L1645" t="str">
            <v>Solar</v>
          </cell>
          <cell r="M1645" t="str">
            <v>Dx</v>
          </cell>
          <cell r="N1645" t="str">
            <v>Cambridge</v>
          </cell>
          <cell r="O1645" t="str">
            <v>Waterloo</v>
          </cell>
          <cell r="P1645" t="str">
            <v>Southwest</v>
          </cell>
        </row>
        <row r="1646">
          <cell r="C1646" t="str">
            <v>Icarus 160kW Orillia</v>
          </cell>
          <cell r="D1646" t="str">
            <v>Icarus Whitesand Solar Limited Partnership</v>
          </cell>
          <cell r="E1646" t="str">
            <v>CO</v>
          </cell>
          <cell r="F1646">
            <v>42117</v>
          </cell>
          <cell r="G1646">
            <v>42300</v>
          </cell>
          <cell r="H1646">
            <v>49421</v>
          </cell>
          <cell r="I1646" t="str">
            <v>19 years, 5 months, 30 days</v>
          </cell>
          <cell r="J1646" t="str">
            <v>Renewables</v>
          </cell>
          <cell r="K1646" t="str">
            <v>Solar (Rooftop)</v>
          </cell>
          <cell r="L1646" t="str">
            <v>Solar</v>
          </cell>
          <cell r="M1646" t="str">
            <v>Dx</v>
          </cell>
          <cell r="N1646" t="str">
            <v>Orillia</v>
          </cell>
          <cell r="O1646" t="str">
            <v>Simcoe</v>
          </cell>
          <cell r="P1646" t="str">
            <v>Essa</v>
          </cell>
        </row>
        <row r="1647">
          <cell r="C1647" t="str">
            <v>St. Margaret Catholic Elementary School</v>
          </cell>
          <cell r="D1647" t="str">
            <v>Potentia Solar 6 Limited Partnership</v>
          </cell>
          <cell r="E1647" t="str">
            <v>CO</v>
          </cell>
          <cell r="F1647">
            <v>42102</v>
          </cell>
          <cell r="G1647">
            <v>42265</v>
          </cell>
          <cell r="H1647">
            <v>49406</v>
          </cell>
          <cell r="I1647" t="str">
            <v>19 years, 6 months, 20 days</v>
          </cell>
          <cell r="J1647" t="str">
            <v>Renewables</v>
          </cell>
          <cell r="K1647" t="str">
            <v>Solar (Rooftop)</v>
          </cell>
          <cell r="L1647" t="str">
            <v>Solar</v>
          </cell>
          <cell r="M1647" t="str">
            <v>Dx</v>
          </cell>
          <cell r="N1647" t="str">
            <v>Cambridge</v>
          </cell>
          <cell r="O1647" t="str">
            <v>Waterloo</v>
          </cell>
          <cell r="P1647" t="str">
            <v>Southwest</v>
          </cell>
        </row>
        <row r="1648">
          <cell r="C1648" t="str">
            <v>AGRIS Solar (West Nipissing #3)</v>
          </cell>
          <cell r="D1648" t="str">
            <v>PRI Solar Gardens LP</v>
          </cell>
          <cell r="E1648" t="str">
            <v>CO</v>
          </cell>
          <cell r="F1648">
            <v>42757</v>
          </cell>
          <cell r="G1648">
            <v>42726</v>
          </cell>
          <cell r="H1648">
            <v>50030</v>
          </cell>
          <cell r="I1648" t="str">
            <v>19 years, 11 months, 29 days</v>
          </cell>
          <cell r="J1648" t="str">
            <v>Renewables</v>
          </cell>
          <cell r="K1648" t="str">
            <v>Solar (Rooftop)</v>
          </cell>
          <cell r="L1648" t="str">
            <v>Solar</v>
          </cell>
          <cell r="M1648" t="str">
            <v>Dx</v>
          </cell>
          <cell r="N1648" t="str">
            <v>Sturgeon Falls</v>
          </cell>
          <cell r="O1648" t="str">
            <v>Nipissing</v>
          </cell>
          <cell r="P1648" t="str">
            <v>Northeast</v>
          </cell>
        </row>
        <row r="1649">
          <cell r="C1649" t="str">
            <v>Pinwood Truck Parts Inc. (159064)</v>
          </cell>
          <cell r="D1649" t="str">
            <v>Chippewas of the Thames Solar Corp.</v>
          </cell>
          <cell r="E1649" t="str">
            <v>CO</v>
          </cell>
          <cell r="F1649">
            <v>42054</v>
          </cell>
          <cell r="G1649">
            <v>42235</v>
          </cell>
          <cell r="H1649">
            <v>49358</v>
          </cell>
          <cell r="I1649" t="str">
            <v>19 years, 5 months, 30 days</v>
          </cell>
          <cell r="J1649" t="str">
            <v>Renewables</v>
          </cell>
          <cell r="K1649" t="str">
            <v>Solar (Rooftop)</v>
          </cell>
          <cell r="L1649" t="str">
            <v>Solar</v>
          </cell>
          <cell r="M1649" t="str">
            <v>Dx</v>
          </cell>
          <cell r="N1649" t="str">
            <v>Chatham</v>
          </cell>
          <cell r="O1649" t="str">
            <v>Chatham-Kent</v>
          </cell>
          <cell r="P1649" t="str">
            <v>West</v>
          </cell>
        </row>
        <row r="1650">
          <cell r="C1650" t="str">
            <v>Gordon A Brown MS</v>
          </cell>
          <cell r="D1650" t="str">
            <v>TSPS (Portfolio 1) Limited Partnership</v>
          </cell>
          <cell r="E1650" t="str">
            <v>CO</v>
          </cell>
          <cell r="F1650">
            <v>42597</v>
          </cell>
          <cell r="G1650">
            <v>42003</v>
          </cell>
          <cell r="H1650">
            <v>49307</v>
          </cell>
          <cell r="I1650" t="str">
            <v>19 years, 11 months, 29 days</v>
          </cell>
          <cell r="J1650" t="str">
            <v>Renewables</v>
          </cell>
          <cell r="K1650" t="str">
            <v>Solar (Rooftop)</v>
          </cell>
          <cell r="L1650" t="str">
            <v>Solar</v>
          </cell>
          <cell r="M1650" t="str">
            <v>Dx</v>
          </cell>
          <cell r="N1650" t="str">
            <v>Toronto</v>
          </cell>
          <cell r="O1650" t="str">
            <v>Toronto</v>
          </cell>
          <cell r="P1650" t="str">
            <v>Toronto</v>
          </cell>
        </row>
        <row r="1651">
          <cell r="C1651" t="str">
            <v>Lanor JMS</v>
          </cell>
          <cell r="D1651" t="str">
            <v>TSPS (Portfolio 1) Limited Partnership</v>
          </cell>
          <cell r="E1651" t="str">
            <v>CO</v>
          </cell>
          <cell r="F1651">
            <v>42602</v>
          </cell>
          <cell r="G1651">
            <v>42250</v>
          </cell>
          <cell r="H1651">
            <v>49554</v>
          </cell>
          <cell r="I1651" t="str">
            <v>19 years, 11 months, 30 days</v>
          </cell>
          <cell r="J1651" t="str">
            <v>Renewables</v>
          </cell>
          <cell r="K1651" t="str">
            <v>Solar (Rooftop)</v>
          </cell>
          <cell r="L1651" t="str">
            <v>Solar</v>
          </cell>
          <cell r="M1651" t="str">
            <v>Dx</v>
          </cell>
          <cell r="N1651" t="str">
            <v>Toronto</v>
          </cell>
          <cell r="O1651" t="str">
            <v>Toronto</v>
          </cell>
          <cell r="P1651" t="str">
            <v>Toronto</v>
          </cell>
        </row>
        <row r="1652">
          <cell r="C1652" t="str">
            <v>Secord ES</v>
          </cell>
          <cell r="D1652" t="str">
            <v>TSPS (Portfolio 2) Limited Partnership</v>
          </cell>
          <cell r="E1652" t="str">
            <v>CO</v>
          </cell>
          <cell r="F1652">
            <v>42609</v>
          </cell>
          <cell r="G1652">
            <v>42674</v>
          </cell>
          <cell r="H1652">
            <v>49913</v>
          </cell>
          <cell r="I1652" t="str">
            <v>19 years, 9 months, 26 days</v>
          </cell>
          <cell r="J1652" t="str">
            <v>Renewables</v>
          </cell>
          <cell r="K1652" t="str">
            <v>Solar (Rooftop)</v>
          </cell>
          <cell r="L1652" t="str">
            <v>Solar</v>
          </cell>
          <cell r="M1652" t="str">
            <v>Dx</v>
          </cell>
          <cell r="N1652" t="str">
            <v>Toronto</v>
          </cell>
          <cell r="O1652" t="str">
            <v>Toronto</v>
          </cell>
          <cell r="P1652" t="str">
            <v>Toronto</v>
          </cell>
        </row>
        <row r="1653">
          <cell r="C1653" t="str">
            <v>Reginald_Windsor_PV</v>
          </cell>
          <cell r="D1653" t="str">
            <v>Windsor Essex Community Housing Corporation</v>
          </cell>
          <cell r="E1653" t="str">
            <v>CO</v>
          </cell>
          <cell r="F1653">
            <v>42070</v>
          </cell>
          <cell r="G1653">
            <v>41738</v>
          </cell>
          <cell r="H1653">
            <v>49042</v>
          </cell>
          <cell r="I1653" t="str">
            <v>19 years, 11 months, 30 days</v>
          </cell>
          <cell r="J1653" t="str">
            <v>Renewables</v>
          </cell>
          <cell r="K1653" t="str">
            <v>Solar (Rooftop)</v>
          </cell>
          <cell r="L1653" t="str">
            <v>Solar</v>
          </cell>
          <cell r="M1653" t="str">
            <v>Dx</v>
          </cell>
          <cell r="N1653" t="str">
            <v>Windsor</v>
          </cell>
          <cell r="O1653" t="str">
            <v>Essex</v>
          </cell>
          <cell r="P1653" t="str">
            <v>West</v>
          </cell>
        </row>
        <row r="1654">
          <cell r="C1654" t="str">
            <v>Earl Haig Jr. PS</v>
          </cell>
          <cell r="D1654" t="str">
            <v>TSPS (Portfolio 2) Limited Partnership</v>
          </cell>
          <cell r="E1654" t="str">
            <v>CO</v>
          </cell>
          <cell r="F1654">
            <v>42616</v>
          </cell>
          <cell r="G1654">
            <v>42690</v>
          </cell>
          <cell r="H1654">
            <v>49920</v>
          </cell>
          <cell r="I1654" t="str">
            <v>19 years, 9 months, 17 days</v>
          </cell>
          <cell r="J1654" t="str">
            <v>Renewables</v>
          </cell>
          <cell r="K1654" t="str">
            <v>Solar (Rooftop)</v>
          </cell>
          <cell r="L1654" t="str">
            <v>Solar</v>
          </cell>
          <cell r="M1654" t="str">
            <v>Dx</v>
          </cell>
          <cell r="N1654" t="str">
            <v>Toronto</v>
          </cell>
          <cell r="O1654" t="str">
            <v>Toronto</v>
          </cell>
          <cell r="P1654" t="str">
            <v>Toronto</v>
          </cell>
        </row>
        <row r="1655">
          <cell r="C1655" t="str">
            <v>Lester B Pearson CI &amp; Dr Marion Hilliard Sr PS</v>
          </cell>
          <cell r="D1655" t="str">
            <v>TSPS (Portfolio 2) Limited Partnership</v>
          </cell>
          <cell r="E1655" t="str">
            <v>CO</v>
          </cell>
          <cell r="F1655">
            <v>42602</v>
          </cell>
          <cell r="G1655">
            <v>42286</v>
          </cell>
          <cell r="H1655">
            <v>49590</v>
          </cell>
          <cell r="I1655" t="str">
            <v>19 years, 11 months, 29 days</v>
          </cell>
          <cell r="J1655" t="str">
            <v>Renewables</v>
          </cell>
          <cell r="K1655" t="str">
            <v>Solar (Rooftop)</v>
          </cell>
          <cell r="L1655" t="str">
            <v>Solar</v>
          </cell>
          <cell r="M1655" t="str">
            <v>Dx</v>
          </cell>
          <cell r="N1655" t="str">
            <v>Toronto</v>
          </cell>
          <cell r="O1655" t="str">
            <v>Toronto</v>
          </cell>
          <cell r="P1655" t="str">
            <v>Toronto</v>
          </cell>
        </row>
        <row r="1656">
          <cell r="C1656" t="str">
            <v>Yorkdale SS</v>
          </cell>
          <cell r="D1656" t="str">
            <v>TSPS (Portfolio 1) Limited Partnership</v>
          </cell>
          <cell r="E1656" t="str">
            <v>CO</v>
          </cell>
          <cell r="F1656">
            <v>42616</v>
          </cell>
          <cell r="G1656">
            <v>42240</v>
          </cell>
          <cell r="H1656">
            <v>49544</v>
          </cell>
          <cell r="I1656" t="str">
            <v>19 years, 11 months, 30 days</v>
          </cell>
          <cell r="J1656" t="str">
            <v>Renewables</v>
          </cell>
          <cell r="K1656" t="str">
            <v>Solar (Rooftop)</v>
          </cell>
          <cell r="L1656" t="str">
            <v>Solar</v>
          </cell>
          <cell r="M1656" t="str">
            <v>Dx</v>
          </cell>
          <cell r="N1656" t="str">
            <v>Toronto</v>
          </cell>
          <cell r="O1656" t="str">
            <v>Toronto</v>
          </cell>
          <cell r="P1656" t="str">
            <v>Toronto</v>
          </cell>
        </row>
        <row r="1657">
          <cell r="C1657" t="str">
            <v>TNT-400 Nugget</v>
          </cell>
          <cell r="D1657" t="str">
            <v>Métis Nation of Ontario - BrightRoof Solar LP</v>
          </cell>
          <cell r="E1657" t="str">
            <v>CO</v>
          </cell>
          <cell r="F1657">
            <v>42082</v>
          </cell>
          <cell r="G1657">
            <v>42258</v>
          </cell>
          <cell r="H1657">
            <v>49386</v>
          </cell>
          <cell r="I1657" t="str">
            <v>19 years, 6 months, 7 days</v>
          </cell>
          <cell r="J1657" t="str">
            <v>Renewables</v>
          </cell>
          <cell r="K1657" t="str">
            <v>Solar (Rooftop)</v>
          </cell>
          <cell r="L1657" t="str">
            <v>Solar</v>
          </cell>
          <cell r="M1657" t="str">
            <v>Dx</v>
          </cell>
          <cell r="N1657" t="str">
            <v>Toronto</v>
          </cell>
          <cell r="O1657" t="str">
            <v>Toronto</v>
          </cell>
          <cell r="P1657" t="str">
            <v>Toronto</v>
          </cell>
        </row>
        <row r="1658">
          <cell r="C1658" t="str">
            <v>Rouge Valley PS</v>
          </cell>
          <cell r="D1658" t="str">
            <v>TSPS (Portfolio 2) Limited Partnership</v>
          </cell>
          <cell r="E1658" t="str">
            <v>CO</v>
          </cell>
          <cell r="F1658">
            <v>42616</v>
          </cell>
          <cell r="G1658">
            <v>42471</v>
          </cell>
          <cell r="H1658">
            <v>49775</v>
          </cell>
          <cell r="I1658" t="str">
            <v>19 years, 11 months, 30 days</v>
          </cell>
          <cell r="J1658" t="str">
            <v>Renewables</v>
          </cell>
          <cell r="K1658" t="str">
            <v>Solar (Rooftop)</v>
          </cell>
          <cell r="L1658" t="str">
            <v>Solar</v>
          </cell>
          <cell r="M1658" t="str">
            <v>Dx</v>
          </cell>
          <cell r="N1658" t="str">
            <v>Toronto</v>
          </cell>
          <cell r="O1658" t="str">
            <v>Toronto</v>
          </cell>
          <cell r="P1658" t="str">
            <v>Toronto</v>
          </cell>
        </row>
        <row r="1659">
          <cell r="C1659" t="str">
            <v>Pauline Johnson Jr PS</v>
          </cell>
          <cell r="D1659" t="str">
            <v>TSPS (Portfolio 2) Limited Partnership</v>
          </cell>
          <cell r="E1659" t="str">
            <v>CO</v>
          </cell>
          <cell r="F1659">
            <v>42604</v>
          </cell>
          <cell r="G1659">
            <v>42613</v>
          </cell>
          <cell r="H1659">
            <v>49908</v>
          </cell>
          <cell r="I1659" t="str">
            <v>19 years, 11 months, 21 days</v>
          </cell>
          <cell r="J1659" t="str">
            <v>Renewables</v>
          </cell>
          <cell r="K1659" t="str">
            <v>Solar (Rooftop)</v>
          </cell>
          <cell r="L1659" t="str">
            <v>Solar</v>
          </cell>
          <cell r="M1659" t="str">
            <v>Dx</v>
          </cell>
          <cell r="N1659" t="str">
            <v>Toronto</v>
          </cell>
          <cell r="O1659" t="str">
            <v>Toronto</v>
          </cell>
          <cell r="P1659" t="str">
            <v>Toronto</v>
          </cell>
        </row>
        <row r="1660">
          <cell r="C1660" t="str">
            <v>Progress Solar I</v>
          </cell>
          <cell r="D1660" t="str">
            <v>CEW Erie VII Limited Partnership</v>
          </cell>
          <cell r="E1660" t="str">
            <v>CO</v>
          </cell>
          <cell r="F1660">
            <v>42117</v>
          </cell>
          <cell r="G1660">
            <v>42298</v>
          </cell>
          <cell r="H1660">
            <v>49421</v>
          </cell>
          <cell r="I1660" t="str">
            <v>19 years, 6 months, 1 days</v>
          </cell>
          <cell r="J1660" t="str">
            <v>Renewables</v>
          </cell>
          <cell r="K1660" t="str">
            <v>Solar (Rooftop)</v>
          </cell>
          <cell r="L1660" t="str">
            <v>Solar</v>
          </cell>
          <cell r="M1660" t="str">
            <v>Dx</v>
          </cell>
          <cell r="N1660" t="str">
            <v>Petrolia</v>
          </cell>
          <cell r="O1660" t="str">
            <v>Lambton</v>
          </cell>
          <cell r="P1660" t="str">
            <v>West</v>
          </cell>
        </row>
        <row r="1661">
          <cell r="C1661" t="str">
            <v>TVM Westpoint</v>
          </cell>
          <cell r="D1661" t="str">
            <v>TVM Westpoint Inc.</v>
          </cell>
          <cell r="E1661" t="str">
            <v>CO</v>
          </cell>
          <cell r="F1661">
            <v>42104</v>
          </cell>
          <cell r="G1661">
            <v>42102</v>
          </cell>
          <cell r="H1661">
            <v>49406</v>
          </cell>
          <cell r="I1661" t="str">
            <v>19 years, 11 months, 30 days</v>
          </cell>
          <cell r="J1661" t="str">
            <v>Renewables</v>
          </cell>
          <cell r="K1661" t="str">
            <v>Solar (Rooftop)</v>
          </cell>
          <cell r="L1661" t="str">
            <v>Solar</v>
          </cell>
          <cell r="M1661" t="str">
            <v>Dx</v>
          </cell>
          <cell r="N1661" t="str">
            <v>Peterborough</v>
          </cell>
          <cell r="O1661" t="str">
            <v>Peterborough</v>
          </cell>
          <cell r="P1661" t="str">
            <v>East</v>
          </cell>
        </row>
        <row r="1662">
          <cell r="C1662" t="str">
            <v>CCS/Stan Adams Ashland 200kW</v>
          </cell>
          <cell r="D1662" t="str">
            <v>Solar Income Fund LP (#5)</v>
          </cell>
          <cell r="E1662" t="str">
            <v>CO</v>
          </cell>
          <cell r="F1662">
            <v>42151</v>
          </cell>
          <cell r="G1662">
            <v>42276</v>
          </cell>
          <cell r="H1662">
            <v>49455</v>
          </cell>
          <cell r="I1662" t="str">
            <v>19 years, 7 months, 27 days</v>
          </cell>
          <cell r="J1662" t="str">
            <v>Renewables</v>
          </cell>
          <cell r="K1662" t="str">
            <v>Solar (Rooftop)</v>
          </cell>
          <cell r="L1662" t="str">
            <v>Solar</v>
          </cell>
          <cell r="M1662" t="str">
            <v>Dx</v>
          </cell>
          <cell r="N1662" t="str">
            <v>London</v>
          </cell>
          <cell r="O1662" t="str">
            <v>Middlesex</v>
          </cell>
          <cell r="P1662" t="str">
            <v>West</v>
          </cell>
        </row>
        <row r="1663">
          <cell r="C1663" t="str">
            <v>MSG-5156 Bradco</v>
          </cell>
          <cell r="D1663" t="str">
            <v>Métis Nation of Ontario - BrightRoof Solar LP</v>
          </cell>
          <cell r="E1663" t="str">
            <v>CO</v>
          </cell>
          <cell r="F1663">
            <v>42075</v>
          </cell>
          <cell r="G1663">
            <v>42240</v>
          </cell>
          <cell r="H1663">
            <v>49379</v>
          </cell>
          <cell r="I1663" t="str">
            <v>19 years, 6 months, 15 days</v>
          </cell>
          <cell r="J1663" t="str">
            <v>Renewables</v>
          </cell>
          <cell r="K1663" t="str">
            <v>Solar (Rooftop)</v>
          </cell>
          <cell r="L1663" t="str">
            <v>Solar</v>
          </cell>
          <cell r="M1663" t="str">
            <v>Dx</v>
          </cell>
          <cell r="N1663" t="str">
            <v>Mississauga</v>
          </cell>
          <cell r="O1663" t="str">
            <v>Peel</v>
          </cell>
          <cell r="P1663" t="str">
            <v>Toronto</v>
          </cell>
        </row>
        <row r="1664">
          <cell r="C1664" t="str">
            <v>VosKamp Solar</v>
          </cell>
          <cell r="D1664" t="str">
            <v>1835916 Ontario Inc.</v>
          </cell>
          <cell r="E1664" t="str">
            <v>CO</v>
          </cell>
          <cell r="F1664">
            <v>42104</v>
          </cell>
          <cell r="G1664">
            <v>42305</v>
          </cell>
          <cell r="H1664">
            <v>49408</v>
          </cell>
          <cell r="I1664" t="str">
            <v>19 years, 5 months, 12 days</v>
          </cell>
          <cell r="J1664" t="str">
            <v>Renewables</v>
          </cell>
          <cell r="K1664" t="str">
            <v>Solar (Rooftop)</v>
          </cell>
          <cell r="L1664" t="str">
            <v>Solar</v>
          </cell>
          <cell r="M1664" t="str">
            <v>Dx</v>
          </cell>
          <cell r="N1664" t="str">
            <v>Tiverton</v>
          </cell>
          <cell r="O1664" t="str">
            <v>Bruce</v>
          </cell>
          <cell r="P1664" t="str">
            <v>Bruce</v>
          </cell>
        </row>
        <row r="1665">
          <cell r="C1665" t="str">
            <v>Tippett Road Centre</v>
          </cell>
          <cell r="D1665" t="str">
            <v>TSPS (Portfolio 2) Limited Partnership</v>
          </cell>
          <cell r="E1665" t="str">
            <v>CO</v>
          </cell>
          <cell r="F1665">
            <v>42611</v>
          </cell>
          <cell r="G1665">
            <v>42690</v>
          </cell>
          <cell r="H1665">
            <v>49915</v>
          </cell>
          <cell r="I1665" t="str">
            <v>19 years, 9 months, 12 days</v>
          </cell>
          <cell r="J1665" t="str">
            <v>Renewables</v>
          </cell>
          <cell r="K1665" t="str">
            <v>Solar (Rooftop)</v>
          </cell>
          <cell r="L1665" t="str">
            <v>Solar</v>
          </cell>
          <cell r="M1665" t="str">
            <v>Dx</v>
          </cell>
          <cell r="N1665" t="str">
            <v>Toronto</v>
          </cell>
          <cell r="O1665" t="str">
            <v>Toronto</v>
          </cell>
          <cell r="P1665" t="str">
            <v>Toronto</v>
          </cell>
        </row>
        <row r="1666">
          <cell r="C1666" t="str">
            <v>104-55 Brown</v>
          </cell>
          <cell r="D1666" t="str">
            <v>55 Browns Line Limited Partnership</v>
          </cell>
          <cell r="E1666" t="str">
            <v>CO</v>
          </cell>
          <cell r="F1666">
            <v>42089</v>
          </cell>
          <cell r="G1666">
            <v>42221</v>
          </cell>
          <cell r="H1666">
            <v>49393</v>
          </cell>
          <cell r="I1666" t="str">
            <v>19 years, 7 months, 20 days</v>
          </cell>
          <cell r="J1666" t="str">
            <v>Renewables</v>
          </cell>
          <cell r="K1666" t="str">
            <v>Solar (Rooftop)</v>
          </cell>
          <cell r="L1666" t="str">
            <v>Solar</v>
          </cell>
          <cell r="M1666" t="str">
            <v>Dx</v>
          </cell>
          <cell r="N1666" t="str">
            <v>Toronto</v>
          </cell>
          <cell r="O1666" t="str">
            <v>Toronto</v>
          </cell>
          <cell r="P1666" t="str">
            <v>Toronto</v>
          </cell>
        </row>
        <row r="1667">
          <cell r="C1667" t="str">
            <v>37 Fima Crescent</v>
          </cell>
          <cell r="D1667" t="str">
            <v>2344215 Ontario Inc.</v>
          </cell>
          <cell r="E1667" t="str">
            <v>CO</v>
          </cell>
          <cell r="F1667">
            <v>42110</v>
          </cell>
          <cell r="G1667">
            <v>42251</v>
          </cell>
          <cell r="H1667">
            <v>49414</v>
          </cell>
          <cell r="I1667" t="str">
            <v>19 years, 7 months, 11 days</v>
          </cell>
          <cell r="J1667" t="str">
            <v>Renewables</v>
          </cell>
          <cell r="K1667" t="str">
            <v>Solar (Rooftop)</v>
          </cell>
          <cell r="L1667" t="str">
            <v>Solar</v>
          </cell>
          <cell r="M1667" t="str">
            <v>Dx</v>
          </cell>
          <cell r="N1667" t="str">
            <v>Toronto</v>
          </cell>
          <cell r="O1667" t="str">
            <v>Toronto</v>
          </cell>
          <cell r="P1667" t="str">
            <v>Toronto</v>
          </cell>
        </row>
        <row r="1668">
          <cell r="C1668" t="str">
            <v>Rosedale Heights School of Arts</v>
          </cell>
          <cell r="D1668" t="str">
            <v>TSPS (Portfolio 1) Limited Partnership</v>
          </cell>
          <cell r="E1668" t="str">
            <v>CO</v>
          </cell>
          <cell r="F1668">
            <v>42609</v>
          </cell>
          <cell r="G1668">
            <v>42471</v>
          </cell>
          <cell r="H1668">
            <v>49775</v>
          </cell>
          <cell r="I1668" t="str">
            <v>19 years, 11 months, 30 days</v>
          </cell>
          <cell r="J1668" t="str">
            <v>Renewables</v>
          </cell>
          <cell r="K1668" t="str">
            <v>Solar (Rooftop)</v>
          </cell>
          <cell r="L1668" t="str">
            <v>Solar</v>
          </cell>
          <cell r="M1668" t="str">
            <v>Dx</v>
          </cell>
          <cell r="N1668" t="str">
            <v>Toronto</v>
          </cell>
          <cell r="O1668" t="str">
            <v>Toronto</v>
          </cell>
          <cell r="P1668" t="str">
            <v>Toronto</v>
          </cell>
        </row>
        <row r="1669">
          <cell r="C1669" t="str">
            <v>RLazierSol50</v>
          </cell>
          <cell r="D1669" t="str">
            <v>Ronald Lazier</v>
          </cell>
          <cell r="E1669" t="str">
            <v>CO</v>
          </cell>
          <cell r="F1669">
            <v>42061</v>
          </cell>
          <cell r="G1669">
            <v>42031</v>
          </cell>
          <cell r="H1669">
            <v>49335</v>
          </cell>
          <cell r="I1669" t="str">
            <v>19 years, 11 months, 30 days</v>
          </cell>
          <cell r="J1669" t="str">
            <v>Renewables</v>
          </cell>
          <cell r="K1669" t="str">
            <v>Solar (Rooftop)</v>
          </cell>
          <cell r="L1669" t="str">
            <v>Solar</v>
          </cell>
          <cell r="M1669" t="str">
            <v>Dx</v>
          </cell>
          <cell r="N1669" t="str">
            <v>Newburgh</v>
          </cell>
          <cell r="O1669" t="str">
            <v>Lennox and Addington</v>
          </cell>
          <cell r="P1669" t="str">
            <v>East</v>
          </cell>
        </row>
        <row r="1670">
          <cell r="C1670" t="str">
            <v>Paul Irwin-PV Solar</v>
          </cell>
          <cell r="D1670" t="str">
            <v>Paul Irwin</v>
          </cell>
          <cell r="E1670" t="str">
            <v>CO</v>
          </cell>
          <cell r="F1670">
            <v>42110</v>
          </cell>
          <cell r="G1670">
            <v>42122</v>
          </cell>
          <cell r="H1670">
            <v>49414</v>
          </cell>
          <cell r="I1670" t="str">
            <v>19 years, 11 months, 18 days</v>
          </cell>
          <cell r="J1670" t="str">
            <v>Renewables</v>
          </cell>
          <cell r="K1670" t="str">
            <v>Solar (Rooftop)</v>
          </cell>
          <cell r="L1670" t="str">
            <v>Solar</v>
          </cell>
          <cell r="M1670" t="str">
            <v>Dx</v>
          </cell>
          <cell r="N1670" t="str">
            <v>Kincardine</v>
          </cell>
          <cell r="O1670" t="str">
            <v>Bruce</v>
          </cell>
          <cell r="P1670" t="str">
            <v>Bruce</v>
          </cell>
        </row>
        <row r="1671">
          <cell r="C1671" t="str">
            <v>CFC Warehouse Solar PV Project</v>
          </cell>
          <cell r="D1671" t="str">
            <v>CFC Warehouse &amp; Distribution Inc.</v>
          </cell>
          <cell r="E1671" t="str">
            <v>CO</v>
          </cell>
          <cell r="F1671">
            <v>42063</v>
          </cell>
          <cell r="G1671">
            <v>42044</v>
          </cell>
          <cell r="H1671">
            <v>49348</v>
          </cell>
          <cell r="I1671" t="str">
            <v>19 years, 11 months, 30 days</v>
          </cell>
          <cell r="J1671" t="str">
            <v>Renewables</v>
          </cell>
          <cell r="K1671" t="str">
            <v>Solar (Rooftop)</v>
          </cell>
          <cell r="L1671" t="str">
            <v>Solar</v>
          </cell>
          <cell r="M1671" t="str">
            <v>Dx</v>
          </cell>
          <cell r="N1671" t="str">
            <v>Wheatley</v>
          </cell>
          <cell r="O1671" t="str">
            <v>Chatham-Kent</v>
          </cell>
          <cell r="P1671" t="str">
            <v>West</v>
          </cell>
        </row>
        <row r="1672">
          <cell r="C1672" t="str">
            <v>Rene Gordon ES</v>
          </cell>
          <cell r="D1672" t="str">
            <v>TSPS (Portfolio 1) Limited Partnership</v>
          </cell>
          <cell r="E1672" t="str">
            <v>CO</v>
          </cell>
          <cell r="F1672">
            <v>42609</v>
          </cell>
          <cell r="G1672">
            <v>42361</v>
          </cell>
          <cell r="H1672">
            <v>49665</v>
          </cell>
          <cell r="I1672" t="str">
            <v>19 years, 11 months, 29 days</v>
          </cell>
          <cell r="J1672" t="str">
            <v>Renewables</v>
          </cell>
          <cell r="K1672" t="str">
            <v>Solar (Rooftop)</v>
          </cell>
          <cell r="L1672" t="str">
            <v>Solar</v>
          </cell>
          <cell r="M1672" t="str">
            <v>Dx</v>
          </cell>
          <cell r="N1672" t="str">
            <v>Toronto</v>
          </cell>
          <cell r="O1672" t="str">
            <v>Toronto</v>
          </cell>
          <cell r="P1672" t="str">
            <v>Toronto</v>
          </cell>
        </row>
        <row r="1673">
          <cell r="C1673" t="str">
            <v>21 Guenette</v>
          </cell>
          <cell r="D1673" t="str">
            <v>Rural Energy Limited Partnership</v>
          </cell>
          <cell r="E1673" t="str">
            <v>CO</v>
          </cell>
          <cell r="F1673">
            <v>42807</v>
          </cell>
          <cell r="G1673">
            <v>42473</v>
          </cell>
          <cell r="H1673">
            <v>49777</v>
          </cell>
          <cell r="I1673" t="str">
            <v>19 years, 11 months, 30 days</v>
          </cell>
          <cell r="J1673" t="str">
            <v>Renewables</v>
          </cell>
          <cell r="K1673" t="str">
            <v>Solar (Ground Mounted)</v>
          </cell>
          <cell r="L1673" t="str">
            <v>Solar</v>
          </cell>
          <cell r="M1673" t="str">
            <v>Dx</v>
          </cell>
          <cell r="N1673" t="str">
            <v>Sturgeon Falls</v>
          </cell>
          <cell r="O1673" t="str">
            <v>Nipissing</v>
          </cell>
          <cell r="P1673" t="str">
            <v>Northeast</v>
          </cell>
        </row>
        <row r="1674">
          <cell r="C1674" t="str">
            <v>J Caravaggio Pharmacy Ltd-PV Solar</v>
          </cell>
          <cell r="D1674" t="str">
            <v>J. Caravaggio Pharmacy Ltd.</v>
          </cell>
          <cell r="E1674" t="str">
            <v>CO</v>
          </cell>
          <cell r="F1674">
            <v>42110</v>
          </cell>
          <cell r="G1674">
            <v>42237</v>
          </cell>
          <cell r="H1674">
            <v>49414</v>
          </cell>
          <cell r="I1674" t="str">
            <v>19 years, 7 months, 25 days</v>
          </cell>
          <cell r="J1674" t="str">
            <v>Renewables</v>
          </cell>
          <cell r="K1674" t="str">
            <v>Solar (Rooftop)</v>
          </cell>
          <cell r="L1674" t="str">
            <v>Solar</v>
          </cell>
          <cell r="M1674" t="str">
            <v>Dx</v>
          </cell>
          <cell r="N1674" t="str">
            <v>Shelburne</v>
          </cell>
          <cell r="O1674" t="str">
            <v>Dufferin</v>
          </cell>
          <cell r="P1674" t="str">
            <v>Southwest</v>
          </cell>
        </row>
        <row r="1675">
          <cell r="C1675" t="str">
            <v>Castlebar</v>
          </cell>
          <cell r="D1675" t="str">
            <v>TSPS (Portfolio 2) Limited Partnership</v>
          </cell>
          <cell r="E1675" t="str">
            <v>CO</v>
          </cell>
          <cell r="F1675">
            <v>42581</v>
          </cell>
          <cell r="G1675">
            <v>42678</v>
          </cell>
          <cell r="H1675">
            <v>49885</v>
          </cell>
          <cell r="I1675" t="str">
            <v>19 years, 8 months, 25 days</v>
          </cell>
          <cell r="J1675" t="str">
            <v>Renewables</v>
          </cell>
          <cell r="K1675" t="str">
            <v>Solar (Rooftop)</v>
          </cell>
          <cell r="L1675" t="str">
            <v>Solar</v>
          </cell>
          <cell r="M1675" t="str">
            <v>Dx</v>
          </cell>
          <cell r="N1675" t="str">
            <v>Toronto</v>
          </cell>
          <cell r="O1675" t="str">
            <v>Toronto</v>
          </cell>
          <cell r="P1675" t="str">
            <v>Toronto</v>
          </cell>
        </row>
        <row r="1676">
          <cell r="C1676" t="str">
            <v>5 Demarce</v>
          </cell>
          <cell r="D1676" t="str">
            <v>Rural Energy Limited Partnership</v>
          </cell>
          <cell r="E1676" t="str">
            <v>CO</v>
          </cell>
          <cell r="F1676">
            <v>42757</v>
          </cell>
          <cell r="G1676">
            <v>42426</v>
          </cell>
          <cell r="H1676">
            <v>49730</v>
          </cell>
          <cell r="I1676" t="str">
            <v>19 years, 11 months, 30 days</v>
          </cell>
          <cell r="J1676" t="str">
            <v>Renewables</v>
          </cell>
          <cell r="K1676" t="str">
            <v>Solar (Ground Mounted)</v>
          </cell>
          <cell r="L1676" t="str">
            <v>Solar</v>
          </cell>
          <cell r="M1676" t="str">
            <v>Dx</v>
          </cell>
          <cell r="N1676" t="str">
            <v>Englehart</v>
          </cell>
          <cell r="O1676" t="str">
            <v>Timiskaming</v>
          </cell>
          <cell r="P1676" t="str">
            <v>Northeast</v>
          </cell>
        </row>
        <row r="1677">
          <cell r="C1677" t="str">
            <v>John D Parker JS</v>
          </cell>
          <cell r="D1677" t="str">
            <v>TSPS (Portfolio 1) Limited Partnership</v>
          </cell>
          <cell r="E1677" t="str">
            <v>CO</v>
          </cell>
          <cell r="F1677">
            <v>42597</v>
          </cell>
          <cell r="G1677">
            <v>42185</v>
          </cell>
          <cell r="H1677">
            <v>49489</v>
          </cell>
          <cell r="I1677" t="str">
            <v>19 years, 11 months, 30 days</v>
          </cell>
          <cell r="J1677" t="str">
            <v>Renewables</v>
          </cell>
          <cell r="K1677" t="str">
            <v>Solar (Rooftop)</v>
          </cell>
          <cell r="L1677" t="str">
            <v>Solar</v>
          </cell>
          <cell r="M1677" t="str">
            <v>Dx</v>
          </cell>
          <cell r="N1677" t="str">
            <v>Toronto</v>
          </cell>
          <cell r="O1677" t="str">
            <v>Toronto</v>
          </cell>
          <cell r="P1677" t="str">
            <v>Toronto</v>
          </cell>
        </row>
        <row r="1678">
          <cell r="C1678" t="str">
            <v>Cobourg Arenas</v>
          </cell>
          <cell r="D1678" t="str">
            <v>SE7 2013 LP</v>
          </cell>
          <cell r="E1678" t="str">
            <v>CO</v>
          </cell>
          <cell r="F1678">
            <v>42056</v>
          </cell>
          <cell r="G1678">
            <v>42080</v>
          </cell>
          <cell r="H1678">
            <v>49360</v>
          </cell>
          <cell r="I1678" t="str">
            <v>19 years, 11 months, 3 days</v>
          </cell>
          <cell r="J1678" t="str">
            <v>Renewables</v>
          </cell>
          <cell r="K1678" t="str">
            <v>Solar (Rooftop)</v>
          </cell>
          <cell r="L1678" t="str">
            <v>Solar</v>
          </cell>
          <cell r="M1678" t="str">
            <v>Dx</v>
          </cell>
          <cell r="N1678" t="str">
            <v>Cobourg</v>
          </cell>
          <cell r="O1678" t="str">
            <v>Northumberland</v>
          </cell>
          <cell r="P1678" t="str">
            <v>East</v>
          </cell>
        </row>
        <row r="1679">
          <cell r="C1679" t="str">
            <v>A_1202Tranmere</v>
          </cell>
          <cell r="D1679" t="str">
            <v>OFIT Tranmere Inc.</v>
          </cell>
          <cell r="E1679" t="str">
            <v>CO</v>
          </cell>
          <cell r="F1679">
            <v>42097</v>
          </cell>
          <cell r="G1679">
            <v>42158</v>
          </cell>
          <cell r="H1679">
            <v>49401</v>
          </cell>
          <cell r="I1679" t="str">
            <v>19 years, 9 months, 30 days</v>
          </cell>
          <cell r="J1679" t="str">
            <v>Renewables</v>
          </cell>
          <cell r="K1679" t="str">
            <v>Solar (Rooftop)</v>
          </cell>
          <cell r="L1679" t="str">
            <v>Solar</v>
          </cell>
          <cell r="M1679" t="str">
            <v>Dx</v>
          </cell>
          <cell r="N1679" t="str">
            <v>Mississauga</v>
          </cell>
          <cell r="O1679" t="str">
            <v>Peel</v>
          </cell>
          <cell r="P1679" t="str">
            <v>Toronto</v>
          </cell>
        </row>
        <row r="1680">
          <cell r="C1680" t="str">
            <v>Eatonville JS</v>
          </cell>
          <cell r="D1680" t="str">
            <v>TSPS (Portfolio 2) Limited Partnership</v>
          </cell>
          <cell r="E1680" t="str">
            <v>CO</v>
          </cell>
          <cell r="F1680">
            <v>42588</v>
          </cell>
          <cell r="G1680">
            <v>42671</v>
          </cell>
          <cell r="H1680">
            <v>49892</v>
          </cell>
          <cell r="I1680" t="str">
            <v>19 years, 9 months, 8 days</v>
          </cell>
          <cell r="J1680" t="str">
            <v>Renewables</v>
          </cell>
          <cell r="K1680" t="str">
            <v>Solar (Rooftop)</v>
          </cell>
          <cell r="L1680" t="str">
            <v>Solar</v>
          </cell>
          <cell r="M1680" t="str">
            <v>Dx</v>
          </cell>
          <cell r="N1680" t="str">
            <v>Toronto</v>
          </cell>
          <cell r="O1680" t="str">
            <v>Toronto</v>
          </cell>
          <cell r="P1680" t="str">
            <v>Toronto</v>
          </cell>
        </row>
        <row r="1681">
          <cell r="C1681" t="str">
            <v>Harwood Jr. PS</v>
          </cell>
          <cell r="D1681" t="str">
            <v>TSPS (Portfolio 2) Limited Partnership</v>
          </cell>
          <cell r="E1681" t="str">
            <v>CO</v>
          </cell>
          <cell r="F1681">
            <v>42597</v>
          </cell>
          <cell r="G1681">
            <v>42704</v>
          </cell>
          <cell r="H1681">
            <v>49901</v>
          </cell>
          <cell r="I1681" t="str">
            <v>19 years, 8 months, 15 days</v>
          </cell>
          <cell r="J1681" t="str">
            <v>Renewables</v>
          </cell>
          <cell r="K1681" t="str">
            <v>Solar (Rooftop)</v>
          </cell>
          <cell r="L1681" t="str">
            <v>Solar</v>
          </cell>
          <cell r="M1681" t="str">
            <v>Dx</v>
          </cell>
          <cell r="N1681" t="str">
            <v>Toronto</v>
          </cell>
          <cell r="O1681" t="str">
            <v>Toronto</v>
          </cell>
          <cell r="P1681" t="str">
            <v>Toronto</v>
          </cell>
        </row>
        <row r="1682">
          <cell r="C1682" t="str">
            <v>Richview CI</v>
          </cell>
          <cell r="D1682" t="str">
            <v>TSPS (Portfolio 2) Limited Partnership</v>
          </cell>
          <cell r="E1682" t="str">
            <v>CO</v>
          </cell>
          <cell r="F1682">
            <v>42609</v>
          </cell>
          <cell r="G1682">
            <v>42703</v>
          </cell>
          <cell r="H1682">
            <v>49913</v>
          </cell>
          <cell r="I1682" t="str">
            <v>19 years, 8 months, 28 days</v>
          </cell>
          <cell r="J1682" t="str">
            <v>Renewables</v>
          </cell>
          <cell r="K1682" t="str">
            <v>Solar (Rooftop)</v>
          </cell>
          <cell r="L1682" t="str">
            <v>Solar</v>
          </cell>
          <cell r="M1682" t="str">
            <v>Dx</v>
          </cell>
          <cell r="N1682" t="str">
            <v>Toronto</v>
          </cell>
          <cell r="O1682" t="str">
            <v>Toronto</v>
          </cell>
          <cell r="P1682" t="str">
            <v>Toronto</v>
          </cell>
        </row>
        <row r="1683">
          <cell r="C1683" t="str">
            <v>Schuler Solar Project</v>
          </cell>
          <cell r="D1683" t="str">
            <v>Grand River Farms Inc.</v>
          </cell>
          <cell r="E1683" t="str">
            <v>CO</v>
          </cell>
          <cell r="F1683">
            <v>42054</v>
          </cell>
          <cell r="G1683">
            <v>42235</v>
          </cell>
          <cell r="H1683">
            <v>49358</v>
          </cell>
          <cell r="I1683" t="str">
            <v>19 years, 5 months, 30 days</v>
          </cell>
          <cell r="J1683" t="str">
            <v>Renewables</v>
          </cell>
          <cell r="K1683" t="str">
            <v>Solar (Rooftop)</v>
          </cell>
          <cell r="L1683" t="str">
            <v>Solar</v>
          </cell>
          <cell r="M1683" t="str">
            <v>Dx</v>
          </cell>
          <cell r="N1683" t="str">
            <v>Ayr</v>
          </cell>
          <cell r="O1683" t="str">
            <v>Waterloo</v>
          </cell>
          <cell r="P1683" t="str">
            <v>Southwest</v>
          </cell>
        </row>
        <row r="1684">
          <cell r="C1684" t="str">
            <v>Whitehaven Jr PS</v>
          </cell>
          <cell r="D1684" t="str">
            <v>TSPS (Portfolio 2) Limited Partnership</v>
          </cell>
          <cell r="E1684" t="str">
            <v>CO</v>
          </cell>
          <cell r="F1684">
            <v>42611</v>
          </cell>
          <cell r="G1684">
            <v>42368</v>
          </cell>
          <cell r="H1684">
            <v>49672</v>
          </cell>
          <cell r="I1684" t="str">
            <v>19 years, 11 months, 29 days</v>
          </cell>
          <cell r="J1684" t="str">
            <v>Renewables</v>
          </cell>
          <cell r="K1684" t="str">
            <v>Solar (Rooftop)</v>
          </cell>
          <cell r="L1684" t="str">
            <v>Solar</v>
          </cell>
          <cell r="M1684" t="str">
            <v>Dx</v>
          </cell>
          <cell r="N1684" t="str">
            <v>Toronto</v>
          </cell>
          <cell r="O1684" t="str">
            <v>Toronto</v>
          </cell>
          <cell r="P1684" t="str">
            <v>Toronto</v>
          </cell>
        </row>
        <row r="1685">
          <cell r="C1685" t="str">
            <v>Restoration Services</v>
          </cell>
          <cell r="D1685" t="str">
            <v>Toronto and Region Conservation Authority</v>
          </cell>
          <cell r="E1685" t="str">
            <v>CO</v>
          </cell>
          <cell r="F1685">
            <v>42112</v>
          </cell>
          <cell r="G1685">
            <v>41991</v>
          </cell>
          <cell r="H1685">
            <v>49295</v>
          </cell>
          <cell r="I1685" t="str">
            <v>19 years, 11 months, 29 days</v>
          </cell>
          <cell r="J1685" t="str">
            <v>Renewables</v>
          </cell>
          <cell r="K1685" t="str">
            <v>Solar (Rooftop)</v>
          </cell>
          <cell r="L1685" t="str">
            <v>Solar</v>
          </cell>
          <cell r="M1685" t="str">
            <v>Dx</v>
          </cell>
          <cell r="N1685" t="str">
            <v>Woodbridge</v>
          </cell>
          <cell r="O1685" t="str">
            <v>York</v>
          </cell>
          <cell r="P1685" t="str">
            <v>Toronto</v>
          </cell>
        </row>
        <row r="1686">
          <cell r="C1686" t="str">
            <v>Carron Farms Ltd. #2</v>
          </cell>
          <cell r="D1686" t="str">
            <v>SCCEC LP</v>
          </cell>
          <cell r="E1686" t="str">
            <v>CO</v>
          </cell>
          <cell r="F1686">
            <v>42097</v>
          </cell>
          <cell r="G1686">
            <v>42180</v>
          </cell>
          <cell r="H1686">
            <v>49401</v>
          </cell>
          <cell r="I1686" t="str">
            <v>19 years, 9 months, 8 days</v>
          </cell>
          <cell r="J1686" t="str">
            <v>Renewables</v>
          </cell>
          <cell r="K1686" t="str">
            <v>Solar (Rooftop)</v>
          </cell>
          <cell r="L1686" t="str">
            <v>Solar</v>
          </cell>
          <cell r="M1686" t="str">
            <v>Dx</v>
          </cell>
          <cell r="N1686" t="str">
            <v>Bond Head</v>
          </cell>
          <cell r="O1686" t="str">
            <v>Simcoe</v>
          </cell>
          <cell r="P1686" t="str">
            <v>Essa</v>
          </cell>
        </row>
        <row r="1687">
          <cell r="C1687" t="str">
            <v>Warren Park Jr PS</v>
          </cell>
          <cell r="D1687" t="str">
            <v>TSPS (Portfolio 2) Limited Partnership</v>
          </cell>
          <cell r="E1687" t="str">
            <v>CO</v>
          </cell>
          <cell r="F1687">
            <v>42611</v>
          </cell>
          <cell r="G1687">
            <v>42703</v>
          </cell>
          <cell r="H1687">
            <v>49915</v>
          </cell>
          <cell r="I1687" t="str">
            <v>19 years, 8 months, 30 days</v>
          </cell>
          <cell r="J1687" t="str">
            <v>Renewables</v>
          </cell>
          <cell r="K1687" t="str">
            <v>Solar (Rooftop)</v>
          </cell>
          <cell r="L1687" t="str">
            <v>Solar</v>
          </cell>
          <cell r="M1687" t="str">
            <v>Dx</v>
          </cell>
          <cell r="N1687" t="str">
            <v>Toronto</v>
          </cell>
          <cell r="O1687" t="str">
            <v>Toronto</v>
          </cell>
          <cell r="P1687" t="str">
            <v>Toronto</v>
          </cell>
        </row>
        <row r="1688">
          <cell r="C1688" t="str">
            <v>Rona-PV Solar</v>
          </cell>
          <cell r="D1688" t="str">
            <v>Hanover PV Limited Partnership</v>
          </cell>
          <cell r="E1688" t="str">
            <v>CO</v>
          </cell>
          <cell r="F1688">
            <v>42104</v>
          </cell>
          <cell r="G1688">
            <v>42284</v>
          </cell>
          <cell r="H1688">
            <v>49408</v>
          </cell>
          <cell r="I1688" t="str">
            <v>19 years, 6 months, 2 days</v>
          </cell>
          <cell r="J1688" t="str">
            <v>Renewables</v>
          </cell>
          <cell r="K1688" t="str">
            <v>Solar (Rooftop)</v>
          </cell>
          <cell r="L1688" t="str">
            <v>Solar</v>
          </cell>
          <cell r="M1688" t="str">
            <v>Dx</v>
          </cell>
          <cell r="N1688" t="str">
            <v>Hanover</v>
          </cell>
          <cell r="O1688" t="str">
            <v>Grey</v>
          </cell>
          <cell r="P1688" t="str">
            <v>Southwest</v>
          </cell>
        </row>
        <row r="1689">
          <cell r="C1689" t="str">
            <v>Don Valley JHS</v>
          </cell>
          <cell r="D1689" t="str">
            <v>TSPS (Portfolio 2) Limited Partnership</v>
          </cell>
          <cell r="E1689" t="str">
            <v>CO</v>
          </cell>
          <cell r="F1689">
            <v>42588</v>
          </cell>
          <cell r="G1689">
            <v>42674</v>
          </cell>
          <cell r="H1689">
            <v>49892</v>
          </cell>
          <cell r="I1689" t="str">
            <v>19 years, 9 months, 5 days</v>
          </cell>
          <cell r="J1689" t="str">
            <v>Renewables</v>
          </cell>
          <cell r="K1689" t="str">
            <v>Solar (Rooftop)</v>
          </cell>
          <cell r="L1689" t="str">
            <v>Solar</v>
          </cell>
          <cell r="M1689" t="str">
            <v>Dx</v>
          </cell>
          <cell r="N1689" t="str">
            <v>Toronto</v>
          </cell>
          <cell r="O1689" t="str">
            <v>Toronto</v>
          </cell>
          <cell r="P1689" t="str">
            <v>Toronto</v>
          </cell>
        </row>
        <row r="1690">
          <cell r="C1690" t="str">
            <v>Strathroy-Caradoc Ground WPCP 500</v>
          </cell>
          <cell r="D1690" t="str">
            <v>Solar Income Fund LP (#5)</v>
          </cell>
          <cell r="E1690" t="str">
            <v>CO</v>
          </cell>
          <cell r="F1690">
            <v>42699</v>
          </cell>
          <cell r="G1690">
            <v>42300</v>
          </cell>
          <cell r="H1690">
            <v>49604</v>
          </cell>
          <cell r="I1690" t="str">
            <v>19 years, 11 months, 29 days</v>
          </cell>
          <cell r="J1690" t="str">
            <v>Renewables</v>
          </cell>
          <cell r="K1690" t="str">
            <v>Solar (Ground Mounted)</v>
          </cell>
          <cell r="L1690" t="str">
            <v>Solar</v>
          </cell>
          <cell r="M1690" t="str">
            <v>Dx</v>
          </cell>
          <cell r="N1690" t="str">
            <v>Strathroy</v>
          </cell>
          <cell r="O1690" t="str">
            <v>Middlesex</v>
          </cell>
          <cell r="P1690" t="str">
            <v>West</v>
          </cell>
        </row>
        <row r="1691">
          <cell r="C1691" t="str">
            <v>GGELP_0001</v>
          </cell>
          <cell r="D1691" t="str">
            <v>Gengrowth Energy LP</v>
          </cell>
          <cell r="E1691" t="str">
            <v>CO</v>
          </cell>
          <cell r="F1691">
            <v>42658</v>
          </cell>
          <cell r="G1691">
            <v>42738</v>
          </cell>
          <cell r="H1691">
            <v>49962</v>
          </cell>
          <cell r="I1691" t="str">
            <v>19 years, 9 months, 11 days</v>
          </cell>
          <cell r="J1691" t="str">
            <v>Renewables</v>
          </cell>
          <cell r="K1691" t="str">
            <v>Solar (Ground Mounted)</v>
          </cell>
          <cell r="L1691" t="str">
            <v>Solar</v>
          </cell>
          <cell r="M1691" t="str">
            <v>Dx</v>
          </cell>
          <cell r="N1691" t="str">
            <v>Grafton</v>
          </cell>
          <cell r="O1691" t="str">
            <v>Northumberland</v>
          </cell>
          <cell r="P1691" t="str">
            <v>East</v>
          </cell>
        </row>
        <row r="1692">
          <cell r="C1692" t="str">
            <v>Macklin PS</v>
          </cell>
          <cell r="D1692" t="str">
            <v>TSPS (Portfolio 2) Limited Partnership</v>
          </cell>
          <cell r="E1692" t="str">
            <v>CO</v>
          </cell>
          <cell r="F1692">
            <v>42602</v>
          </cell>
          <cell r="G1692">
            <v>42597</v>
          </cell>
          <cell r="H1692">
            <v>49901</v>
          </cell>
          <cell r="I1692" t="str">
            <v>19 years, 11 months, 30 days</v>
          </cell>
          <cell r="J1692" t="str">
            <v>Renewables</v>
          </cell>
          <cell r="K1692" t="str">
            <v>Solar (Rooftop)</v>
          </cell>
          <cell r="L1692" t="str">
            <v>Solar</v>
          </cell>
          <cell r="M1692" t="str">
            <v>Dx</v>
          </cell>
          <cell r="N1692" t="str">
            <v>Toronto</v>
          </cell>
          <cell r="O1692" t="str">
            <v>Toronto</v>
          </cell>
          <cell r="P1692" t="str">
            <v>Toronto</v>
          </cell>
        </row>
        <row r="1693">
          <cell r="C1693" t="str">
            <v>OAK-2885 Sherwood Heights</v>
          </cell>
          <cell r="D1693" t="str">
            <v>Métis Nation of Ontario - BrightRoof Solar LP</v>
          </cell>
          <cell r="E1693" t="str">
            <v>CO</v>
          </cell>
          <cell r="F1693">
            <v>42075</v>
          </cell>
          <cell r="G1693">
            <v>42248</v>
          </cell>
          <cell r="H1693">
            <v>49379</v>
          </cell>
          <cell r="I1693" t="str">
            <v>19 years, 6 months, 10 days</v>
          </cell>
          <cell r="J1693" t="str">
            <v>Renewables</v>
          </cell>
          <cell r="K1693" t="str">
            <v>Solar (Rooftop)</v>
          </cell>
          <cell r="L1693" t="str">
            <v>Solar</v>
          </cell>
          <cell r="M1693" t="str">
            <v>Dx</v>
          </cell>
          <cell r="N1693" t="str">
            <v>Oakville</v>
          </cell>
          <cell r="O1693" t="str">
            <v>Halton</v>
          </cell>
          <cell r="P1693" t="str">
            <v>Toronto</v>
          </cell>
        </row>
        <row r="1694">
          <cell r="C1694" t="str">
            <v>Solexica - 380 Kingston</v>
          </cell>
          <cell r="D1694" t="str">
            <v>Solexica Solar Ajax GP</v>
          </cell>
          <cell r="E1694" t="str">
            <v>CO</v>
          </cell>
          <cell r="F1694">
            <v>42112</v>
          </cell>
          <cell r="G1694">
            <v>42111</v>
          </cell>
          <cell r="H1694">
            <v>49415</v>
          </cell>
          <cell r="I1694" t="str">
            <v>19 years, 11 months, 30 days</v>
          </cell>
          <cell r="J1694" t="str">
            <v>Renewables</v>
          </cell>
          <cell r="K1694" t="str">
            <v>Solar (Rooftop)</v>
          </cell>
          <cell r="L1694" t="str">
            <v>Solar</v>
          </cell>
          <cell r="M1694" t="str">
            <v>Dx</v>
          </cell>
          <cell r="N1694" t="str">
            <v>Ajax</v>
          </cell>
          <cell r="O1694" t="str">
            <v>Durham</v>
          </cell>
          <cell r="P1694" t="str">
            <v>Toronto</v>
          </cell>
        </row>
        <row r="1695">
          <cell r="C1695" t="str">
            <v>Second Street JMS</v>
          </cell>
          <cell r="D1695" t="str">
            <v>TSPS (Portfolio 2) Limited Partnership</v>
          </cell>
          <cell r="E1695" t="str">
            <v>CO</v>
          </cell>
          <cell r="F1695">
            <v>42609</v>
          </cell>
          <cell r="G1695">
            <v>42613</v>
          </cell>
          <cell r="H1695">
            <v>49913</v>
          </cell>
          <cell r="I1695" t="str">
            <v>19 years, 11 months, 26 days</v>
          </cell>
          <cell r="J1695" t="str">
            <v>Renewables</v>
          </cell>
          <cell r="K1695" t="str">
            <v>Solar (Rooftop)</v>
          </cell>
          <cell r="L1695" t="str">
            <v>Solar</v>
          </cell>
          <cell r="M1695" t="str">
            <v>Dx</v>
          </cell>
          <cell r="N1695" t="str">
            <v>Toronto</v>
          </cell>
          <cell r="O1695" t="str">
            <v>Toronto</v>
          </cell>
          <cell r="P1695" t="str">
            <v>Toronto</v>
          </cell>
        </row>
        <row r="1696">
          <cell r="C1696" t="str">
            <v>Huronia Centennial ES</v>
          </cell>
          <cell r="D1696" t="str">
            <v>Potentia Solar 5 Limited Partnership</v>
          </cell>
          <cell r="E1696" t="str">
            <v>CO</v>
          </cell>
          <cell r="F1696">
            <v>42075</v>
          </cell>
          <cell r="G1696">
            <v>42244</v>
          </cell>
          <cell r="H1696">
            <v>49379</v>
          </cell>
          <cell r="I1696" t="str">
            <v>19 years, 6 months, 11 days</v>
          </cell>
          <cell r="J1696" t="str">
            <v>Renewables</v>
          </cell>
          <cell r="K1696" t="str">
            <v>Solar (Rooftop)</v>
          </cell>
          <cell r="L1696" t="str">
            <v>Solar</v>
          </cell>
          <cell r="M1696" t="str">
            <v>Dx</v>
          </cell>
          <cell r="N1696" t="str">
            <v>Elmvale</v>
          </cell>
          <cell r="O1696" t="str">
            <v>Simcoe</v>
          </cell>
          <cell r="P1696" t="str">
            <v>Essa</v>
          </cell>
        </row>
        <row r="1697">
          <cell r="C1697" t="str">
            <v>206-1 Turbina</v>
          </cell>
          <cell r="D1697" t="str">
            <v>8180792 Canada Inc.</v>
          </cell>
          <cell r="E1697" t="str">
            <v>CO</v>
          </cell>
          <cell r="F1697">
            <v>42095</v>
          </cell>
          <cell r="G1697">
            <v>42236</v>
          </cell>
          <cell r="H1697">
            <v>49399</v>
          </cell>
          <cell r="I1697" t="str">
            <v>19 years, 7 months, 11 days</v>
          </cell>
          <cell r="J1697" t="str">
            <v>Renewables</v>
          </cell>
          <cell r="K1697" t="str">
            <v>Solar (Rooftop)</v>
          </cell>
          <cell r="L1697" t="str">
            <v>Solar</v>
          </cell>
          <cell r="M1697" t="str">
            <v>Dx</v>
          </cell>
          <cell r="N1697" t="str">
            <v>Toronto</v>
          </cell>
          <cell r="O1697" t="str">
            <v>Toronto</v>
          </cell>
          <cell r="P1697" t="str">
            <v>Toronto</v>
          </cell>
        </row>
        <row r="1698">
          <cell r="C1698" t="str">
            <v>Thistletown CI</v>
          </cell>
          <cell r="D1698" t="str">
            <v>TSPS (Portfolio 1) Limited Partnership</v>
          </cell>
          <cell r="E1698" t="str">
            <v>CO</v>
          </cell>
          <cell r="F1698">
            <v>42611</v>
          </cell>
          <cell r="G1698">
            <v>42151</v>
          </cell>
          <cell r="H1698">
            <v>49455</v>
          </cell>
          <cell r="I1698" t="str">
            <v>19 years, 11 months, 29 days</v>
          </cell>
          <cell r="J1698" t="str">
            <v>Renewables</v>
          </cell>
          <cell r="K1698" t="str">
            <v>Solar (Rooftop)</v>
          </cell>
          <cell r="L1698" t="str">
            <v>Solar</v>
          </cell>
          <cell r="M1698" t="str">
            <v>Dx</v>
          </cell>
          <cell r="N1698" t="str">
            <v>Toronto</v>
          </cell>
          <cell r="O1698" t="str">
            <v>Toronto</v>
          </cell>
          <cell r="P1698" t="str">
            <v>Toronto</v>
          </cell>
        </row>
        <row r="1699">
          <cell r="C1699" t="str">
            <v>John Muller Project</v>
          </cell>
          <cell r="D1699" t="str">
            <v>SE 2012 LP</v>
          </cell>
          <cell r="E1699" t="str">
            <v>CO</v>
          </cell>
          <cell r="F1699">
            <v>42117</v>
          </cell>
          <cell r="G1699">
            <v>41891</v>
          </cell>
          <cell r="H1699">
            <v>49195</v>
          </cell>
          <cell r="I1699" t="str">
            <v>19 years, 11 months, 30 days</v>
          </cell>
          <cell r="J1699" t="str">
            <v>Renewables</v>
          </cell>
          <cell r="K1699" t="str">
            <v>Solar (Rooftop)</v>
          </cell>
          <cell r="L1699" t="str">
            <v>Solar</v>
          </cell>
          <cell r="M1699" t="str">
            <v>Dx</v>
          </cell>
          <cell r="N1699" t="str">
            <v>Dashwood</v>
          </cell>
          <cell r="O1699" t="str">
            <v>Huron</v>
          </cell>
          <cell r="P1699" t="str">
            <v>Southwest</v>
          </cell>
        </row>
        <row r="1700">
          <cell r="C1700" t="str">
            <v>Solar Project - 45 Freshway Drive</v>
          </cell>
          <cell r="D1700" t="str">
            <v>Better Iron Works Limited</v>
          </cell>
          <cell r="E1700" t="str">
            <v>CO</v>
          </cell>
          <cell r="F1700">
            <v>42095</v>
          </cell>
          <cell r="G1700">
            <v>42138</v>
          </cell>
          <cell r="H1700">
            <v>49399</v>
          </cell>
          <cell r="I1700" t="str">
            <v>19 years, 10 months, 17 days</v>
          </cell>
          <cell r="J1700" t="str">
            <v>Renewables</v>
          </cell>
          <cell r="K1700" t="str">
            <v>Solar (Rooftop)</v>
          </cell>
          <cell r="L1700" t="str">
            <v>Solar</v>
          </cell>
          <cell r="M1700" t="str">
            <v>Dx</v>
          </cell>
          <cell r="N1700" t="str">
            <v>Concord</v>
          </cell>
          <cell r="O1700" t="str">
            <v>York</v>
          </cell>
          <cell r="P1700" t="str">
            <v>Toronto</v>
          </cell>
        </row>
        <row r="1701">
          <cell r="C1701" t="str">
            <v>Twin Lakes SS</v>
          </cell>
          <cell r="D1701" t="str">
            <v>Potentia Solar 5 Limited Partnership</v>
          </cell>
          <cell r="E1701" t="str">
            <v>CO</v>
          </cell>
          <cell r="F1701">
            <v>42097</v>
          </cell>
          <cell r="G1701">
            <v>42184</v>
          </cell>
          <cell r="H1701">
            <v>49401</v>
          </cell>
          <cell r="I1701" t="str">
            <v>19 years, 9 months, 4 days</v>
          </cell>
          <cell r="J1701" t="str">
            <v>Renewables</v>
          </cell>
          <cell r="K1701" t="str">
            <v>Solar (Rooftop)</v>
          </cell>
          <cell r="L1701" t="str">
            <v>Solar</v>
          </cell>
          <cell r="M1701" t="str">
            <v>Dx</v>
          </cell>
          <cell r="N1701" t="str">
            <v>Orillia</v>
          </cell>
          <cell r="O1701" t="str">
            <v>Simcoe</v>
          </cell>
          <cell r="P1701" t="str">
            <v>Essa</v>
          </cell>
        </row>
        <row r="1702">
          <cell r="C1702" t="str">
            <v>601 Canarctic</v>
          </cell>
          <cell r="D1702" t="str">
            <v>601 Canarctic Solar LP</v>
          </cell>
          <cell r="E1702" t="str">
            <v>CO</v>
          </cell>
          <cell r="F1702">
            <v>42104</v>
          </cell>
          <cell r="G1702">
            <v>42250</v>
          </cell>
          <cell r="H1702">
            <v>49408</v>
          </cell>
          <cell r="I1702" t="str">
            <v>19 years, 7 months, 6 days</v>
          </cell>
          <cell r="J1702" t="str">
            <v>Renewables</v>
          </cell>
          <cell r="K1702" t="str">
            <v>Solar (Rooftop)</v>
          </cell>
          <cell r="L1702" t="str">
            <v>Solar</v>
          </cell>
          <cell r="M1702" t="str">
            <v>Dx</v>
          </cell>
          <cell r="N1702" t="str">
            <v>Toronto</v>
          </cell>
          <cell r="O1702" t="str">
            <v>Toronto</v>
          </cell>
          <cell r="P1702" t="str">
            <v>Toronto</v>
          </cell>
        </row>
        <row r="1703">
          <cell r="C1703" t="str">
            <v>TOR-200 Lonsdale</v>
          </cell>
          <cell r="D1703" t="str">
            <v>Métis Nation of Ontario - BrightRoof Solar LP</v>
          </cell>
          <cell r="E1703" t="str">
            <v>CO</v>
          </cell>
          <cell r="F1703">
            <v>42102</v>
          </cell>
          <cell r="G1703">
            <v>42067</v>
          </cell>
          <cell r="H1703">
            <v>49371</v>
          </cell>
          <cell r="I1703" t="str">
            <v>19 years, 11 months, 27 days</v>
          </cell>
          <cell r="J1703" t="str">
            <v>Renewables</v>
          </cell>
          <cell r="K1703" t="str">
            <v>Solar (Rooftop)</v>
          </cell>
          <cell r="L1703" t="str">
            <v>Solar</v>
          </cell>
          <cell r="M1703" t="str">
            <v>Dx</v>
          </cell>
          <cell r="N1703" t="str">
            <v>Toronto</v>
          </cell>
          <cell r="O1703" t="str">
            <v>Toronto</v>
          </cell>
          <cell r="P1703" t="str">
            <v>Toronto</v>
          </cell>
        </row>
        <row r="1704">
          <cell r="C1704" t="str">
            <v>Claireville JS</v>
          </cell>
          <cell r="D1704" t="str">
            <v>TSPS (Portfolio 1) Limited Partnership</v>
          </cell>
          <cell r="E1704" t="str">
            <v>CO</v>
          </cell>
          <cell r="F1704">
            <v>42583</v>
          </cell>
          <cell r="G1704">
            <v>42096</v>
          </cell>
          <cell r="H1704">
            <v>49400</v>
          </cell>
          <cell r="I1704" t="str">
            <v>19 years, 11 months, 30 days</v>
          </cell>
          <cell r="J1704" t="str">
            <v>Renewables</v>
          </cell>
          <cell r="K1704" t="str">
            <v>Solar (Rooftop)</v>
          </cell>
          <cell r="L1704" t="str">
            <v>Solar</v>
          </cell>
          <cell r="M1704" t="str">
            <v>Dx</v>
          </cell>
          <cell r="N1704" t="str">
            <v>Toronto</v>
          </cell>
          <cell r="O1704" t="str">
            <v>Toronto</v>
          </cell>
          <cell r="P1704" t="str">
            <v>Toronto</v>
          </cell>
        </row>
        <row r="1705">
          <cell r="C1705" t="str">
            <v>A_1201Bertal</v>
          </cell>
          <cell r="D1705" t="str">
            <v>OFIT Bertal Inc.</v>
          </cell>
          <cell r="E1705" t="str">
            <v>CO</v>
          </cell>
          <cell r="F1705">
            <v>42097</v>
          </cell>
          <cell r="G1705">
            <v>42279</v>
          </cell>
          <cell r="H1705">
            <v>49401</v>
          </cell>
          <cell r="I1705" t="str">
            <v>19 years, 6 months, 0 days</v>
          </cell>
          <cell r="J1705" t="str">
            <v>Renewables</v>
          </cell>
          <cell r="K1705" t="str">
            <v>Solar (Rooftop)</v>
          </cell>
          <cell r="L1705" t="str">
            <v>Solar</v>
          </cell>
          <cell r="M1705" t="str">
            <v>Dx</v>
          </cell>
          <cell r="N1705" t="str">
            <v>Toronto</v>
          </cell>
          <cell r="O1705" t="str">
            <v>Toronto</v>
          </cell>
          <cell r="P1705" t="str">
            <v>Toronto</v>
          </cell>
        </row>
        <row r="1706">
          <cell r="C1706" t="str">
            <v>Victoria Village PS</v>
          </cell>
          <cell r="D1706" t="str">
            <v>TSPS (Portfolio 2) Limited Partnership</v>
          </cell>
          <cell r="E1706" t="str">
            <v>CO</v>
          </cell>
          <cell r="F1706">
            <v>42611</v>
          </cell>
          <cell r="G1706">
            <v>42355</v>
          </cell>
          <cell r="H1706">
            <v>49659</v>
          </cell>
          <cell r="I1706" t="str">
            <v>19 years, 11 months, 29 days</v>
          </cell>
          <cell r="J1706" t="str">
            <v>Renewables</v>
          </cell>
          <cell r="K1706" t="str">
            <v>Solar (Rooftop)</v>
          </cell>
          <cell r="L1706" t="str">
            <v>Solar</v>
          </cell>
          <cell r="M1706" t="str">
            <v>Dx</v>
          </cell>
          <cell r="N1706" t="str">
            <v>Toronto</v>
          </cell>
          <cell r="O1706" t="str">
            <v>Toronto</v>
          </cell>
          <cell r="P1706" t="str">
            <v>Toronto</v>
          </cell>
        </row>
        <row r="1707">
          <cell r="C1707" t="str">
            <v>Lescon PS</v>
          </cell>
          <cell r="D1707" t="str">
            <v>TSPS (Portfolio 1) Limited Partnership</v>
          </cell>
          <cell r="E1707" t="str">
            <v>CO</v>
          </cell>
          <cell r="F1707">
            <v>42602</v>
          </cell>
          <cell r="G1707">
            <v>42290</v>
          </cell>
          <cell r="H1707">
            <v>49594</v>
          </cell>
          <cell r="I1707" t="str">
            <v>19 years, 11 months, 29 days</v>
          </cell>
          <cell r="J1707" t="str">
            <v>Renewables</v>
          </cell>
          <cell r="K1707" t="str">
            <v>Solar (Rooftop)</v>
          </cell>
          <cell r="L1707" t="str">
            <v>Solar</v>
          </cell>
          <cell r="M1707" t="str">
            <v>Dx</v>
          </cell>
          <cell r="N1707" t="str">
            <v>Toronto</v>
          </cell>
          <cell r="O1707" t="str">
            <v>Toronto</v>
          </cell>
          <cell r="P1707" t="str">
            <v>Toronto</v>
          </cell>
        </row>
        <row r="1708">
          <cell r="C1708" t="str">
            <v>Oakdale Park MS</v>
          </cell>
          <cell r="D1708" t="str">
            <v>TSPS (Portfolio 1) Limited Partnership</v>
          </cell>
          <cell r="E1708" t="str">
            <v>CO</v>
          </cell>
          <cell r="F1708">
            <v>42604</v>
          </cell>
          <cell r="G1708">
            <v>42335</v>
          </cell>
          <cell r="H1708">
            <v>49639</v>
          </cell>
          <cell r="I1708" t="str">
            <v>19 years, 11 months, 30 days</v>
          </cell>
          <cell r="J1708" t="str">
            <v>Renewables</v>
          </cell>
          <cell r="K1708" t="str">
            <v>Solar (Rooftop)</v>
          </cell>
          <cell r="L1708" t="str">
            <v>Solar</v>
          </cell>
          <cell r="M1708" t="str">
            <v>Dx</v>
          </cell>
          <cell r="N1708" t="str">
            <v>Toronto</v>
          </cell>
          <cell r="O1708" t="str">
            <v>Toronto</v>
          </cell>
          <cell r="P1708" t="str">
            <v>Toronto</v>
          </cell>
        </row>
        <row r="1709">
          <cell r="C1709" t="str">
            <v>Rivercrest JS</v>
          </cell>
          <cell r="D1709" t="str">
            <v>TSPS (Portfolio 1) Limited Partnership</v>
          </cell>
          <cell r="E1709" t="str">
            <v>CO</v>
          </cell>
          <cell r="F1709">
            <v>42609</v>
          </cell>
          <cell r="G1709">
            <v>42032</v>
          </cell>
          <cell r="H1709">
            <v>49336</v>
          </cell>
          <cell r="I1709" t="str">
            <v>19 years, 11 months, 30 days</v>
          </cell>
          <cell r="J1709" t="str">
            <v>Renewables</v>
          </cell>
          <cell r="K1709" t="str">
            <v>Solar (Rooftop)</v>
          </cell>
          <cell r="L1709" t="str">
            <v>Solar</v>
          </cell>
          <cell r="M1709" t="str">
            <v>Dx</v>
          </cell>
          <cell r="N1709" t="str">
            <v>Toronto</v>
          </cell>
          <cell r="O1709" t="str">
            <v>Toronto</v>
          </cell>
          <cell r="P1709" t="str">
            <v>Toronto</v>
          </cell>
        </row>
        <row r="1710">
          <cell r="C1710" t="str">
            <v>Kipling CI</v>
          </cell>
          <cell r="D1710" t="str">
            <v>TSPS (Portfolio 1) Limited Partnership</v>
          </cell>
          <cell r="E1710" t="str">
            <v>CO</v>
          </cell>
          <cell r="F1710">
            <v>42602</v>
          </cell>
          <cell r="G1710">
            <v>42185</v>
          </cell>
          <cell r="H1710">
            <v>49489</v>
          </cell>
          <cell r="I1710" t="str">
            <v>19 years, 11 months, 30 days</v>
          </cell>
          <cell r="J1710" t="str">
            <v>Renewables</v>
          </cell>
          <cell r="K1710" t="str">
            <v>Solar (Rooftop)</v>
          </cell>
          <cell r="L1710" t="str">
            <v>Solar</v>
          </cell>
          <cell r="M1710" t="str">
            <v>Dx</v>
          </cell>
          <cell r="N1710" t="str">
            <v>Toronto</v>
          </cell>
          <cell r="O1710" t="str">
            <v>Toronto</v>
          </cell>
          <cell r="P1710" t="str">
            <v>Toronto</v>
          </cell>
        </row>
        <row r="1711">
          <cell r="C1711" t="str">
            <v>Connaught PS</v>
          </cell>
          <cell r="D1711" t="str">
            <v>Potentia Solar 5 Limited Partnership</v>
          </cell>
          <cell r="E1711" t="str">
            <v>CO</v>
          </cell>
          <cell r="F1711">
            <v>42063</v>
          </cell>
          <cell r="G1711">
            <v>42228</v>
          </cell>
          <cell r="H1711">
            <v>49367</v>
          </cell>
          <cell r="I1711" t="str">
            <v>19 years, 6 months, 15 days</v>
          </cell>
          <cell r="J1711" t="str">
            <v>Renewables</v>
          </cell>
          <cell r="K1711" t="str">
            <v>Solar (Rooftop)</v>
          </cell>
          <cell r="L1711" t="str">
            <v>Solar</v>
          </cell>
          <cell r="M1711" t="str">
            <v>Dx</v>
          </cell>
          <cell r="N1711" t="str">
            <v>Collingwood</v>
          </cell>
          <cell r="O1711" t="str">
            <v>Simcoe</v>
          </cell>
          <cell r="P1711" t="str">
            <v>Southwest</v>
          </cell>
        </row>
        <row r="1712">
          <cell r="C1712" t="str">
            <v>T &amp; W Operations Centre - Solar PV</v>
          </cell>
          <cell r="D1712" t="str">
            <v>The Regional Municipality of York</v>
          </cell>
          <cell r="E1712" t="str">
            <v>CO</v>
          </cell>
          <cell r="F1712">
            <v>42089</v>
          </cell>
          <cell r="G1712">
            <v>42086</v>
          </cell>
          <cell r="H1712">
            <v>49390</v>
          </cell>
          <cell r="I1712" t="str">
            <v>19 years, 11 months, 27 days</v>
          </cell>
          <cell r="J1712" t="str">
            <v>Renewables</v>
          </cell>
          <cell r="K1712" t="str">
            <v>Solar (Rooftop)</v>
          </cell>
          <cell r="L1712" t="str">
            <v>Solar</v>
          </cell>
          <cell r="M1712" t="str">
            <v>Dx</v>
          </cell>
          <cell r="N1712" t="str">
            <v>Sharon</v>
          </cell>
          <cell r="O1712" t="str">
            <v>York</v>
          </cell>
          <cell r="P1712" t="str">
            <v>Essa</v>
          </cell>
        </row>
        <row r="1713">
          <cell r="C1713" t="str">
            <v>Mapleton Solar - LIFE Solar JV 50</v>
          </cell>
          <cell r="D1713" t="str">
            <v>de Groot Renewables Inc.</v>
          </cell>
          <cell r="E1713" t="str">
            <v>CO</v>
          </cell>
          <cell r="F1713">
            <v>42075</v>
          </cell>
          <cell r="G1713">
            <v>42083</v>
          </cell>
          <cell r="H1713">
            <v>49379</v>
          </cell>
          <cell r="I1713" t="str">
            <v>19 years, 11 months, 19 days</v>
          </cell>
          <cell r="J1713" t="str">
            <v>Renewables</v>
          </cell>
          <cell r="K1713" t="str">
            <v>Solar (Rooftop)</v>
          </cell>
          <cell r="L1713" t="str">
            <v>Solar</v>
          </cell>
          <cell r="M1713" t="str">
            <v>Dx</v>
          </cell>
          <cell r="N1713" t="str">
            <v>Moorefield</v>
          </cell>
          <cell r="O1713" t="str">
            <v>Wellington</v>
          </cell>
          <cell r="P1713" t="str">
            <v>Southwest</v>
          </cell>
        </row>
        <row r="1714">
          <cell r="C1714" t="str">
            <v>Duke Of Connaught Jr &amp; Sr PS</v>
          </cell>
          <cell r="D1714" t="str">
            <v>TSPS (Portfolio 2) Limited Partnership</v>
          </cell>
          <cell r="E1714" t="str">
            <v>CO</v>
          </cell>
          <cell r="F1714">
            <v>42588</v>
          </cell>
          <cell r="G1714">
            <v>42356</v>
          </cell>
          <cell r="H1714">
            <v>49660</v>
          </cell>
          <cell r="I1714" t="str">
            <v>19 years, 11 months, 29 days</v>
          </cell>
          <cell r="J1714" t="str">
            <v>Renewables</v>
          </cell>
          <cell r="K1714" t="str">
            <v>Solar (Rooftop)</v>
          </cell>
          <cell r="L1714" t="str">
            <v>Solar</v>
          </cell>
          <cell r="M1714" t="str">
            <v>Dx</v>
          </cell>
          <cell r="N1714" t="str">
            <v>Toronto</v>
          </cell>
          <cell r="O1714" t="str">
            <v>Toronto</v>
          </cell>
          <cell r="P1714" t="str">
            <v>Toronto</v>
          </cell>
        </row>
        <row r="1715">
          <cell r="C1715" t="str">
            <v>Kingsview Village JS</v>
          </cell>
          <cell r="D1715" t="str">
            <v>TSPS (Portfolio 1) Limited Partnership</v>
          </cell>
          <cell r="E1715" t="str">
            <v>CO</v>
          </cell>
          <cell r="F1715">
            <v>42602</v>
          </cell>
          <cell r="G1715">
            <v>42236</v>
          </cell>
          <cell r="H1715">
            <v>49540</v>
          </cell>
          <cell r="I1715" t="str">
            <v>19 years, 11 months, 30 days</v>
          </cell>
          <cell r="J1715" t="str">
            <v>Renewables</v>
          </cell>
          <cell r="K1715" t="str">
            <v>Solar (Rooftop)</v>
          </cell>
          <cell r="L1715" t="str">
            <v>Solar</v>
          </cell>
          <cell r="M1715" t="str">
            <v>Dx</v>
          </cell>
          <cell r="N1715" t="str">
            <v>Toronto</v>
          </cell>
          <cell r="O1715" t="str">
            <v>Toronto</v>
          </cell>
          <cell r="P1715" t="str">
            <v>Toronto</v>
          </cell>
        </row>
        <row r="1716">
          <cell r="C1716" t="str">
            <v>Chester Le Jr PS</v>
          </cell>
          <cell r="D1716" t="str">
            <v>TSPS (Portfolio 2) Limited Partnership</v>
          </cell>
          <cell r="E1716" t="str">
            <v>CO</v>
          </cell>
          <cell r="F1716">
            <v>42616</v>
          </cell>
          <cell r="G1716">
            <v>42643</v>
          </cell>
          <cell r="H1716">
            <v>49920</v>
          </cell>
          <cell r="I1716" t="str">
            <v>19 years, 11 months, 3 days</v>
          </cell>
          <cell r="J1716" t="str">
            <v>Renewables</v>
          </cell>
          <cell r="K1716" t="str">
            <v>Solar (Rooftop)</v>
          </cell>
          <cell r="L1716" t="str">
            <v>Solar</v>
          </cell>
          <cell r="M1716" t="str">
            <v>Dx</v>
          </cell>
          <cell r="N1716" t="str">
            <v>Toronto</v>
          </cell>
          <cell r="O1716" t="str">
            <v>Toronto</v>
          </cell>
          <cell r="P1716" t="str">
            <v>Toronto</v>
          </cell>
        </row>
        <row r="1717">
          <cell r="C1717" t="str">
            <v>Corvette Jr PS</v>
          </cell>
          <cell r="D1717" t="str">
            <v>TSPS (Portfolio 1) Limited Partnership</v>
          </cell>
          <cell r="E1717" t="str">
            <v>CO</v>
          </cell>
          <cell r="F1717">
            <v>42583</v>
          </cell>
          <cell r="G1717">
            <v>42395</v>
          </cell>
          <cell r="H1717">
            <v>49699</v>
          </cell>
          <cell r="I1717" t="str">
            <v>19 years, 11 months, 30 days</v>
          </cell>
          <cell r="J1717" t="str">
            <v>Renewables</v>
          </cell>
          <cell r="K1717" t="str">
            <v>Solar (Rooftop)</v>
          </cell>
          <cell r="L1717" t="str">
            <v>Solar</v>
          </cell>
          <cell r="M1717" t="str">
            <v>Dx</v>
          </cell>
          <cell r="N1717" t="str">
            <v>Toronto</v>
          </cell>
          <cell r="O1717" t="str">
            <v>Toronto</v>
          </cell>
          <cell r="P1717" t="str">
            <v>Toronto</v>
          </cell>
        </row>
        <row r="1718">
          <cell r="C1718" t="str">
            <v>Y02-150 Telson</v>
          </cell>
          <cell r="D1718" t="str">
            <v>Solar Flow-Through Projects (2014 Subco F2) LTD.</v>
          </cell>
          <cell r="E1718" t="str">
            <v>CO</v>
          </cell>
          <cell r="F1718">
            <v>42075</v>
          </cell>
          <cell r="G1718">
            <v>42237</v>
          </cell>
          <cell r="H1718">
            <v>49379</v>
          </cell>
          <cell r="I1718" t="str">
            <v>19 years, 6 months, 18 days</v>
          </cell>
          <cell r="J1718" t="str">
            <v>Renewables</v>
          </cell>
          <cell r="K1718" t="str">
            <v>Solar (Rooftop)</v>
          </cell>
          <cell r="L1718" t="str">
            <v>Solar</v>
          </cell>
          <cell r="M1718" t="str">
            <v>Dx</v>
          </cell>
          <cell r="N1718" t="str">
            <v>Markham</v>
          </cell>
          <cell r="O1718" t="str">
            <v>York</v>
          </cell>
          <cell r="P1718" t="str">
            <v>Toronto</v>
          </cell>
        </row>
        <row r="1719">
          <cell r="C1719" t="str">
            <v>Lions Oval Public School</v>
          </cell>
          <cell r="D1719" t="str">
            <v>Potentia Solar 5 Limited Partnership</v>
          </cell>
          <cell r="E1719" t="str">
            <v>CO</v>
          </cell>
          <cell r="F1719">
            <v>42063</v>
          </cell>
          <cell r="G1719">
            <v>42180</v>
          </cell>
          <cell r="H1719">
            <v>49367</v>
          </cell>
          <cell r="I1719" t="str">
            <v>19 years, 8 months, 2 days</v>
          </cell>
          <cell r="J1719" t="str">
            <v>Renewables</v>
          </cell>
          <cell r="K1719" t="str">
            <v>Solar (Rooftop)</v>
          </cell>
          <cell r="L1719" t="str">
            <v>Solar</v>
          </cell>
          <cell r="M1719" t="str">
            <v>Dx</v>
          </cell>
          <cell r="N1719" t="str">
            <v>Orillia</v>
          </cell>
          <cell r="O1719" t="str">
            <v>Simcoe</v>
          </cell>
          <cell r="P1719" t="str">
            <v>Essa</v>
          </cell>
        </row>
        <row r="1720">
          <cell r="C1720" t="str">
            <v>Strachan Farm #2</v>
          </cell>
          <cell r="D1720" t="str">
            <v>SCCEC LP</v>
          </cell>
          <cell r="E1720" t="str">
            <v>CO</v>
          </cell>
          <cell r="F1720">
            <v>42097</v>
          </cell>
          <cell r="G1720">
            <v>42086</v>
          </cell>
          <cell r="H1720">
            <v>49390</v>
          </cell>
          <cell r="I1720" t="str">
            <v>19 years, 11 months, 27 days</v>
          </cell>
          <cell r="J1720" t="str">
            <v>Renewables</v>
          </cell>
          <cell r="K1720" t="str">
            <v>Solar (Rooftop)</v>
          </cell>
          <cell r="L1720" t="str">
            <v>Solar</v>
          </cell>
          <cell r="M1720" t="str">
            <v>Dx</v>
          </cell>
          <cell r="N1720" t="str">
            <v>Oro Station</v>
          </cell>
          <cell r="O1720" t="str">
            <v>Simcoe</v>
          </cell>
          <cell r="P1720" t="str">
            <v>Essa</v>
          </cell>
        </row>
        <row r="1721">
          <cell r="C1721" t="str">
            <v>Manes Stable Rooftop</v>
          </cell>
          <cell r="D1721" t="str">
            <v>2355822 Ontario Incorporated</v>
          </cell>
          <cell r="E1721" t="str">
            <v>CO</v>
          </cell>
          <cell r="F1721">
            <v>42075</v>
          </cell>
          <cell r="G1721">
            <v>42011</v>
          </cell>
          <cell r="H1721">
            <v>49315</v>
          </cell>
          <cell r="I1721" t="str">
            <v>19 years, 11 months, 30 days</v>
          </cell>
          <cell r="J1721" t="str">
            <v>Renewables</v>
          </cell>
          <cell r="K1721" t="str">
            <v>Solar (Rooftop)</v>
          </cell>
          <cell r="L1721" t="str">
            <v>Solar</v>
          </cell>
          <cell r="M1721" t="str">
            <v>Dx</v>
          </cell>
          <cell r="N1721" t="str">
            <v>Rockwood</v>
          </cell>
          <cell r="O1721" t="str">
            <v>Wellington</v>
          </cell>
          <cell r="P1721" t="str">
            <v>Southwest</v>
          </cell>
        </row>
        <row r="1722">
          <cell r="C1722" t="str">
            <v>2323trafalgar</v>
          </cell>
          <cell r="D1722" t="str">
            <v>Métis Nation of Ontario - BrightRoof Solar LP</v>
          </cell>
          <cell r="E1722" t="str">
            <v>CO</v>
          </cell>
          <cell r="F1722">
            <v>42102</v>
          </cell>
          <cell r="G1722">
            <v>42039</v>
          </cell>
          <cell r="H1722">
            <v>49343</v>
          </cell>
          <cell r="I1722" t="str">
            <v>19 years, 11 months, 30 days</v>
          </cell>
          <cell r="J1722" t="str">
            <v>Renewables</v>
          </cell>
          <cell r="K1722" t="str">
            <v>Solar (Rooftop)</v>
          </cell>
          <cell r="L1722" t="str">
            <v>Solar</v>
          </cell>
          <cell r="M1722" t="str">
            <v>Dx</v>
          </cell>
          <cell r="N1722" t="str">
            <v>London</v>
          </cell>
          <cell r="O1722" t="str">
            <v>Middlesex</v>
          </cell>
          <cell r="P1722" t="str">
            <v>West</v>
          </cell>
        </row>
        <row r="1723">
          <cell r="C1723" t="str">
            <v>Haja Solar Farm</v>
          </cell>
          <cell r="D1723" t="str">
            <v>N&amp;G LP</v>
          </cell>
          <cell r="E1723" t="str">
            <v>CO</v>
          </cell>
          <cell r="F1723">
            <v>42604</v>
          </cell>
          <cell r="G1723">
            <v>42439</v>
          </cell>
          <cell r="H1723">
            <v>49743</v>
          </cell>
          <cell r="I1723" t="str">
            <v>19 years, 11 months, 28 days</v>
          </cell>
          <cell r="J1723" t="str">
            <v>Renewables</v>
          </cell>
          <cell r="K1723" t="str">
            <v>Solar (Ground Mounted)</v>
          </cell>
          <cell r="L1723" t="str">
            <v>Solar</v>
          </cell>
          <cell r="M1723" t="str">
            <v>Dx</v>
          </cell>
          <cell r="N1723" t="str">
            <v>Acton</v>
          </cell>
          <cell r="O1723" t="str">
            <v>Halton</v>
          </cell>
          <cell r="P1723" t="str">
            <v>Southwest</v>
          </cell>
        </row>
        <row r="1724">
          <cell r="C1724" t="str">
            <v>115 Saltsman Drive</v>
          </cell>
          <cell r="D1724" t="str">
            <v>Chi Biidaaske Inc.</v>
          </cell>
          <cell r="E1724" t="str">
            <v>CO</v>
          </cell>
          <cell r="F1724">
            <v>42061</v>
          </cell>
          <cell r="G1724">
            <v>42242</v>
          </cell>
          <cell r="H1724">
            <v>49365</v>
          </cell>
          <cell r="I1724" t="str">
            <v>19 years, 5 months, 30 days</v>
          </cell>
          <cell r="J1724" t="str">
            <v>Renewables</v>
          </cell>
          <cell r="K1724" t="str">
            <v>Solar (Rooftop)</v>
          </cell>
          <cell r="L1724" t="str">
            <v>Solar</v>
          </cell>
          <cell r="M1724" t="str">
            <v>Dx</v>
          </cell>
          <cell r="N1724" t="str">
            <v>Cambridge</v>
          </cell>
          <cell r="O1724" t="str">
            <v>Waterloo</v>
          </cell>
          <cell r="P1724" t="str">
            <v>Southwest</v>
          </cell>
        </row>
        <row r="1725">
          <cell r="C1725" t="str">
            <v>Forest Hill CI</v>
          </cell>
          <cell r="D1725" t="str">
            <v>TSPS (Portfolio 2) Limited Partnership</v>
          </cell>
          <cell r="E1725" t="str">
            <v>CO</v>
          </cell>
          <cell r="F1725">
            <v>42590</v>
          </cell>
          <cell r="G1725">
            <v>42290</v>
          </cell>
          <cell r="H1725">
            <v>49594</v>
          </cell>
          <cell r="I1725" t="str">
            <v>19 years, 11 months, 29 days</v>
          </cell>
          <cell r="J1725" t="str">
            <v>Renewables</v>
          </cell>
          <cell r="K1725" t="str">
            <v>Solar (Rooftop)</v>
          </cell>
          <cell r="L1725" t="str">
            <v>Solar</v>
          </cell>
          <cell r="M1725" t="str">
            <v>Dx</v>
          </cell>
          <cell r="N1725" t="str">
            <v>Toronto</v>
          </cell>
          <cell r="O1725" t="str">
            <v>Toronto</v>
          </cell>
          <cell r="P1725" t="str">
            <v>Toronto</v>
          </cell>
        </row>
        <row r="1726">
          <cell r="C1726" t="str">
            <v>212-273 Glidden</v>
          </cell>
          <cell r="D1726" t="str">
            <v>THL CANADA INC.</v>
          </cell>
          <cell r="E1726" t="str">
            <v>CO</v>
          </cell>
          <cell r="F1726">
            <v>42082</v>
          </cell>
          <cell r="G1726">
            <v>42258</v>
          </cell>
          <cell r="H1726">
            <v>49386</v>
          </cell>
          <cell r="I1726" t="str">
            <v>19 years, 6 months, 7 days</v>
          </cell>
          <cell r="J1726" t="str">
            <v>Renewables</v>
          </cell>
          <cell r="K1726" t="str">
            <v>Solar (Rooftop)</v>
          </cell>
          <cell r="L1726" t="str">
            <v>Solar</v>
          </cell>
          <cell r="M1726" t="str">
            <v>Dx</v>
          </cell>
          <cell r="N1726" t="str">
            <v>Brampton</v>
          </cell>
          <cell r="O1726" t="str">
            <v>Peel</v>
          </cell>
          <cell r="P1726" t="str">
            <v>Toronto</v>
          </cell>
        </row>
        <row r="1727">
          <cell r="C1727" t="str">
            <v>Fairmeadow Centre</v>
          </cell>
          <cell r="D1727" t="str">
            <v>TSPS (Portfolio 2) Limited Partnership</v>
          </cell>
          <cell r="E1727" t="str">
            <v>CO</v>
          </cell>
          <cell r="F1727">
            <v>42590</v>
          </cell>
          <cell r="G1727">
            <v>42368</v>
          </cell>
          <cell r="H1727">
            <v>49672</v>
          </cell>
          <cell r="I1727" t="str">
            <v>19 years, 11 months, 29 days</v>
          </cell>
          <cell r="J1727" t="str">
            <v>Renewables</v>
          </cell>
          <cell r="K1727" t="str">
            <v>Solar (Rooftop)</v>
          </cell>
          <cell r="L1727" t="str">
            <v>Solar</v>
          </cell>
          <cell r="M1727" t="str">
            <v>Dx</v>
          </cell>
          <cell r="N1727" t="str">
            <v>Toronto</v>
          </cell>
          <cell r="O1727" t="str">
            <v>Toronto</v>
          </cell>
          <cell r="P1727" t="str">
            <v>Toronto</v>
          </cell>
        </row>
        <row r="1728">
          <cell r="C1728" t="str">
            <v>Palmerston Avenue Jr PS</v>
          </cell>
          <cell r="D1728" t="str">
            <v>TSPS (Portfolio 2) Limited Partnership</v>
          </cell>
          <cell r="E1728" t="str">
            <v>CO</v>
          </cell>
          <cell r="F1728">
            <v>42604</v>
          </cell>
          <cell r="G1728">
            <v>42388</v>
          </cell>
          <cell r="H1728">
            <v>49692</v>
          </cell>
          <cell r="I1728" t="str">
            <v>19 years, 11 months, 30 days</v>
          </cell>
          <cell r="J1728" t="str">
            <v>Renewables</v>
          </cell>
          <cell r="K1728" t="str">
            <v>Solar (Rooftop)</v>
          </cell>
          <cell r="L1728" t="str">
            <v>Solar</v>
          </cell>
          <cell r="M1728" t="str">
            <v>Dx</v>
          </cell>
          <cell r="N1728" t="str">
            <v>Toronto</v>
          </cell>
          <cell r="O1728" t="str">
            <v>Toronto</v>
          </cell>
          <cell r="P1728" t="str">
            <v>Toronto</v>
          </cell>
        </row>
        <row r="1729">
          <cell r="C1729" t="str">
            <v>898 Monaghan Rd.</v>
          </cell>
          <cell r="D1729" t="str">
            <v>Monaghan Road Solar LP</v>
          </cell>
          <cell r="E1729" t="str">
            <v>CO</v>
          </cell>
          <cell r="F1729">
            <v>42112</v>
          </cell>
          <cell r="G1729">
            <v>41934</v>
          </cell>
          <cell r="H1729">
            <v>49238</v>
          </cell>
          <cell r="I1729" t="str">
            <v>19 years, 11 months, 29 days</v>
          </cell>
          <cell r="J1729" t="str">
            <v>Renewables</v>
          </cell>
          <cell r="K1729" t="str">
            <v>Solar (Rooftop)</v>
          </cell>
          <cell r="L1729" t="str">
            <v>Solar</v>
          </cell>
          <cell r="M1729" t="str">
            <v>Dx</v>
          </cell>
          <cell r="N1729" t="str">
            <v>Peterborough</v>
          </cell>
          <cell r="O1729" t="str">
            <v>Peterborough</v>
          </cell>
          <cell r="P1729" t="str">
            <v>East</v>
          </cell>
        </row>
        <row r="1730">
          <cell r="C1730" t="str">
            <v>18 KW @ 764 Lexington</v>
          </cell>
          <cell r="D1730" t="str">
            <v>Nelson Turcotte and Darlene Turcotte</v>
          </cell>
          <cell r="E1730" t="str">
            <v>CO</v>
          </cell>
          <cell r="F1730">
            <v>42551</v>
          </cell>
          <cell r="G1730">
            <v>42566</v>
          </cell>
          <cell r="H1730">
            <v>49855</v>
          </cell>
          <cell r="I1730" t="str">
            <v>19 years, 11 months, 14 days</v>
          </cell>
          <cell r="J1730" t="str">
            <v>Renewables</v>
          </cell>
          <cell r="K1730" t="str">
            <v>Solar (Rooftop)</v>
          </cell>
          <cell r="L1730" t="str">
            <v>Solar</v>
          </cell>
          <cell r="M1730" t="str">
            <v>Dx</v>
          </cell>
          <cell r="N1730" t="str">
            <v>Thunder Bay</v>
          </cell>
          <cell r="O1730" t="str">
            <v>Thunder Bay</v>
          </cell>
          <cell r="P1730" t="str">
            <v>Northwest</v>
          </cell>
        </row>
        <row r="1731">
          <cell r="C1731" t="str">
            <v>Lord Roberts Jr PS</v>
          </cell>
          <cell r="D1731" t="str">
            <v>TSPS (Portfolio 2) Limited Partnership</v>
          </cell>
          <cell r="E1731" t="str">
            <v>CO</v>
          </cell>
          <cell r="F1731">
            <v>42602</v>
          </cell>
          <cell r="G1731">
            <v>42597</v>
          </cell>
          <cell r="H1731">
            <v>49901</v>
          </cell>
          <cell r="I1731" t="str">
            <v>19 years, 11 months, 30 days</v>
          </cell>
          <cell r="J1731" t="str">
            <v>Renewables</v>
          </cell>
          <cell r="K1731" t="str">
            <v>Solar (Rooftop)</v>
          </cell>
          <cell r="L1731" t="str">
            <v>Solar</v>
          </cell>
          <cell r="M1731" t="str">
            <v>Dx</v>
          </cell>
          <cell r="N1731" t="str">
            <v>Toronto</v>
          </cell>
          <cell r="O1731" t="str">
            <v>Toronto</v>
          </cell>
          <cell r="P1731" t="str">
            <v>Toronto</v>
          </cell>
        </row>
        <row r="1732">
          <cell r="C1732" t="str">
            <v>Van Staveren Farm #2</v>
          </cell>
          <cell r="D1732" t="str">
            <v>SCCEC LP</v>
          </cell>
          <cell r="E1732" t="str">
            <v>CO</v>
          </cell>
          <cell r="F1732">
            <v>42097</v>
          </cell>
          <cell r="G1732">
            <v>42158</v>
          </cell>
          <cell r="H1732">
            <v>49401</v>
          </cell>
          <cell r="I1732" t="str">
            <v>19 years, 9 months, 30 days</v>
          </cell>
          <cell r="J1732" t="str">
            <v>Renewables</v>
          </cell>
          <cell r="K1732" t="str">
            <v>Solar (Rooftop)</v>
          </cell>
          <cell r="L1732" t="str">
            <v>Solar</v>
          </cell>
          <cell r="M1732" t="str">
            <v>Dx</v>
          </cell>
          <cell r="N1732" t="str">
            <v>Stayner</v>
          </cell>
          <cell r="O1732" t="str">
            <v>Simcoe</v>
          </cell>
          <cell r="P1732" t="str">
            <v>Southwest</v>
          </cell>
        </row>
        <row r="1733">
          <cell r="C1733" t="str">
            <v>Royal Autobody Solar Project</v>
          </cell>
          <cell r="D1733" t="str">
            <v>Oak Bridge Properties Inc.</v>
          </cell>
          <cell r="E1733" t="str">
            <v>CO</v>
          </cell>
          <cell r="F1733">
            <v>42110</v>
          </cell>
          <cell r="G1733">
            <v>42292</v>
          </cell>
          <cell r="H1733">
            <v>49414</v>
          </cell>
          <cell r="I1733" t="str">
            <v>19 years, 6 months, 0 days</v>
          </cell>
          <cell r="J1733" t="str">
            <v>Renewables</v>
          </cell>
          <cell r="K1733" t="str">
            <v>Solar (Rooftop)</v>
          </cell>
          <cell r="L1733" t="str">
            <v>Solar</v>
          </cell>
          <cell r="M1733" t="str">
            <v>Dx</v>
          </cell>
          <cell r="N1733" t="str">
            <v>Kitchener</v>
          </cell>
          <cell r="O1733" t="str">
            <v>Waterloo</v>
          </cell>
          <cell r="P1733" t="str">
            <v>Southwest</v>
          </cell>
        </row>
        <row r="1734">
          <cell r="C1734" t="str">
            <v>Weeden Environments Solar Project</v>
          </cell>
          <cell r="D1734" t="str">
            <v>Amessna Corp.</v>
          </cell>
          <cell r="E1734" t="str">
            <v>CO</v>
          </cell>
          <cell r="F1734">
            <v>42102</v>
          </cell>
          <cell r="G1734">
            <v>42184</v>
          </cell>
          <cell r="H1734">
            <v>49406</v>
          </cell>
          <cell r="I1734" t="str">
            <v>19 years, 9 months, 9 days</v>
          </cell>
          <cell r="J1734" t="str">
            <v>Renewables</v>
          </cell>
          <cell r="K1734" t="str">
            <v>Solar (Rooftop)</v>
          </cell>
          <cell r="L1734" t="str">
            <v>Solar</v>
          </cell>
          <cell r="M1734" t="str">
            <v>Dx</v>
          </cell>
          <cell r="N1734" t="str">
            <v>Woodstock</v>
          </cell>
          <cell r="O1734" t="str">
            <v>Oxford</v>
          </cell>
          <cell r="P1734" t="str">
            <v>Southwest</v>
          </cell>
        </row>
        <row r="1735">
          <cell r="C1735" t="str">
            <v>Eastview Jr PS</v>
          </cell>
          <cell r="D1735" t="str">
            <v>TSPS (Portfolio 2) Limited Partnership</v>
          </cell>
          <cell r="E1735" t="str">
            <v>CO</v>
          </cell>
          <cell r="F1735">
            <v>42588</v>
          </cell>
          <cell r="G1735">
            <v>42408</v>
          </cell>
          <cell r="H1735">
            <v>49712</v>
          </cell>
          <cell r="I1735" t="str">
            <v>19 years, 11 months, 30 days</v>
          </cell>
          <cell r="J1735" t="str">
            <v>Renewables</v>
          </cell>
          <cell r="K1735" t="str">
            <v>Solar (Rooftop)</v>
          </cell>
          <cell r="L1735" t="str">
            <v>Solar</v>
          </cell>
          <cell r="M1735" t="str">
            <v>Dx</v>
          </cell>
          <cell r="N1735" t="str">
            <v>Toronto</v>
          </cell>
          <cell r="O1735" t="str">
            <v>Toronto</v>
          </cell>
          <cell r="P1735" t="str">
            <v>Toronto</v>
          </cell>
        </row>
        <row r="1736">
          <cell r="C1736" t="str">
            <v>M-Tool</v>
          </cell>
          <cell r="D1736" t="str">
            <v>MT-Holding Ltd.</v>
          </cell>
          <cell r="E1736" t="str">
            <v>CO</v>
          </cell>
          <cell r="F1736">
            <v>42054</v>
          </cell>
          <cell r="G1736">
            <v>42163</v>
          </cell>
          <cell r="H1736">
            <v>49358</v>
          </cell>
          <cell r="I1736" t="str">
            <v>19 years, 8 months, 10 days</v>
          </cell>
          <cell r="J1736" t="str">
            <v>Renewables</v>
          </cell>
          <cell r="K1736" t="str">
            <v>Solar (Rooftop)</v>
          </cell>
          <cell r="L1736" t="str">
            <v>Solar</v>
          </cell>
          <cell r="M1736" t="str">
            <v>Dx</v>
          </cell>
          <cell r="N1736" t="str">
            <v>Mississauga</v>
          </cell>
          <cell r="O1736" t="str">
            <v>Peel</v>
          </cell>
          <cell r="P1736" t="str">
            <v>Toronto</v>
          </cell>
        </row>
        <row r="1737">
          <cell r="C1737" t="str">
            <v>Driftwood PS</v>
          </cell>
          <cell r="D1737" t="str">
            <v>TSPS (Portfolio 1) Limited Partnership</v>
          </cell>
          <cell r="E1737" t="str">
            <v>CO</v>
          </cell>
          <cell r="F1737">
            <v>42588</v>
          </cell>
          <cell r="G1737">
            <v>42174</v>
          </cell>
          <cell r="H1737">
            <v>49478</v>
          </cell>
          <cell r="I1737" t="str">
            <v>19 years, 11 months, 30 days</v>
          </cell>
          <cell r="J1737" t="str">
            <v>Renewables</v>
          </cell>
          <cell r="K1737" t="str">
            <v>Solar (Rooftop)</v>
          </cell>
          <cell r="L1737" t="str">
            <v>Solar</v>
          </cell>
          <cell r="M1737" t="str">
            <v>Dx</v>
          </cell>
          <cell r="N1737" t="str">
            <v>Toronto</v>
          </cell>
          <cell r="O1737" t="str">
            <v>Toronto</v>
          </cell>
          <cell r="P1737" t="str">
            <v>Toronto</v>
          </cell>
        </row>
        <row r="1738">
          <cell r="C1738" t="str">
            <v>St George's JS</v>
          </cell>
          <cell r="D1738" t="str">
            <v>TSPS (Portfolio 2) Limited Partnership</v>
          </cell>
          <cell r="E1738" t="str">
            <v>CO</v>
          </cell>
          <cell r="F1738">
            <v>42611</v>
          </cell>
          <cell r="G1738">
            <v>42689</v>
          </cell>
          <cell r="H1738">
            <v>49915</v>
          </cell>
          <cell r="I1738" t="str">
            <v>19 years, 9 months, 13 days</v>
          </cell>
          <cell r="J1738" t="str">
            <v>Renewables</v>
          </cell>
          <cell r="K1738" t="str">
            <v>Solar (Rooftop)</v>
          </cell>
          <cell r="L1738" t="str">
            <v>Solar</v>
          </cell>
          <cell r="M1738" t="str">
            <v>Dx</v>
          </cell>
          <cell r="N1738" t="str">
            <v>Toronto</v>
          </cell>
          <cell r="O1738" t="str">
            <v>Toronto</v>
          </cell>
          <cell r="P1738" t="str">
            <v>Toronto</v>
          </cell>
        </row>
        <row r="1739">
          <cell r="C1739" t="str">
            <v>Lawrence Park CI</v>
          </cell>
          <cell r="D1739" t="str">
            <v>TSPS (Portfolio 1) Limited Partnership</v>
          </cell>
          <cell r="E1739" t="str">
            <v>CO</v>
          </cell>
          <cell r="F1739">
            <v>42602</v>
          </cell>
          <cell r="G1739">
            <v>42243</v>
          </cell>
          <cell r="H1739">
            <v>49547</v>
          </cell>
          <cell r="I1739" t="str">
            <v>19 years, 11 months, 30 days</v>
          </cell>
          <cell r="J1739" t="str">
            <v>Renewables</v>
          </cell>
          <cell r="K1739" t="str">
            <v>Solar (Rooftop)</v>
          </cell>
          <cell r="L1739" t="str">
            <v>Solar</v>
          </cell>
          <cell r="M1739" t="str">
            <v>Dx</v>
          </cell>
          <cell r="N1739" t="str">
            <v>Toronto</v>
          </cell>
          <cell r="O1739" t="str">
            <v>Toronto</v>
          </cell>
          <cell r="P1739" t="str">
            <v>Toronto</v>
          </cell>
        </row>
        <row r="1740">
          <cell r="C1740" t="str">
            <v>Solar@16341WoodbineAve</v>
          </cell>
          <cell r="D1740" t="str">
            <v>Francesco Converso</v>
          </cell>
          <cell r="E1740" t="str">
            <v>CO</v>
          </cell>
          <cell r="F1740">
            <v>42095</v>
          </cell>
          <cell r="G1740">
            <v>42164</v>
          </cell>
          <cell r="H1740">
            <v>49399</v>
          </cell>
          <cell r="I1740" t="str">
            <v>19 years, 9 months, 22 days</v>
          </cell>
          <cell r="J1740" t="str">
            <v>Renewables</v>
          </cell>
          <cell r="K1740" t="str">
            <v>Solar (Rooftop)</v>
          </cell>
          <cell r="L1740" t="str">
            <v>Solar</v>
          </cell>
          <cell r="M1740" t="str">
            <v>Dx</v>
          </cell>
          <cell r="N1740" t="str">
            <v>Cedar Valley</v>
          </cell>
          <cell r="O1740" t="str">
            <v>York</v>
          </cell>
          <cell r="P1740" t="str">
            <v>Essa</v>
          </cell>
        </row>
        <row r="1741">
          <cell r="C1741" t="str">
            <v>3438 Manning Drive (Recycling)</v>
          </cell>
          <cell r="D1741" t="str">
            <v>London Hydro Inc.</v>
          </cell>
          <cell r="E1741" t="str">
            <v>CO</v>
          </cell>
          <cell r="F1741">
            <v>43036</v>
          </cell>
          <cell r="G1741">
            <v>42403</v>
          </cell>
          <cell r="H1741">
            <v>49707</v>
          </cell>
          <cell r="I1741" t="str">
            <v>19 years, 11 months, 30 days</v>
          </cell>
          <cell r="J1741" t="str">
            <v>Renewables</v>
          </cell>
          <cell r="K1741" t="str">
            <v>Solar (Ground Mounted)</v>
          </cell>
          <cell r="L1741" t="str">
            <v>Solar</v>
          </cell>
          <cell r="M1741" t="str">
            <v>Dx</v>
          </cell>
          <cell r="N1741" t="str">
            <v>London</v>
          </cell>
          <cell r="O1741" t="str">
            <v>Middlesex</v>
          </cell>
          <cell r="P1741" t="str">
            <v>West</v>
          </cell>
        </row>
        <row r="1742">
          <cell r="C1742" t="str">
            <v>Rivard_Windsor_PV</v>
          </cell>
          <cell r="D1742" t="str">
            <v>Windsor Essex Community Housing Corporation</v>
          </cell>
          <cell r="E1742" t="str">
            <v>CO</v>
          </cell>
          <cell r="F1742">
            <v>42070</v>
          </cell>
          <cell r="G1742">
            <v>41907</v>
          </cell>
          <cell r="H1742">
            <v>49211</v>
          </cell>
          <cell r="I1742" t="str">
            <v>19 years, 11 months, 30 days</v>
          </cell>
          <cell r="J1742" t="str">
            <v>Renewables</v>
          </cell>
          <cell r="K1742" t="str">
            <v>Solar (Rooftop)</v>
          </cell>
          <cell r="L1742" t="str">
            <v>Solar</v>
          </cell>
          <cell r="M1742" t="str">
            <v>Dx</v>
          </cell>
          <cell r="N1742" t="str">
            <v>Windsor</v>
          </cell>
          <cell r="O1742" t="str">
            <v>Essex</v>
          </cell>
          <cell r="P1742" t="str">
            <v>West</v>
          </cell>
        </row>
        <row r="1743">
          <cell r="C1743" t="str">
            <v>Pope John Paul II Catholic Elementary School</v>
          </cell>
          <cell r="D1743" t="str">
            <v>Potentia Solar 6 Limited Partnership</v>
          </cell>
          <cell r="E1743" t="str">
            <v>CO</v>
          </cell>
          <cell r="F1743">
            <v>42097</v>
          </cell>
          <cell r="G1743">
            <v>42201</v>
          </cell>
          <cell r="H1743">
            <v>49401</v>
          </cell>
          <cell r="I1743" t="str">
            <v>19 years, 8 months, 17 days</v>
          </cell>
          <cell r="J1743" t="str">
            <v>Renewables</v>
          </cell>
          <cell r="K1743" t="str">
            <v>Solar (Rooftop)</v>
          </cell>
          <cell r="L1743" t="str">
            <v>Solar</v>
          </cell>
          <cell r="M1743" t="str">
            <v>Dx</v>
          </cell>
          <cell r="N1743" t="str">
            <v>Kitchener</v>
          </cell>
          <cell r="O1743" t="str">
            <v>Waterloo</v>
          </cell>
          <cell r="P1743" t="str">
            <v>Southwest</v>
          </cell>
        </row>
        <row r="1744">
          <cell r="C1744" t="str">
            <v>Cummer Valley MS</v>
          </cell>
          <cell r="D1744" t="str">
            <v>TSPS (Portfolio 2) Limited Partnership</v>
          </cell>
          <cell r="E1744" t="str">
            <v>CO</v>
          </cell>
          <cell r="F1744">
            <v>42583</v>
          </cell>
          <cell r="G1744">
            <v>42290</v>
          </cell>
          <cell r="H1744">
            <v>49594</v>
          </cell>
          <cell r="I1744" t="str">
            <v>19 years, 11 months, 29 days</v>
          </cell>
          <cell r="J1744" t="str">
            <v>Renewables</v>
          </cell>
          <cell r="K1744" t="str">
            <v>Solar (Rooftop)</v>
          </cell>
          <cell r="L1744" t="str">
            <v>Solar</v>
          </cell>
          <cell r="M1744" t="str">
            <v>Dx</v>
          </cell>
          <cell r="N1744" t="str">
            <v>Toronto</v>
          </cell>
          <cell r="O1744" t="str">
            <v>Toronto</v>
          </cell>
          <cell r="P1744" t="str">
            <v>Toronto</v>
          </cell>
        </row>
        <row r="1745">
          <cell r="C1745" t="str">
            <v>2290 Scanlan Street</v>
          </cell>
          <cell r="D1745" t="str">
            <v>N&amp;G LP</v>
          </cell>
          <cell r="E1745" t="str">
            <v>CO</v>
          </cell>
          <cell r="F1745">
            <v>42056</v>
          </cell>
          <cell r="G1745">
            <v>42165</v>
          </cell>
          <cell r="H1745">
            <v>49360</v>
          </cell>
          <cell r="I1745" t="str">
            <v>19 years, 8 months, 10 days</v>
          </cell>
          <cell r="J1745" t="str">
            <v>Renewables</v>
          </cell>
          <cell r="K1745" t="str">
            <v>Solar (Rooftop)</v>
          </cell>
          <cell r="L1745" t="str">
            <v>Solar</v>
          </cell>
          <cell r="M1745" t="str">
            <v>Dx</v>
          </cell>
          <cell r="N1745" t="str">
            <v>London</v>
          </cell>
          <cell r="O1745" t="str">
            <v>Middlesex</v>
          </cell>
          <cell r="P1745" t="str">
            <v>West</v>
          </cell>
        </row>
        <row r="1746">
          <cell r="C1746" t="str">
            <v>YCDSB - Holy Spirit</v>
          </cell>
          <cell r="D1746" t="str">
            <v>Potentia Solar 7 Limited Partnership</v>
          </cell>
          <cell r="E1746" t="str">
            <v>CO</v>
          </cell>
          <cell r="F1746">
            <v>42068</v>
          </cell>
          <cell r="G1746">
            <v>42233</v>
          </cell>
          <cell r="H1746">
            <v>49372</v>
          </cell>
          <cell r="I1746" t="str">
            <v>19 years, 6 months, 15 days</v>
          </cell>
          <cell r="J1746" t="str">
            <v>Renewables</v>
          </cell>
          <cell r="K1746" t="str">
            <v>Solar (Rooftop)</v>
          </cell>
          <cell r="L1746" t="str">
            <v>Solar</v>
          </cell>
          <cell r="M1746" t="str">
            <v>Dx</v>
          </cell>
          <cell r="N1746" t="str">
            <v>Aurora</v>
          </cell>
          <cell r="O1746" t="str">
            <v>York</v>
          </cell>
          <cell r="P1746" t="str">
            <v>Essa</v>
          </cell>
        </row>
        <row r="1747">
          <cell r="C1747" t="str">
            <v>Frieslawn Farms Ltd.</v>
          </cell>
          <cell r="D1747" t="str">
            <v>Frieslawn Green Energy Co-operative of Ontario LP</v>
          </cell>
          <cell r="E1747" t="str">
            <v>CO</v>
          </cell>
          <cell r="F1747">
            <v>42056</v>
          </cell>
          <cell r="G1747">
            <v>42048</v>
          </cell>
          <cell r="H1747">
            <v>49352</v>
          </cell>
          <cell r="I1747" t="str">
            <v>19 years, 11 months, 30 days</v>
          </cell>
          <cell r="J1747" t="str">
            <v>Renewables</v>
          </cell>
          <cell r="K1747" t="str">
            <v>Solar (Rooftop)</v>
          </cell>
          <cell r="L1747" t="str">
            <v>Solar</v>
          </cell>
          <cell r="M1747" t="str">
            <v>Dx</v>
          </cell>
          <cell r="N1747" t="str">
            <v>Burgessville</v>
          </cell>
          <cell r="O1747" t="str">
            <v>Oxford</v>
          </cell>
          <cell r="P1747" t="str">
            <v>Southwest</v>
          </cell>
        </row>
        <row r="1748">
          <cell r="C1748" t="str">
            <v>Solexica - 186 Shoemaker</v>
          </cell>
          <cell r="D1748" t="str">
            <v>Solexica Solar Markham GP</v>
          </cell>
          <cell r="E1748" t="str">
            <v>CO</v>
          </cell>
          <cell r="F1748">
            <v>42110</v>
          </cell>
          <cell r="G1748">
            <v>42026</v>
          </cell>
          <cell r="H1748">
            <v>49330</v>
          </cell>
          <cell r="I1748" t="str">
            <v>19 years, 11 months, 30 days</v>
          </cell>
          <cell r="J1748" t="str">
            <v>Renewables</v>
          </cell>
          <cell r="K1748" t="str">
            <v>Solar (Rooftop)</v>
          </cell>
          <cell r="L1748" t="str">
            <v>Solar</v>
          </cell>
          <cell r="M1748" t="str">
            <v>Dx</v>
          </cell>
          <cell r="N1748" t="str">
            <v>Kitchener</v>
          </cell>
          <cell r="O1748" t="str">
            <v>Waterloo</v>
          </cell>
          <cell r="P1748" t="str">
            <v>Southwest</v>
          </cell>
        </row>
        <row r="1749">
          <cell r="C1749" t="str">
            <v>305 Barrie Street RT</v>
          </cell>
          <cell r="D1749" t="str">
            <v>JCM Solar GP1 Ltd.</v>
          </cell>
          <cell r="E1749" t="str">
            <v>CO</v>
          </cell>
          <cell r="F1749">
            <v>42112</v>
          </cell>
          <cell r="G1749">
            <v>42146</v>
          </cell>
          <cell r="H1749">
            <v>49416</v>
          </cell>
          <cell r="I1749" t="str">
            <v>19 years, 10 months, 26 days</v>
          </cell>
          <cell r="J1749" t="str">
            <v>Renewables</v>
          </cell>
          <cell r="K1749" t="str">
            <v>Solar (Rooftop)</v>
          </cell>
          <cell r="L1749" t="str">
            <v>Solar</v>
          </cell>
          <cell r="M1749" t="str">
            <v>Dx</v>
          </cell>
          <cell r="N1749" t="str">
            <v>Bradford</v>
          </cell>
          <cell r="O1749" t="str">
            <v>Simcoe</v>
          </cell>
          <cell r="P1749" t="str">
            <v>Essa</v>
          </cell>
        </row>
        <row r="1750">
          <cell r="C1750" t="str">
            <v>52 Production Drive RT</v>
          </cell>
          <cell r="D1750" t="str">
            <v>Tenedos GP 1 Ltd.</v>
          </cell>
          <cell r="E1750" t="str">
            <v>CO</v>
          </cell>
          <cell r="F1750">
            <v>42110</v>
          </cell>
          <cell r="G1750">
            <v>42283</v>
          </cell>
          <cell r="H1750">
            <v>49414</v>
          </cell>
          <cell r="I1750" t="str">
            <v>19 years, 6 months, 9 days</v>
          </cell>
          <cell r="J1750" t="str">
            <v>Renewables</v>
          </cell>
          <cell r="K1750" t="str">
            <v>Solar (Rooftop)</v>
          </cell>
          <cell r="L1750" t="str">
            <v>Solar</v>
          </cell>
          <cell r="M1750" t="str">
            <v>Dx</v>
          </cell>
          <cell r="N1750" t="str">
            <v>Toronto</v>
          </cell>
          <cell r="O1750" t="str">
            <v>Toronto</v>
          </cell>
          <cell r="P1750" t="str">
            <v>Toronto</v>
          </cell>
        </row>
        <row r="1751">
          <cell r="C1751" t="str">
            <v>Owen PS</v>
          </cell>
          <cell r="D1751" t="str">
            <v>TSPS (Portfolio 2) Limited Partnership</v>
          </cell>
          <cell r="E1751" t="str">
            <v>CO</v>
          </cell>
          <cell r="F1751">
            <v>42604</v>
          </cell>
          <cell r="G1751">
            <v>42317</v>
          </cell>
          <cell r="H1751">
            <v>49621</v>
          </cell>
          <cell r="I1751" t="str">
            <v>19 years, 11 months, 30 days</v>
          </cell>
          <cell r="J1751" t="str">
            <v>Renewables</v>
          </cell>
          <cell r="K1751" t="str">
            <v>Solar (Rooftop)</v>
          </cell>
          <cell r="L1751" t="str">
            <v>Solar</v>
          </cell>
          <cell r="M1751" t="str">
            <v>Dx</v>
          </cell>
          <cell r="N1751" t="str">
            <v>Toronto</v>
          </cell>
          <cell r="O1751" t="str">
            <v>Toronto</v>
          </cell>
          <cell r="P1751" t="str">
            <v>Toronto</v>
          </cell>
        </row>
        <row r="1752">
          <cell r="C1752" t="str">
            <v>Oakwood CI</v>
          </cell>
          <cell r="D1752" t="str">
            <v>TSPS (Portfolio 1) Limited Partnership</v>
          </cell>
          <cell r="E1752" t="str">
            <v>CO</v>
          </cell>
          <cell r="F1752">
            <v>42604</v>
          </cell>
          <cell r="G1752">
            <v>42332</v>
          </cell>
          <cell r="H1752">
            <v>49636</v>
          </cell>
          <cell r="I1752" t="str">
            <v>19 years, 11 months, 30 days</v>
          </cell>
          <cell r="J1752" t="str">
            <v>Renewables</v>
          </cell>
          <cell r="K1752" t="str">
            <v>Solar (Rooftop)</v>
          </cell>
          <cell r="L1752" t="str">
            <v>Solar</v>
          </cell>
          <cell r="M1752" t="str">
            <v>Dx</v>
          </cell>
          <cell r="N1752" t="str">
            <v>Toronto</v>
          </cell>
          <cell r="O1752" t="str">
            <v>Toronto</v>
          </cell>
          <cell r="P1752" t="str">
            <v>Toronto</v>
          </cell>
        </row>
        <row r="1753">
          <cell r="C1753" t="str">
            <v>Etobicoke School of the Arts</v>
          </cell>
          <cell r="D1753" t="str">
            <v>TSPS (Portfolio 1) Limited Partnership</v>
          </cell>
          <cell r="E1753" t="str">
            <v>CO</v>
          </cell>
          <cell r="F1753">
            <v>42590</v>
          </cell>
          <cell r="G1753">
            <v>42643</v>
          </cell>
          <cell r="H1753">
            <v>49894</v>
          </cell>
          <cell r="I1753" t="str">
            <v>19 years, 10 months, 8 days</v>
          </cell>
          <cell r="J1753" t="str">
            <v>Renewables</v>
          </cell>
          <cell r="K1753" t="str">
            <v>Solar (Rooftop)</v>
          </cell>
          <cell r="L1753" t="str">
            <v>Solar</v>
          </cell>
          <cell r="M1753" t="str">
            <v>Dx</v>
          </cell>
          <cell r="N1753" t="str">
            <v>Toronto</v>
          </cell>
          <cell r="O1753" t="str">
            <v>Toronto</v>
          </cell>
          <cell r="P1753" t="str">
            <v>Toronto</v>
          </cell>
        </row>
        <row r="1754">
          <cell r="C1754" t="str">
            <v>Van Staveren Farm #1</v>
          </cell>
          <cell r="D1754" t="str">
            <v>SCCEC LP</v>
          </cell>
          <cell r="E1754" t="str">
            <v>CO</v>
          </cell>
          <cell r="F1754">
            <v>42095</v>
          </cell>
          <cell r="G1754">
            <v>41988</v>
          </cell>
          <cell r="H1754">
            <v>49292</v>
          </cell>
          <cell r="I1754" t="str">
            <v>19 years, 11 months, 29 days</v>
          </cell>
          <cell r="J1754" t="str">
            <v>Renewables</v>
          </cell>
          <cell r="K1754" t="str">
            <v>Solar (Rooftop)</v>
          </cell>
          <cell r="L1754" t="str">
            <v>Solar</v>
          </cell>
          <cell r="M1754" t="str">
            <v>Dx</v>
          </cell>
          <cell r="N1754" t="str">
            <v>Stayner</v>
          </cell>
          <cell r="O1754" t="str">
            <v>Simcoe</v>
          </cell>
          <cell r="P1754" t="str">
            <v>Southwest</v>
          </cell>
        </row>
        <row r="1755">
          <cell r="C1755" t="str">
            <v>David Hornell JS</v>
          </cell>
          <cell r="D1755" t="str">
            <v>TSPS (Portfolio 2) Limited Partnership</v>
          </cell>
          <cell r="E1755" t="str">
            <v>CO</v>
          </cell>
          <cell r="F1755">
            <v>42583</v>
          </cell>
          <cell r="G1755">
            <v>42678</v>
          </cell>
          <cell r="H1755">
            <v>49887</v>
          </cell>
          <cell r="I1755" t="str">
            <v>19 years, 8 months, 27 days</v>
          </cell>
          <cell r="J1755" t="str">
            <v>Renewables</v>
          </cell>
          <cell r="K1755" t="str">
            <v>Solar (Rooftop)</v>
          </cell>
          <cell r="L1755" t="str">
            <v>Solar</v>
          </cell>
          <cell r="M1755" t="str">
            <v>Dx</v>
          </cell>
          <cell r="N1755" t="str">
            <v>Toronto</v>
          </cell>
          <cell r="O1755" t="str">
            <v>Toronto</v>
          </cell>
          <cell r="P1755" t="str">
            <v>Toronto</v>
          </cell>
        </row>
        <row r="1756">
          <cell r="C1756" t="str">
            <v>Humber Summit MS</v>
          </cell>
          <cell r="D1756" t="str">
            <v>TSPS (Portfolio 1) Limited Partnership</v>
          </cell>
          <cell r="E1756" t="str">
            <v>CO</v>
          </cell>
          <cell r="F1756">
            <v>42597</v>
          </cell>
          <cell r="G1756">
            <v>42185</v>
          </cell>
          <cell r="H1756">
            <v>49489</v>
          </cell>
          <cell r="I1756" t="str">
            <v>19 years, 11 months, 30 days</v>
          </cell>
          <cell r="J1756" t="str">
            <v>Renewables</v>
          </cell>
          <cell r="K1756" t="str">
            <v>Solar (Rooftop)</v>
          </cell>
          <cell r="L1756" t="str">
            <v>Solar</v>
          </cell>
          <cell r="M1756" t="str">
            <v>Dx</v>
          </cell>
          <cell r="N1756" t="str">
            <v>Toronto</v>
          </cell>
          <cell r="O1756" t="str">
            <v>Toronto</v>
          </cell>
          <cell r="P1756" t="str">
            <v>Toronto</v>
          </cell>
        </row>
        <row r="1757">
          <cell r="C1757" t="str">
            <v>Southwest Middlesex Ground WPCP 500kW</v>
          </cell>
          <cell r="D1757" t="str">
            <v>Solar Income Fund LP (#5)</v>
          </cell>
          <cell r="E1757" t="str">
            <v>CO</v>
          </cell>
          <cell r="F1757">
            <v>42699</v>
          </cell>
          <cell r="G1757">
            <v>42300</v>
          </cell>
          <cell r="H1757">
            <v>49604</v>
          </cell>
          <cell r="I1757" t="str">
            <v>19 years, 11 months, 29 days</v>
          </cell>
          <cell r="J1757" t="str">
            <v>Renewables</v>
          </cell>
          <cell r="K1757" t="str">
            <v>Solar (Ground Mounted)</v>
          </cell>
          <cell r="L1757" t="str">
            <v>Solar</v>
          </cell>
          <cell r="M1757" t="str">
            <v>Dx</v>
          </cell>
          <cell r="N1757" t="str">
            <v>Glencoe</v>
          </cell>
          <cell r="O1757" t="str">
            <v>Middlesex</v>
          </cell>
          <cell r="P1757" t="str">
            <v>West</v>
          </cell>
        </row>
        <row r="1758">
          <cell r="C1758" t="str">
            <v>Maple Leaf PS</v>
          </cell>
          <cell r="D1758" t="str">
            <v>TSPS (Portfolio 2) Limited Partnership</v>
          </cell>
          <cell r="E1758" t="str">
            <v>CO</v>
          </cell>
          <cell r="F1758">
            <v>42604</v>
          </cell>
          <cell r="G1758">
            <v>42222</v>
          </cell>
          <cell r="H1758">
            <v>49526</v>
          </cell>
          <cell r="I1758" t="str">
            <v>19 years, 11 months, 30 days</v>
          </cell>
          <cell r="J1758" t="str">
            <v>Renewables</v>
          </cell>
          <cell r="K1758" t="str">
            <v>Solar (Rooftop)</v>
          </cell>
          <cell r="L1758" t="str">
            <v>Solar</v>
          </cell>
          <cell r="M1758" t="str">
            <v>Dx</v>
          </cell>
          <cell r="N1758" t="str">
            <v>Toronto</v>
          </cell>
          <cell r="O1758" t="str">
            <v>Toronto</v>
          </cell>
          <cell r="P1758" t="str">
            <v>Toronto</v>
          </cell>
        </row>
        <row r="1759">
          <cell r="C1759" t="str">
            <v>David Jones</v>
          </cell>
          <cell r="D1759" t="str">
            <v>SCCEC LP</v>
          </cell>
          <cell r="E1759" t="str">
            <v>CO</v>
          </cell>
          <cell r="F1759">
            <v>42097</v>
          </cell>
          <cell r="G1759">
            <v>42094</v>
          </cell>
          <cell r="H1759">
            <v>49398</v>
          </cell>
          <cell r="I1759" t="str">
            <v>19 years, 11 months, 27 days</v>
          </cell>
          <cell r="J1759" t="str">
            <v>Renewables</v>
          </cell>
          <cell r="K1759" t="str">
            <v>Solar (Rooftop)</v>
          </cell>
          <cell r="L1759" t="str">
            <v>Solar</v>
          </cell>
          <cell r="M1759" t="str">
            <v>Dx</v>
          </cell>
          <cell r="N1759" t="str">
            <v>Midland</v>
          </cell>
          <cell r="O1759" t="str">
            <v>Simcoe</v>
          </cell>
          <cell r="P1759" t="str">
            <v>Essa</v>
          </cell>
        </row>
        <row r="1760">
          <cell r="C1760" t="str">
            <v>Deep River Solar Project</v>
          </cell>
          <cell r="D1760" t="str">
            <v>Azgard Corporation</v>
          </cell>
          <cell r="E1760" t="str">
            <v>CO</v>
          </cell>
          <cell r="F1760">
            <v>42715</v>
          </cell>
          <cell r="G1760">
            <v>42564</v>
          </cell>
          <cell r="H1760">
            <v>49868</v>
          </cell>
          <cell r="I1760" t="str">
            <v>19 years, 11 months, 29 days</v>
          </cell>
          <cell r="J1760" t="str">
            <v>Renewables</v>
          </cell>
          <cell r="K1760" t="str">
            <v>Solar (Ground Mounted)</v>
          </cell>
          <cell r="L1760" t="str">
            <v>Solar</v>
          </cell>
          <cell r="M1760" t="str">
            <v>Dx</v>
          </cell>
          <cell r="N1760" t="str">
            <v>Deep River</v>
          </cell>
          <cell r="O1760" t="str">
            <v>Renfrew</v>
          </cell>
          <cell r="P1760" t="str">
            <v>Essa</v>
          </cell>
        </row>
        <row r="1761">
          <cell r="C1761" t="str">
            <v>Tracey Solar Garden - Lakeshore</v>
          </cell>
          <cell r="D1761" t="str">
            <v>2243893 Ontario Ltd.</v>
          </cell>
          <cell r="E1761" t="str">
            <v>CO</v>
          </cell>
          <cell r="F1761">
            <v>42761</v>
          </cell>
          <cell r="G1761">
            <v>42093</v>
          </cell>
          <cell r="H1761">
            <v>49397</v>
          </cell>
          <cell r="I1761" t="str">
            <v>19 years, 11 months, 27 days</v>
          </cell>
          <cell r="J1761" t="str">
            <v>Renewables</v>
          </cell>
          <cell r="K1761" t="str">
            <v>Solar (Ground Mounted)</v>
          </cell>
          <cell r="L1761" t="str">
            <v>Solar</v>
          </cell>
          <cell r="M1761" t="str">
            <v>Dx</v>
          </cell>
          <cell r="N1761" t="str">
            <v>Belle River</v>
          </cell>
          <cell r="O1761" t="str">
            <v>Essex</v>
          </cell>
          <cell r="P1761" t="str">
            <v>West</v>
          </cell>
        </row>
        <row r="1762">
          <cell r="C1762" t="str">
            <v>Willowdale MS</v>
          </cell>
          <cell r="D1762" t="str">
            <v>TSPS (Portfolio 2) Limited Partnership</v>
          </cell>
          <cell r="E1762" t="str">
            <v>CO</v>
          </cell>
          <cell r="F1762">
            <v>42616</v>
          </cell>
          <cell r="G1762">
            <v>42279</v>
          </cell>
          <cell r="H1762">
            <v>49583</v>
          </cell>
          <cell r="I1762" t="str">
            <v>19 years, 11 months, 29 days</v>
          </cell>
          <cell r="J1762" t="str">
            <v>Renewables</v>
          </cell>
          <cell r="K1762" t="str">
            <v>Solar (Rooftop)</v>
          </cell>
          <cell r="L1762" t="str">
            <v>Solar</v>
          </cell>
          <cell r="M1762" t="str">
            <v>Dx</v>
          </cell>
          <cell r="N1762" t="str">
            <v>Toronto</v>
          </cell>
          <cell r="O1762" t="str">
            <v>Toronto</v>
          </cell>
          <cell r="P1762" t="str">
            <v>Toronto</v>
          </cell>
        </row>
        <row r="1763">
          <cell r="C1763" t="str">
            <v>GOLDSTREAM - GRAVENHURST CC</v>
          </cell>
          <cell r="D1763" t="str">
            <v>GOLDSTREAM ECO ENERGY CAPITAL CORPORATION</v>
          </cell>
          <cell r="E1763" t="str">
            <v>CO</v>
          </cell>
          <cell r="F1763">
            <v>42097</v>
          </cell>
          <cell r="G1763">
            <v>42277</v>
          </cell>
          <cell r="H1763">
            <v>49401</v>
          </cell>
          <cell r="I1763" t="str">
            <v>19 years, 6 months, 3 days</v>
          </cell>
          <cell r="J1763" t="str">
            <v>Renewables</v>
          </cell>
          <cell r="K1763" t="str">
            <v>Solar (Rooftop)</v>
          </cell>
          <cell r="L1763" t="str">
            <v>Solar</v>
          </cell>
          <cell r="M1763" t="str">
            <v>Dx</v>
          </cell>
          <cell r="N1763" t="str">
            <v>Gravenhurst</v>
          </cell>
          <cell r="O1763" t="str">
            <v>Muskoka</v>
          </cell>
          <cell r="P1763" t="str">
            <v>Essa</v>
          </cell>
        </row>
        <row r="1764">
          <cell r="C1764" t="str">
            <v>Henry Kelsey Sr PS</v>
          </cell>
          <cell r="D1764" t="str">
            <v>TSPS (Portfolio 2) Limited Partnership</v>
          </cell>
          <cell r="E1764" t="str">
            <v>CO</v>
          </cell>
          <cell r="F1764">
            <v>42597</v>
          </cell>
          <cell r="G1764">
            <v>42338</v>
          </cell>
          <cell r="H1764">
            <v>49642</v>
          </cell>
          <cell r="I1764" t="str">
            <v>19 years, 11 months, 30 days</v>
          </cell>
          <cell r="J1764" t="str">
            <v>Renewables</v>
          </cell>
          <cell r="K1764" t="str">
            <v>Solar (Rooftop)</v>
          </cell>
          <cell r="L1764" t="str">
            <v>Solar</v>
          </cell>
          <cell r="M1764" t="str">
            <v>Dx</v>
          </cell>
          <cell r="N1764" t="str">
            <v>Toronto</v>
          </cell>
          <cell r="O1764" t="str">
            <v>Toronto</v>
          </cell>
          <cell r="P1764" t="str">
            <v>Toronto</v>
          </cell>
        </row>
        <row r="1765">
          <cell r="C1765" t="str">
            <v>YCDSB - St. James</v>
          </cell>
          <cell r="D1765" t="str">
            <v>Potentia Solar 7 Limited Partnership</v>
          </cell>
          <cell r="E1765" t="str">
            <v>CO</v>
          </cell>
          <cell r="F1765">
            <v>42068</v>
          </cell>
          <cell r="G1765">
            <v>42080</v>
          </cell>
          <cell r="H1765">
            <v>49372</v>
          </cell>
          <cell r="I1765" t="str">
            <v>19 years, 11 months, 15 days</v>
          </cell>
          <cell r="J1765" t="str">
            <v>Renewables</v>
          </cell>
          <cell r="K1765" t="str">
            <v>Solar (Rooftop)</v>
          </cell>
          <cell r="L1765" t="str">
            <v>Solar</v>
          </cell>
          <cell r="M1765" t="str">
            <v>Dx</v>
          </cell>
          <cell r="N1765" t="str">
            <v>Vaughan</v>
          </cell>
          <cell r="O1765" t="str">
            <v>York</v>
          </cell>
          <cell r="P1765" t="str">
            <v>Toronto</v>
          </cell>
        </row>
        <row r="1766">
          <cell r="C1766" t="str">
            <v>8 Gauvreau</v>
          </cell>
          <cell r="D1766" t="str">
            <v>Rural Energy Limited Partnership</v>
          </cell>
          <cell r="E1766" t="str">
            <v>CO</v>
          </cell>
          <cell r="F1766">
            <v>42757</v>
          </cell>
          <cell r="G1766">
            <v>42223</v>
          </cell>
          <cell r="H1766">
            <v>49527</v>
          </cell>
          <cell r="I1766" t="str">
            <v>19 years, 11 months, 30 days</v>
          </cell>
          <cell r="J1766" t="str">
            <v>Renewables</v>
          </cell>
          <cell r="K1766" t="str">
            <v>Solar (Ground Mounted)</v>
          </cell>
          <cell r="L1766" t="str">
            <v>Solar</v>
          </cell>
          <cell r="M1766" t="str">
            <v>Dx</v>
          </cell>
          <cell r="N1766" t="str">
            <v>Thornloe</v>
          </cell>
          <cell r="O1766" t="str">
            <v>Timiskaming</v>
          </cell>
          <cell r="P1766" t="str">
            <v>Northeast</v>
          </cell>
        </row>
        <row r="1767">
          <cell r="C1767" t="str">
            <v>Cripton Solar Farm</v>
          </cell>
          <cell r="D1767" t="str">
            <v>N&amp;G LP</v>
          </cell>
          <cell r="E1767" t="str">
            <v>CO</v>
          </cell>
          <cell r="F1767">
            <v>42604</v>
          </cell>
          <cell r="G1767">
            <v>42377</v>
          </cell>
          <cell r="H1767">
            <v>49681</v>
          </cell>
          <cell r="I1767" t="str">
            <v>19 years, 11 months, 30 days</v>
          </cell>
          <cell r="J1767" t="str">
            <v>Renewables</v>
          </cell>
          <cell r="K1767" t="str">
            <v>Solar (Ground Mounted)</v>
          </cell>
          <cell r="L1767" t="str">
            <v>Solar</v>
          </cell>
          <cell r="M1767" t="str">
            <v>Dx</v>
          </cell>
          <cell r="N1767" t="str">
            <v>Rockwood</v>
          </cell>
          <cell r="O1767" t="str">
            <v>Wellington</v>
          </cell>
          <cell r="P1767" t="str">
            <v>Southwest</v>
          </cell>
        </row>
        <row r="1768">
          <cell r="C1768" t="str">
            <v>Courcelette PS</v>
          </cell>
          <cell r="D1768" t="str">
            <v>TSPS (Portfolio 2) Limited Partnership</v>
          </cell>
          <cell r="E1768" t="str">
            <v>CO</v>
          </cell>
          <cell r="F1768">
            <v>42583</v>
          </cell>
          <cell r="G1768">
            <v>42696</v>
          </cell>
          <cell r="H1768">
            <v>49887</v>
          </cell>
          <cell r="I1768" t="str">
            <v>19 years, 8 months, 9 days</v>
          </cell>
          <cell r="J1768" t="str">
            <v>Renewables</v>
          </cell>
          <cell r="K1768" t="str">
            <v>Solar (Rooftop)</v>
          </cell>
          <cell r="L1768" t="str">
            <v>Solar</v>
          </cell>
          <cell r="M1768" t="str">
            <v>Dx</v>
          </cell>
          <cell r="N1768" t="str">
            <v>Toronto</v>
          </cell>
          <cell r="O1768" t="str">
            <v>Toronto</v>
          </cell>
          <cell r="P1768" t="str">
            <v>Toronto</v>
          </cell>
        </row>
        <row r="1769">
          <cell r="C1769" t="str">
            <v>Elkhorn PS</v>
          </cell>
          <cell r="D1769" t="str">
            <v>TSPS (Portfolio 2) Limited Partnership</v>
          </cell>
          <cell r="E1769" t="str">
            <v>CO</v>
          </cell>
          <cell r="F1769">
            <v>42588</v>
          </cell>
          <cell r="G1769">
            <v>42174</v>
          </cell>
          <cell r="H1769">
            <v>49478</v>
          </cell>
          <cell r="I1769" t="str">
            <v>19 years, 11 months, 30 days</v>
          </cell>
          <cell r="J1769" t="str">
            <v>Renewables</v>
          </cell>
          <cell r="K1769" t="str">
            <v>Solar (Rooftop)</v>
          </cell>
          <cell r="L1769" t="str">
            <v>Solar</v>
          </cell>
          <cell r="M1769" t="str">
            <v>Dx</v>
          </cell>
          <cell r="N1769" t="str">
            <v>Toronto</v>
          </cell>
          <cell r="O1769" t="str">
            <v>Toronto</v>
          </cell>
          <cell r="P1769" t="str">
            <v>Toronto</v>
          </cell>
        </row>
        <row r="1770">
          <cell r="C1770" t="str">
            <v>The Elms</v>
          </cell>
          <cell r="D1770" t="str">
            <v>TSPS (Portfolio 1) Limited Partnership</v>
          </cell>
          <cell r="E1770" t="str">
            <v>CO</v>
          </cell>
          <cell r="F1770">
            <v>42611</v>
          </cell>
          <cell r="G1770">
            <v>42545</v>
          </cell>
          <cell r="H1770">
            <v>49849</v>
          </cell>
          <cell r="I1770" t="str">
            <v>19 years, 11 months, 30 days</v>
          </cell>
          <cell r="J1770" t="str">
            <v>Renewables</v>
          </cell>
          <cell r="K1770" t="str">
            <v>Solar (Rooftop)</v>
          </cell>
          <cell r="L1770" t="str">
            <v>Solar</v>
          </cell>
          <cell r="M1770" t="str">
            <v>Dx</v>
          </cell>
          <cell r="N1770" t="str">
            <v>Toronto</v>
          </cell>
          <cell r="O1770" t="str">
            <v>Toronto</v>
          </cell>
          <cell r="P1770" t="str">
            <v>Toronto</v>
          </cell>
        </row>
        <row r="1771">
          <cell r="C1771" t="str">
            <v>70 Foster</v>
          </cell>
          <cell r="D1771" t="str">
            <v>Rural Energy Limited Partnership</v>
          </cell>
          <cell r="E1771" t="str">
            <v>CO</v>
          </cell>
          <cell r="F1771">
            <v>42807</v>
          </cell>
          <cell r="G1771">
            <v>42293</v>
          </cell>
          <cell r="H1771">
            <v>49597</v>
          </cell>
          <cell r="I1771" t="str">
            <v>19 years, 11 months, 29 days</v>
          </cell>
          <cell r="J1771" t="str">
            <v>Renewables</v>
          </cell>
          <cell r="K1771" t="str">
            <v>Solar (Ground Mounted)</v>
          </cell>
          <cell r="L1771" t="str">
            <v>Solar</v>
          </cell>
          <cell r="M1771" t="str">
            <v>Dx</v>
          </cell>
          <cell r="N1771" t="str">
            <v>Inverary</v>
          </cell>
          <cell r="O1771" t="str">
            <v>Frontenac</v>
          </cell>
          <cell r="P1771" t="str">
            <v>East</v>
          </cell>
        </row>
        <row r="1772">
          <cell r="C1772" t="str">
            <v>Hillmount PS</v>
          </cell>
          <cell r="D1772" t="str">
            <v>TSPS (Portfolio 2) Limited Partnership</v>
          </cell>
          <cell r="E1772" t="str">
            <v>CO</v>
          </cell>
          <cell r="F1772">
            <v>42597</v>
          </cell>
          <cell r="G1772">
            <v>42703</v>
          </cell>
          <cell r="H1772">
            <v>49901</v>
          </cell>
          <cell r="I1772" t="str">
            <v>19 years, 8 months, 16 days</v>
          </cell>
          <cell r="J1772" t="str">
            <v>Renewables</v>
          </cell>
          <cell r="K1772" t="str">
            <v>Solar (Rooftop)</v>
          </cell>
          <cell r="L1772" t="str">
            <v>Solar</v>
          </cell>
          <cell r="M1772" t="str">
            <v>Dx</v>
          </cell>
          <cell r="N1772" t="str">
            <v>Toronto</v>
          </cell>
          <cell r="O1772" t="str">
            <v>Toronto</v>
          </cell>
          <cell r="P1772" t="str">
            <v>Toronto</v>
          </cell>
        </row>
        <row r="1773">
          <cell r="C1773" t="str">
            <v>HAG - Station B1</v>
          </cell>
          <cell r="D1773" t="str">
            <v>Maxim Solar Power Corporation</v>
          </cell>
          <cell r="E1773" t="str">
            <v>CO</v>
          </cell>
          <cell r="F1773">
            <v>42658</v>
          </cell>
          <cell r="G1773">
            <v>42578</v>
          </cell>
          <cell r="H1773">
            <v>49882</v>
          </cell>
          <cell r="I1773" t="str">
            <v>19 years, 11 months, 29 days</v>
          </cell>
          <cell r="J1773" t="str">
            <v>Renewables</v>
          </cell>
          <cell r="K1773" t="str">
            <v>Solar (Ground Mounted)</v>
          </cell>
          <cell r="L1773" t="str">
            <v>Solar</v>
          </cell>
          <cell r="M1773" t="str">
            <v>Dx</v>
          </cell>
          <cell r="N1773" t="str">
            <v>Hagersville</v>
          </cell>
          <cell r="O1773" t="str">
            <v>Haldimand</v>
          </cell>
          <cell r="P1773" t="str">
            <v>Southwest</v>
          </cell>
        </row>
        <row r="1774">
          <cell r="C1774" t="str">
            <v>Rippleton PS</v>
          </cell>
          <cell r="D1774" t="str">
            <v>TSPS (Portfolio 2) Limited Partnership</v>
          </cell>
          <cell r="E1774" t="str">
            <v>CO</v>
          </cell>
          <cell r="F1774">
            <v>42609</v>
          </cell>
          <cell r="G1774">
            <v>42696</v>
          </cell>
          <cell r="H1774">
            <v>49913</v>
          </cell>
          <cell r="I1774" t="str">
            <v>19 years, 9 months, 4 days</v>
          </cell>
          <cell r="J1774" t="str">
            <v>Renewables</v>
          </cell>
          <cell r="K1774" t="str">
            <v>Solar (Rooftop)</v>
          </cell>
          <cell r="L1774" t="str">
            <v>Solar</v>
          </cell>
          <cell r="M1774" t="str">
            <v>Dx</v>
          </cell>
          <cell r="N1774" t="str">
            <v>Toronto</v>
          </cell>
          <cell r="O1774" t="str">
            <v>Toronto</v>
          </cell>
          <cell r="P1774" t="str">
            <v>Toronto</v>
          </cell>
        </row>
        <row r="1775">
          <cell r="C1775" t="str">
            <v>Dovercourt Junior PS</v>
          </cell>
          <cell r="D1775" t="str">
            <v>TSPS (Portfolio 2) Limited Partnership</v>
          </cell>
          <cell r="E1775" t="str">
            <v>CO</v>
          </cell>
          <cell r="F1775">
            <v>42588</v>
          </cell>
          <cell r="G1775">
            <v>42671</v>
          </cell>
          <cell r="H1775">
            <v>49892</v>
          </cell>
          <cell r="I1775" t="str">
            <v>19 years, 9 months, 8 days</v>
          </cell>
          <cell r="J1775" t="str">
            <v>Renewables</v>
          </cell>
          <cell r="K1775" t="str">
            <v>Solar (Rooftop)</v>
          </cell>
          <cell r="L1775" t="str">
            <v>Solar</v>
          </cell>
          <cell r="M1775" t="str">
            <v>Dx</v>
          </cell>
          <cell r="N1775" t="str">
            <v>Toronto</v>
          </cell>
          <cell r="O1775" t="str">
            <v>Toronto</v>
          </cell>
          <cell r="P1775" t="str">
            <v>Toronto</v>
          </cell>
        </row>
        <row r="1776">
          <cell r="C1776" t="str">
            <v>MIL-430 Industrial</v>
          </cell>
          <cell r="D1776" t="str">
            <v>Métis Nation of Ontario - BrightRoof Solar LP</v>
          </cell>
          <cell r="E1776" t="str">
            <v>CO</v>
          </cell>
          <cell r="F1776">
            <v>42102</v>
          </cell>
          <cell r="G1776">
            <v>42277</v>
          </cell>
          <cell r="H1776">
            <v>49406</v>
          </cell>
          <cell r="I1776" t="str">
            <v>19 years, 6 months, 8 days</v>
          </cell>
          <cell r="J1776" t="str">
            <v>Renewables</v>
          </cell>
          <cell r="K1776" t="str">
            <v>Solar (Rooftop)</v>
          </cell>
          <cell r="L1776" t="str">
            <v>Solar</v>
          </cell>
          <cell r="M1776" t="str">
            <v>Dx</v>
          </cell>
          <cell r="N1776" t="str">
            <v>Milton</v>
          </cell>
          <cell r="O1776" t="str">
            <v>Halton</v>
          </cell>
          <cell r="P1776" t="str">
            <v>Southwest</v>
          </cell>
        </row>
        <row r="1777">
          <cell r="C1777" t="str">
            <v>ARRRC Solar</v>
          </cell>
          <cell r="D1777" t="str">
            <v>Paid4Power Investments Inc.</v>
          </cell>
          <cell r="E1777" t="str">
            <v>CO</v>
          </cell>
          <cell r="F1777">
            <v>42112</v>
          </cell>
          <cell r="G1777">
            <v>42207</v>
          </cell>
          <cell r="H1777">
            <v>49416</v>
          </cell>
          <cell r="I1777" t="str">
            <v>19 years, 8 months, 26 days</v>
          </cell>
          <cell r="J1777" t="str">
            <v>Renewables</v>
          </cell>
          <cell r="K1777" t="str">
            <v>Solar (Rooftop)</v>
          </cell>
          <cell r="L1777" t="str">
            <v>Solar</v>
          </cell>
          <cell r="M1777" t="str">
            <v>Dx</v>
          </cell>
          <cell r="N1777" t="str">
            <v>Ruthven</v>
          </cell>
          <cell r="O1777" t="str">
            <v>Essex</v>
          </cell>
          <cell r="P1777" t="str">
            <v>West</v>
          </cell>
        </row>
        <row r="1778">
          <cell r="C1778" t="str">
            <v>Goshen Line</v>
          </cell>
          <cell r="D1778" t="str">
            <v>Eilers Farms (Ontario) Incorporated</v>
          </cell>
          <cell r="E1778" t="str">
            <v>CO</v>
          </cell>
          <cell r="F1778">
            <v>42602</v>
          </cell>
          <cell r="G1778">
            <v>42191</v>
          </cell>
          <cell r="H1778">
            <v>49495</v>
          </cell>
          <cell r="I1778" t="str">
            <v>19 years, 11 months, 29 days</v>
          </cell>
          <cell r="J1778" t="str">
            <v>Renewables</v>
          </cell>
          <cell r="K1778" t="str">
            <v>Bioenergy</v>
          </cell>
          <cell r="L1778" t="str">
            <v>Biogas</v>
          </cell>
          <cell r="M1778" t="str">
            <v>Dx</v>
          </cell>
          <cell r="N1778" t="str">
            <v>Zurich</v>
          </cell>
          <cell r="O1778" t="str">
            <v>Huron</v>
          </cell>
          <cell r="P1778" t="str">
            <v>Southwest</v>
          </cell>
        </row>
        <row r="1779">
          <cell r="C1779" t="str">
            <v>York Mills CI</v>
          </cell>
          <cell r="D1779" t="str">
            <v>TSPS (Portfolio 1) Limited Partnership</v>
          </cell>
          <cell r="E1779" t="str">
            <v>CO</v>
          </cell>
          <cell r="F1779">
            <v>42616</v>
          </cell>
          <cell r="G1779">
            <v>42361</v>
          </cell>
          <cell r="H1779">
            <v>49665</v>
          </cell>
          <cell r="I1779" t="str">
            <v>19 years, 11 months, 29 days</v>
          </cell>
          <cell r="J1779" t="str">
            <v>Renewables</v>
          </cell>
          <cell r="K1779" t="str">
            <v>Solar (Rooftop)</v>
          </cell>
          <cell r="L1779" t="str">
            <v>Solar</v>
          </cell>
          <cell r="M1779" t="str">
            <v>Dx</v>
          </cell>
          <cell r="N1779" t="str">
            <v>Toronto</v>
          </cell>
          <cell r="O1779" t="str">
            <v>Toronto</v>
          </cell>
          <cell r="P1779" t="str">
            <v>Toronto</v>
          </cell>
        </row>
        <row r="1780">
          <cell r="C1780" t="str">
            <v>Georgina WTP - Solar PV</v>
          </cell>
          <cell r="D1780" t="str">
            <v>The Regional Municipality of York</v>
          </cell>
          <cell r="E1780" t="str">
            <v>CO</v>
          </cell>
          <cell r="F1780">
            <v>42089</v>
          </cell>
          <cell r="G1780">
            <v>42086</v>
          </cell>
          <cell r="H1780">
            <v>49390</v>
          </cell>
          <cell r="I1780" t="str">
            <v>19 years, 11 months, 27 days</v>
          </cell>
          <cell r="J1780" t="str">
            <v>Renewables</v>
          </cell>
          <cell r="K1780" t="str">
            <v>Solar (Rooftop)</v>
          </cell>
          <cell r="L1780" t="str">
            <v>Solar</v>
          </cell>
          <cell r="M1780" t="str">
            <v>Dx</v>
          </cell>
          <cell r="N1780" t="str">
            <v>Willow Beach</v>
          </cell>
          <cell r="O1780" t="str">
            <v>York</v>
          </cell>
          <cell r="P1780" t="str">
            <v>Essa</v>
          </cell>
        </row>
        <row r="1781">
          <cell r="C1781" t="str">
            <v>3026page</v>
          </cell>
          <cell r="D1781" t="str">
            <v>Métis Nation of Ontario - BrightRoof Solar LP</v>
          </cell>
          <cell r="E1781" t="str">
            <v>CO</v>
          </cell>
          <cell r="F1781">
            <v>42102</v>
          </cell>
          <cell r="G1781">
            <v>42209</v>
          </cell>
          <cell r="H1781">
            <v>49406</v>
          </cell>
          <cell r="I1781" t="str">
            <v>19 years, 8 months, 14 days</v>
          </cell>
          <cell r="J1781" t="str">
            <v>Renewables</v>
          </cell>
          <cell r="K1781" t="str">
            <v>Solar (Rooftop)</v>
          </cell>
          <cell r="L1781" t="str">
            <v>Solar</v>
          </cell>
          <cell r="M1781" t="str">
            <v>Dx</v>
          </cell>
          <cell r="N1781" t="str">
            <v>London</v>
          </cell>
          <cell r="O1781" t="str">
            <v>Middlesex</v>
          </cell>
          <cell r="P1781" t="str">
            <v>West</v>
          </cell>
        </row>
        <row r="1782">
          <cell r="C1782" t="str">
            <v>Adam Beck JPS</v>
          </cell>
          <cell r="D1782" t="str">
            <v>TSPS (Portfolio 2) Limited Partnership</v>
          </cell>
          <cell r="E1782" t="str">
            <v>CO</v>
          </cell>
          <cell r="F1782">
            <v>42616</v>
          </cell>
          <cell r="G1782">
            <v>42608</v>
          </cell>
          <cell r="H1782">
            <v>49912</v>
          </cell>
          <cell r="I1782" t="str">
            <v>19 years, 11 months, 30 days</v>
          </cell>
          <cell r="J1782" t="str">
            <v>Renewables</v>
          </cell>
          <cell r="K1782" t="str">
            <v>Solar (Rooftop)</v>
          </cell>
          <cell r="L1782" t="str">
            <v>Solar</v>
          </cell>
          <cell r="M1782" t="str">
            <v>Dx</v>
          </cell>
          <cell r="N1782" t="str">
            <v>Toronto</v>
          </cell>
          <cell r="O1782" t="str">
            <v>Toronto</v>
          </cell>
          <cell r="P1782" t="str">
            <v>Toronto</v>
          </cell>
        </row>
        <row r="1783">
          <cell r="C1783" t="str">
            <v>57 - Ed Donkers</v>
          </cell>
          <cell r="D1783" t="str">
            <v>SIF-AMBER PROJECTS LP</v>
          </cell>
          <cell r="E1783" t="str">
            <v>CO</v>
          </cell>
          <cell r="F1783">
            <v>42056</v>
          </cell>
          <cell r="G1783">
            <v>42235</v>
          </cell>
          <cell r="H1783">
            <v>49360</v>
          </cell>
          <cell r="I1783" t="str">
            <v>19 years, 6 months, 1 days</v>
          </cell>
          <cell r="J1783" t="str">
            <v>Renewables</v>
          </cell>
          <cell r="K1783" t="str">
            <v>Solar (Rooftop)</v>
          </cell>
          <cell r="L1783" t="str">
            <v>Solar</v>
          </cell>
          <cell r="M1783" t="str">
            <v>Dx</v>
          </cell>
          <cell r="N1783" t="str">
            <v>St. Thomas</v>
          </cell>
          <cell r="O1783" t="str">
            <v>Elgin</v>
          </cell>
          <cell r="P1783" t="str">
            <v>West</v>
          </cell>
        </row>
        <row r="1784">
          <cell r="C1784" t="str">
            <v>Lucy Maud Montgomery PS</v>
          </cell>
          <cell r="D1784" t="str">
            <v>TSPS (Portfolio 2) Limited Partnership</v>
          </cell>
          <cell r="E1784" t="str">
            <v>CO</v>
          </cell>
          <cell r="F1784">
            <v>42602</v>
          </cell>
          <cell r="G1784">
            <v>42622</v>
          </cell>
          <cell r="H1784">
            <v>49906</v>
          </cell>
          <cell r="I1784" t="str">
            <v>19 years, 11 months, 10 days</v>
          </cell>
          <cell r="J1784" t="str">
            <v>Renewables</v>
          </cell>
          <cell r="K1784" t="str">
            <v>Solar (Rooftop)</v>
          </cell>
          <cell r="L1784" t="str">
            <v>Solar</v>
          </cell>
          <cell r="M1784" t="str">
            <v>Dx</v>
          </cell>
          <cell r="N1784" t="str">
            <v>Toronto</v>
          </cell>
          <cell r="O1784" t="str">
            <v>Toronto</v>
          </cell>
          <cell r="P1784" t="str">
            <v>Toronto</v>
          </cell>
        </row>
        <row r="1785">
          <cell r="C1785" t="str">
            <v>Northview Heights SS</v>
          </cell>
          <cell r="D1785" t="str">
            <v>TSPS (Portfolio 1) Limited Partnership</v>
          </cell>
          <cell r="E1785" t="str">
            <v>CO</v>
          </cell>
          <cell r="F1785">
            <v>42604</v>
          </cell>
          <cell r="G1785">
            <v>42545</v>
          </cell>
          <cell r="H1785">
            <v>49849</v>
          </cell>
          <cell r="I1785" t="str">
            <v>19 years, 11 months, 30 days</v>
          </cell>
          <cell r="J1785" t="str">
            <v>Renewables</v>
          </cell>
          <cell r="K1785" t="str">
            <v>Solar (Rooftop)</v>
          </cell>
          <cell r="L1785" t="str">
            <v>Solar</v>
          </cell>
          <cell r="M1785" t="str">
            <v>Dx</v>
          </cell>
          <cell r="N1785" t="str">
            <v>Toronto</v>
          </cell>
          <cell r="O1785" t="str">
            <v>Toronto</v>
          </cell>
          <cell r="P1785" t="str">
            <v>Toronto</v>
          </cell>
        </row>
        <row r="1786">
          <cell r="C1786" t="str">
            <v>Eglinton Jr PS (new school)</v>
          </cell>
          <cell r="D1786" t="str">
            <v>TSPS (Portfolio 2) Limited Partnership</v>
          </cell>
          <cell r="E1786" t="str">
            <v>CO</v>
          </cell>
          <cell r="F1786">
            <v>42588</v>
          </cell>
          <cell r="G1786">
            <v>42695</v>
          </cell>
          <cell r="H1786">
            <v>49892</v>
          </cell>
          <cell r="I1786" t="str">
            <v>19 years, 8 months, 15 days</v>
          </cell>
          <cell r="J1786" t="str">
            <v>Renewables</v>
          </cell>
          <cell r="K1786" t="str">
            <v>Solar (Rooftop)</v>
          </cell>
          <cell r="L1786" t="str">
            <v>Solar</v>
          </cell>
          <cell r="M1786" t="str">
            <v>Dx</v>
          </cell>
          <cell r="N1786" t="str">
            <v>Toronto</v>
          </cell>
          <cell r="O1786" t="str">
            <v>Toronto</v>
          </cell>
          <cell r="P1786" t="str">
            <v>Toronto</v>
          </cell>
        </row>
        <row r="1787">
          <cell r="C1787" t="str">
            <v>Dresden Ag Society</v>
          </cell>
          <cell r="D1787" t="str">
            <v>Boost Power II Limited Partnership</v>
          </cell>
          <cell r="E1787" t="str">
            <v>CO</v>
          </cell>
          <cell r="F1787">
            <v>42200</v>
          </cell>
          <cell r="G1787">
            <v>42416</v>
          </cell>
          <cell r="H1787">
            <v>49504</v>
          </cell>
          <cell r="I1787" t="str">
            <v>19 years, 4 months, 28 days</v>
          </cell>
          <cell r="J1787" t="str">
            <v>Renewables</v>
          </cell>
          <cell r="K1787" t="str">
            <v>Solar (Rooftop)</v>
          </cell>
          <cell r="L1787" t="str">
            <v>Solar</v>
          </cell>
          <cell r="M1787" t="str">
            <v>Dx</v>
          </cell>
          <cell r="N1787" t="str">
            <v>Dresden</v>
          </cell>
          <cell r="O1787" t="str">
            <v>Chatham-Kent</v>
          </cell>
          <cell r="P1787" t="str">
            <v>West</v>
          </cell>
        </row>
        <row r="1788">
          <cell r="C1788" t="str">
            <v>Woburn Jr PS</v>
          </cell>
          <cell r="D1788" t="str">
            <v>TSPS (Portfolio 1) Limited Partnership</v>
          </cell>
          <cell r="E1788" t="str">
            <v>CO</v>
          </cell>
          <cell r="F1788">
            <v>42616</v>
          </cell>
          <cell r="G1788">
            <v>42040</v>
          </cell>
          <cell r="H1788">
            <v>49344</v>
          </cell>
          <cell r="I1788" t="str">
            <v>19 years, 11 months, 30 days</v>
          </cell>
          <cell r="J1788" t="str">
            <v>Renewables</v>
          </cell>
          <cell r="K1788" t="str">
            <v>Solar (Rooftop)</v>
          </cell>
          <cell r="L1788" t="str">
            <v>Solar</v>
          </cell>
          <cell r="M1788" t="str">
            <v>Dx</v>
          </cell>
          <cell r="N1788" t="str">
            <v>Toronto</v>
          </cell>
          <cell r="O1788" t="str">
            <v>Toronto</v>
          </cell>
          <cell r="P1788" t="str">
            <v>Toronto</v>
          </cell>
        </row>
        <row r="1789">
          <cell r="C1789" t="str">
            <v>George S Henry Academy</v>
          </cell>
          <cell r="D1789" t="str">
            <v>TSPS (Portfolio 2) Limited Partnership</v>
          </cell>
          <cell r="E1789" t="str">
            <v>CO</v>
          </cell>
          <cell r="F1789">
            <v>42597</v>
          </cell>
          <cell r="G1789">
            <v>42702</v>
          </cell>
          <cell r="H1789">
            <v>49901</v>
          </cell>
          <cell r="I1789" t="str">
            <v>19 years, 8 months, 17 days</v>
          </cell>
          <cell r="J1789" t="str">
            <v>Renewables</v>
          </cell>
          <cell r="K1789" t="str">
            <v>Solar (Rooftop)</v>
          </cell>
          <cell r="L1789" t="str">
            <v>Solar</v>
          </cell>
          <cell r="M1789" t="str">
            <v>Dx</v>
          </cell>
          <cell r="N1789" t="str">
            <v>Toronto</v>
          </cell>
          <cell r="O1789" t="str">
            <v>Toronto</v>
          </cell>
          <cell r="P1789" t="str">
            <v>Toronto</v>
          </cell>
        </row>
        <row r="1790">
          <cell r="C1790" t="str">
            <v>Donnandale Farms (Phase 2)</v>
          </cell>
          <cell r="D1790" t="str">
            <v>Ridgeline Farms Inc.</v>
          </cell>
          <cell r="E1790" t="str">
            <v>CO</v>
          </cell>
          <cell r="F1790">
            <v>42623</v>
          </cell>
          <cell r="G1790">
            <v>42107</v>
          </cell>
          <cell r="H1790">
            <v>49411</v>
          </cell>
          <cell r="I1790" t="str">
            <v>19 years, 11 months, 30 days</v>
          </cell>
          <cell r="J1790" t="str">
            <v>Renewables</v>
          </cell>
          <cell r="K1790" t="str">
            <v>Bioenergy</v>
          </cell>
          <cell r="L1790" t="str">
            <v>Biogas (On-Farm)</v>
          </cell>
          <cell r="M1790" t="str">
            <v>Dx</v>
          </cell>
          <cell r="N1790" t="str">
            <v>Stirling</v>
          </cell>
          <cell r="O1790" t="str">
            <v>Hastings</v>
          </cell>
          <cell r="P1790" t="str">
            <v>East</v>
          </cell>
        </row>
        <row r="1791">
          <cell r="C1791" t="str">
            <v>Stilecroft PS</v>
          </cell>
          <cell r="D1791" t="str">
            <v>TSPS (Portfolio 2) Limited Partnership</v>
          </cell>
          <cell r="E1791" t="str">
            <v>CO</v>
          </cell>
          <cell r="F1791">
            <v>42611</v>
          </cell>
          <cell r="G1791">
            <v>42643</v>
          </cell>
          <cell r="H1791">
            <v>49915</v>
          </cell>
          <cell r="I1791" t="str">
            <v>19 years, 10 months, 29 days</v>
          </cell>
          <cell r="J1791" t="str">
            <v>Renewables</v>
          </cell>
          <cell r="K1791" t="str">
            <v>Solar (Rooftop)</v>
          </cell>
          <cell r="L1791" t="str">
            <v>Solar</v>
          </cell>
          <cell r="M1791" t="str">
            <v>Dx</v>
          </cell>
          <cell r="N1791" t="str">
            <v>Toronto</v>
          </cell>
          <cell r="O1791" t="str">
            <v>Toronto</v>
          </cell>
          <cell r="P1791" t="str">
            <v>Toronto</v>
          </cell>
        </row>
        <row r="1792">
          <cell r="C1792" t="str">
            <v>Baltimore Recreation Centre</v>
          </cell>
          <cell r="D1792" t="str">
            <v>SE7 2013 LP</v>
          </cell>
          <cell r="E1792" t="str">
            <v>CO</v>
          </cell>
          <cell r="F1792">
            <v>42056</v>
          </cell>
          <cell r="G1792">
            <v>42178</v>
          </cell>
          <cell r="H1792">
            <v>49360</v>
          </cell>
          <cell r="I1792" t="str">
            <v>19 years, 7 months, 28 days</v>
          </cell>
          <cell r="J1792" t="str">
            <v>Renewables</v>
          </cell>
          <cell r="K1792" t="str">
            <v>Solar (Rooftop)</v>
          </cell>
          <cell r="L1792" t="str">
            <v>Solar</v>
          </cell>
          <cell r="M1792" t="str">
            <v>Dx</v>
          </cell>
          <cell r="N1792" t="str">
            <v>Baltimore</v>
          </cell>
          <cell r="O1792" t="str">
            <v>Northumberland</v>
          </cell>
          <cell r="P1792" t="str">
            <v>East</v>
          </cell>
        </row>
        <row r="1793">
          <cell r="C1793" t="str">
            <v>Eek King St</v>
          </cell>
          <cell r="D1793" t="str">
            <v>9375899 Canada Ltd.</v>
          </cell>
          <cell r="E1793" t="str">
            <v>CO</v>
          </cell>
          <cell r="F1793">
            <v>42070</v>
          </cell>
          <cell r="G1793">
            <v>42275</v>
          </cell>
          <cell r="H1793">
            <v>49374</v>
          </cell>
          <cell r="I1793" t="str">
            <v>19 years, 5 months, 6 days</v>
          </cell>
          <cell r="J1793" t="str">
            <v>Renewables</v>
          </cell>
          <cell r="K1793" t="str">
            <v>Solar (Rooftop)</v>
          </cell>
          <cell r="L1793" t="str">
            <v>Solar</v>
          </cell>
          <cell r="M1793" t="str">
            <v>Dx</v>
          </cell>
          <cell r="N1793" t="str">
            <v>Newmarket</v>
          </cell>
          <cell r="O1793" t="str">
            <v>York</v>
          </cell>
          <cell r="P1793" t="str">
            <v>Essa</v>
          </cell>
        </row>
        <row r="1794">
          <cell r="C1794" t="str">
            <v>Blessed Kateri Catholic Elementary School</v>
          </cell>
          <cell r="D1794" t="str">
            <v>Potentia Solar 6 Limited Partnership</v>
          </cell>
          <cell r="E1794" t="str">
            <v>CO</v>
          </cell>
          <cell r="F1794">
            <v>42097</v>
          </cell>
          <cell r="G1794">
            <v>42250</v>
          </cell>
          <cell r="H1794">
            <v>49401</v>
          </cell>
          <cell r="I1794" t="str">
            <v>19 years, 6 months, 30 days</v>
          </cell>
          <cell r="J1794" t="str">
            <v>Renewables</v>
          </cell>
          <cell r="K1794" t="str">
            <v>Solar (Rooftop)</v>
          </cell>
          <cell r="L1794" t="str">
            <v>Solar</v>
          </cell>
          <cell r="M1794" t="str">
            <v>Dx</v>
          </cell>
          <cell r="N1794" t="str">
            <v>Kitchener</v>
          </cell>
          <cell r="O1794" t="str">
            <v>Waterloo</v>
          </cell>
          <cell r="P1794" t="str">
            <v>Southwest</v>
          </cell>
        </row>
        <row r="1795">
          <cell r="C1795" t="str">
            <v>Uhthoff Ground</v>
          </cell>
          <cell r="D1795" t="str">
            <v>Charter Construction Limited</v>
          </cell>
          <cell r="E1795" t="str">
            <v>CO</v>
          </cell>
          <cell r="F1795">
            <v>42761</v>
          </cell>
          <cell r="G1795">
            <v>42272</v>
          </cell>
          <cell r="H1795">
            <v>49576</v>
          </cell>
          <cell r="I1795" t="str">
            <v>19 years, 11 months, 30 days</v>
          </cell>
          <cell r="J1795" t="str">
            <v>Renewables</v>
          </cell>
          <cell r="K1795" t="str">
            <v>Solar (Ground Mounted)</v>
          </cell>
          <cell r="L1795" t="str">
            <v>Solar</v>
          </cell>
          <cell r="M1795" t="str">
            <v>Dx</v>
          </cell>
          <cell r="N1795" t="str">
            <v>Orillia</v>
          </cell>
          <cell r="O1795" t="str">
            <v>Simcoe</v>
          </cell>
          <cell r="P1795" t="str">
            <v>Essa</v>
          </cell>
        </row>
        <row r="1796">
          <cell r="C1796" t="str">
            <v>Ellesmere-Statton PS</v>
          </cell>
          <cell r="D1796" t="str">
            <v>TSPS (Portfolio 1) Limited Partnership</v>
          </cell>
          <cell r="E1796" t="str">
            <v>CO</v>
          </cell>
          <cell r="F1796">
            <v>42588</v>
          </cell>
          <cell r="G1796">
            <v>42510</v>
          </cell>
          <cell r="H1796">
            <v>49814</v>
          </cell>
          <cell r="I1796" t="str">
            <v>19 years, 11 months, 29 days</v>
          </cell>
          <cell r="J1796" t="str">
            <v>Renewables</v>
          </cell>
          <cell r="K1796" t="str">
            <v>Solar (Rooftop)</v>
          </cell>
          <cell r="L1796" t="str">
            <v>Solar</v>
          </cell>
          <cell r="M1796" t="str">
            <v>Dx</v>
          </cell>
          <cell r="N1796" t="str">
            <v>Toronto</v>
          </cell>
          <cell r="O1796" t="str">
            <v>Toronto</v>
          </cell>
          <cell r="P1796" t="str">
            <v>Toronto</v>
          </cell>
        </row>
        <row r="1797">
          <cell r="C1797" t="str">
            <v>Millwood JS</v>
          </cell>
          <cell r="D1797" t="str">
            <v>TSPS (Portfolio 2) Limited Partnership</v>
          </cell>
          <cell r="E1797" t="str">
            <v>CO</v>
          </cell>
          <cell r="F1797">
            <v>42604</v>
          </cell>
          <cell r="G1797">
            <v>42696</v>
          </cell>
          <cell r="H1797">
            <v>49908</v>
          </cell>
          <cell r="I1797" t="str">
            <v>19 years, 8 months, 30 days</v>
          </cell>
          <cell r="J1797" t="str">
            <v>Renewables</v>
          </cell>
          <cell r="K1797" t="str">
            <v>Solar (Rooftop)</v>
          </cell>
          <cell r="L1797" t="str">
            <v>Solar</v>
          </cell>
          <cell r="M1797" t="str">
            <v>Dx</v>
          </cell>
          <cell r="N1797" t="str">
            <v>Toronto</v>
          </cell>
          <cell r="O1797" t="str">
            <v>Toronto</v>
          </cell>
          <cell r="P1797" t="str">
            <v>Toronto</v>
          </cell>
        </row>
        <row r="1798">
          <cell r="C1798" t="str">
            <v>J03-575 Industrial</v>
          </cell>
          <cell r="D1798" t="str">
            <v>8180792 Canada Inc.</v>
          </cell>
          <cell r="E1798" t="str">
            <v>CO</v>
          </cell>
          <cell r="F1798">
            <v>42089</v>
          </cell>
          <cell r="G1798">
            <v>42244</v>
          </cell>
          <cell r="H1798">
            <v>49393</v>
          </cell>
          <cell r="I1798" t="str">
            <v>19 years, 6 months, 25 days</v>
          </cell>
          <cell r="J1798" t="str">
            <v>Renewables</v>
          </cell>
          <cell r="K1798" t="str">
            <v>Solar (Rooftop)</v>
          </cell>
          <cell r="L1798" t="str">
            <v>Solar</v>
          </cell>
          <cell r="M1798" t="str">
            <v>Dx</v>
          </cell>
          <cell r="N1798" t="str">
            <v>London</v>
          </cell>
          <cell r="O1798" t="str">
            <v>Middlesex</v>
          </cell>
          <cell r="P1798" t="str">
            <v>West</v>
          </cell>
        </row>
        <row r="1799">
          <cell r="C1799" t="str">
            <v>85 CORSTATE SOLAR</v>
          </cell>
          <cell r="D1799" t="str">
            <v>1839953 ONTARIO LTD.</v>
          </cell>
          <cell r="E1799" t="str">
            <v>CO</v>
          </cell>
          <cell r="F1799">
            <v>42070</v>
          </cell>
          <cell r="G1799">
            <v>41820</v>
          </cell>
          <cell r="H1799">
            <v>49124</v>
          </cell>
          <cell r="I1799" t="str">
            <v>19 years, 11 months, 30 days</v>
          </cell>
          <cell r="J1799" t="str">
            <v>Renewables</v>
          </cell>
          <cell r="K1799" t="str">
            <v>Solar (Rooftop)</v>
          </cell>
          <cell r="L1799" t="str">
            <v>Solar</v>
          </cell>
          <cell r="M1799" t="str">
            <v>Dx</v>
          </cell>
          <cell r="N1799" t="str">
            <v>Concord</v>
          </cell>
          <cell r="O1799" t="str">
            <v>York</v>
          </cell>
          <cell r="P1799" t="str">
            <v>Toronto</v>
          </cell>
        </row>
        <row r="1800">
          <cell r="C1800" t="str">
            <v>Monoway Farms Solar</v>
          </cell>
          <cell r="D1800" t="str">
            <v>Monoway Farms Limited</v>
          </cell>
          <cell r="E1800" t="str">
            <v>CO</v>
          </cell>
          <cell r="F1800">
            <v>42095</v>
          </cell>
          <cell r="G1800">
            <v>42104</v>
          </cell>
          <cell r="H1800">
            <v>49399</v>
          </cell>
          <cell r="I1800" t="str">
            <v>19 years, 11 months, 21 days</v>
          </cell>
          <cell r="J1800" t="str">
            <v>Renewables</v>
          </cell>
          <cell r="K1800" t="str">
            <v>Solar (Rooftop)</v>
          </cell>
          <cell r="L1800" t="str">
            <v>Solar</v>
          </cell>
          <cell r="M1800" t="str">
            <v>Dx</v>
          </cell>
          <cell r="N1800" t="str">
            <v>Brussels</v>
          </cell>
          <cell r="O1800" t="str">
            <v>Huron</v>
          </cell>
          <cell r="P1800" t="str">
            <v>Southwest</v>
          </cell>
        </row>
        <row r="1801">
          <cell r="C1801" t="str">
            <v>Copps Solar</v>
          </cell>
          <cell r="D1801" t="str">
            <v>Copp Limited</v>
          </cell>
          <cell r="E1801" t="str">
            <v>CO</v>
          </cell>
          <cell r="F1801">
            <v>42061</v>
          </cell>
          <cell r="G1801">
            <v>42241</v>
          </cell>
          <cell r="H1801">
            <v>49365</v>
          </cell>
          <cell r="I1801" t="str">
            <v>19 years, 6 months, 0 days</v>
          </cell>
          <cell r="J1801" t="str">
            <v>Renewables</v>
          </cell>
          <cell r="K1801" t="str">
            <v>Solar (Rooftop)</v>
          </cell>
          <cell r="L1801" t="str">
            <v>Solar</v>
          </cell>
          <cell r="M1801" t="str">
            <v>Dx</v>
          </cell>
          <cell r="N1801" t="str">
            <v>London</v>
          </cell>
          <cell r="O1801" t="str">
            <v>Middlesex</v>
          </cell>
          <cell r="P1801" t="str">
            <v>West</v>
          </cell>
        </row>
        <row r="1802">
          <cell r="C1802" t="str">
            <v>Stanley PS</v>
          </cell>
          <cell r="D1802" t="str">
            <v>TSPS (Portfolio 2) Limited Partnership</v>
          </cell>
          <cell r="E1802" t="str">
            <v>CO</v>
          </cell>
          <cell r="F1802">
            <v>42611</v>
          </cell>
          <cell r="G1802">
            <v>42643</v>
          </cell>
          <cell r="H1802">
            <v>49915</v>
          </cell>
          <cell r="I1802" t="str">
            <v>19 years, 10 months, 29 days</v>
          </cell>
          <cell r="J1802" t="str">
            <v>Renewables</v>
          </cell>
          <cell r="K1802" t="str">
            <v>Solar (Rooftop)</v>
          </cell>
          <cell r="L1802" t="str">
            <v>Solar</v>
          </cell>
          <cell r="M1802" t="str">
            <v>Dx</v>
          </cell>
          <cell r="N1802" t="str">
            <v>Toronto</v>
          </cell>
          <cell r="O1802" t="str">
            <v>Toronto</v>
          </cell>
          <cell r="P1802" t="str">
            <v>Toronto</v>
          </cell>
        </row>
        <row r="1803">
          <cell r="C1803" t="str">
            <v>26KevinMcGuckin10</v>
          </cell>
          <cell r="D1803" t="str">
            <v>J. Dowswell Farms Ltd.</v>
          </cell>
          <cell r="E1803" t="str">
            <v>CO</v>
          </cell>
          <cell r="F1803">
            <v>42102</v>
          </cell>
          <cell r="G1803">
            <v>41849</v>
          </cell>
          <cell r="H1803">
            <v>49153</v>
          </cell>
          <cell r="I1803" t="str">
            <v>19 years, 11 months, 29 days</v>
          </cell>
          <cell r="J1803" t="str">
            <v>Renewables</v>
          </cell>
          <cell r="K1803" t="str">
            <v>Solar (Rooftop)</v>
          </cell>
          <cell r="L1803" t="str">
            <v>Solar</v>
          </cell>
          <cell r="M1803" t="str">
            <v>Dx</v>
          </cell>
          <cell r="N1803" t="str">
            <v>Woodville</v>
          </cell>
          <cell r="O1803" t="str">
            <v>Kawartha Lakes</v>
          </cell>
          <cell r="P1803" t="str">
            <v>Essa</v>
          </cell>
        </row>
        <row r="1804">
          <cell r="C1804" t="str">
            <v>HAG - Station A</v>
          </cell>
          <cell r="D1804" t="str">
            <v>Maxim Solar Power Corporation</v>
          </cell>
          <cell r="E1804" t="str">
            <v>CO</v>
          </cell>
          <cell r="F1804">
            <v>42658</v>
          </cell>
          <cell r="G1804">
            <v>42549</v>
          </cell>
          <cell r="H1804">
            <v>49853</v>
          </cell>
          <cell r="I1804" t="str">
            <v>19 years, 11 months, 30 days</v>
          </cell>
          <cell r="J1804" t="str">
            <v>Renewables</v>
          </cell>
          <cell r="K1804" t="str">
            <v>Solar (Ground Mounted)</v>
          </cell>
          <cell r="L1804" t="str">
            <v>Solar</v>
          </cell>
          <cell r="M1804" t="str">
            <v>Dx</v>
          </cell>
          <cell r="N1804" t="str">
            <v>Hagersville</v>
          </cell>
          <cell r="O1804" t="str">
            <v>Haldimand</v>
          </cell>
          <cell r="P1804" t="str">
            <v>Southwest</v>
          </cell>
        </row>
        <row r="1805">
          <cell r="C1805" t="str">
            <v>Holy Spirit Catholic Elementary School</v>
          </cell>
          <cell r="D1805" t="str">
            <v>Potentia Solar 6 Limited Partnership</v>
          </cell>
          <cell r="E1805" t="str">
            <v>CO</v>
          </cell>
          <cell r="F1805">
            <v>42102</v>
          </cell>
          <cell r="G1805">
            <v>42276</v>
          </cell>
          <cell r="H1805">
            <v>49406</v>
          </cell>
          <cell r="I1805" t="str">
            <v>19 years, 6 months, 9 days</v>
          </cell>
          <cell r="J1805" t="str">
            <v>Renewables</v>
          </cell>
          <cell r="K1805" t="str">
            <v>Solar (Rooftop)</v>
          </cell>
          <cell r="L1805" t="str">
            <v>Solar</v>
          </cell>
          <cell r="M1805" t="str">
            <v>Dx</v>
          </cell>
          <cell r="N1805" t="str">
            <v>Cambridge</v>
          </cell>
          <cell r="O1805" t="str">
            <v>Waterloo</v>
          </cell>
          <cell r="P1805" t="str">
            <v>Southwest</v>
          </cell>
        </row>
        <row r="1806">
          <cell r="C1806" t="str">
            <v>AGRIS Solar (Sophiasburgh - West #2)</v>
          </cell>
          <cell r="D1806" t="str">
            <v>AGRIS Solar Co-operative Inc.</v>
          </cell>
          <cell r="E1806" t="str">
            <v>CO</v>
          </cell>
          <cell r="F1806">
            <v>42723</v>
          </cell>
          <cell r="G1806">
            <v>42753</v>
          </cell>
          <cell r="H1806">
            <v>50027</v>
          </cell>
          <cell r="I1806" t="str">
            <v>19 years, 11 months, 0 days</v>
          </cell>
          <cell r="J1806" t="str">
            <v>Renewables</v>
          </cell>
          <cell r="K1806" t="str">
            <v>Solar (Ground Mounted)</v>
          </cell>
          <cell r="L1806" t="str">
            <v>Solar</v>
          </cell>
          <cell r="M1806" t="str">
            <v>Dx</v>
          </cell>
          <cell r="N1806" t="str">
            <v>Demorestville</v>
          </cell>
          <cell r="O1806" t="str">
            <v>Prince Edward</v>
          </cell>
          <cell r="P1806" t="str">
            <v>East</v>
          </cell>
        </row>
        <row r="1807">
          <cell r="C1807" t="str">
            <v>7 Gorecki</v>
          </cell>
          <cell r="D1807" t="str">
            <v>Rural Energy Limited Partnership</v>
          </cell>
          <cell r="E1807" t="str">
            <v>CO</v>
          </cell>
          <cell r="F1807">
            <v>42757</v>
          </cell>
          <cell r="G1807">
            <v>42426</v>
          </cell>
          <cell r="H1807">
            <v>49730</v>
          </cell>
          <cell r="I1807" t="str">
            <v>19 years, 11 months, 30 days</v>
          </cell>
          <cell r="J1807" t="str">
            <v>Renewables</v>
          </cell>
          <cell r="K1807" t="str">
            <v>Solar (Ground Mounted)</v>
          </cell>
          <cell r="L1807" t="str">
            <v>Solar</v>
          </cell>
          <cell r="M1807" t="str">
            <v>Dx</v>
          </cell>
          <cell r="N1807" t="str">
            <v>Englehart</v>
          </cell>
          <cell r="O1807" t="str">
            <v>Timiskaming</v>
          </cell>
          <cell r="P1807" t="str">
            <v>Northeast</v>
          </cell>
        </row>
        <row r="1808">
          <cell r="C1808" t="str">
            <v>Military Trail PS</v>
          </cell>
          <cell r="D1808" t="str">
            <v>TSPS (Portfolio 2) Limited Partnership</v>
          </cell>
          <cell r="E1808" t="str">
            <v>CO</v>
          </cell>
          <cell r="F1808">
            <v>42604</v>
          </cell>
          <cell r="G1808">
            <v>42584</v>
          </cell>
          <cell r="H1808">
            <v>49888</v>
          </cell>
          <cell r="I1808" t="str">
            <v>19 years, 11 months, 30 days</v>
          </cell>
          <cell r="J1808" t="str">
            <v>Renewables</v>
          </cell>
          <cell r="K1808" t="str">
            <v>Solar (Rooftop)</v>
          </cell>
          <cell r="L1808" t="str">
            <v>Solar</v>
          </cell>
          <cell r="M1808" t="str">
            <v>Dx</v>
          </cell>
          <cell r="N1808" t="str">
            <v>Toronto</v>
          </cell>
          <cell r="O1808" t="str">
            <v>Toronto</v>
          </cell>
          <cell r="P1808" t="str">
            <v>Toronto</v>
          </cell>
        </row>
        <row r="1809">
          <cell r="C1809" t="str">
            <v>1835288 Ontario LTD</v>
          </cell>
          <cell r="D1809" t="str">
            <v>Pondview Green Energy LP</v>
          </cell>
          <cell r="E1809" t="str">
            <v>CO</v>
          </cell>
          <cell r="F1809">
            <v>42056</v>
          </cell>
          <cell r="G1809">
            <v>42149</v>
          </cell>
          <cell r="H1809">
            <v>49360</v>
          </cell>
          <cell r="I1809" t="str">
            <v>19 years, 8 months, 26 days</v>
          </cell>
          <cell r="J1809" t="str">
            <v>Renewables</v>
          </cell>
          <cell r="K1809" t="str">
            <v>Solar (Rooftop)</v>
          </cell>
          <cell r="L1809" t="str">
            <v>Solar</v>
          </cell>
          <cell r="M1809" t="str">
            <v>Dx</v>
          </cell>
          <cell r="N1809" t="str">
            <v>Woodstock</v>
          </cell>
          <cell r="O1809" t="str">
            <v>Oxford</v>
          </cell>
          <cell r="P1809" t="str">
            <v>Southwest</v>
          </cell>
        </row>
        <row r="1810">
          <cell r="C1810" t="str">
            <v>Elmbank JS Academy</v>
          </cell>
          <cell r="D1810" t="str">
            <v>TSPS (Portfolio 1) Limited Partnership</v>
          </cell>
          <cell r="E1810" t="str">
            <v>CO</v>
          </cell>
          <cell r="F1810">
            <v>42588</v>
          </cell>
          <cell r="G1810">
            <v>42149</v>
          </cell>
          <cell r="H1810">
            <v>49453</v>
          </cell>
          <cell r="I1810" t="str">
            <v>19 years, 11 months, 29 days</v>
          </cell>
          <cell r="J1810" t="str">
            <v>Renewables</v>
          </cell>
          <cell r="K1810" t="str">
            <v>Solar (Rooftop)</v>
          </cell>
          <cell r="L1810" t="str">
            <v>Solar</v>
          </cell>
          <cell r="M1810" t="str">
            <v>Dx</v>
          </cell>
          <cell r="N1810" t="str">
            <v>Toronto</v>
          </cell>
          <cell r="O1810" t="str">
            <v>Toronto</v>
          </cell>
          <cell r="P1810" t="str">
            <v>Toronto</v>
          </cell>
        </row>
        <row r="1811">
          <cell r="C1811" t="str">
            <v>Heffner Solar III</v>
          </cell>
          <cell r="D1811" t="str">
            <v>CEW SIMCOE II</v>
          </cell>
          <cell r="E1811" t="str">
            <v>CO</v>
          </cell>
          <cell r="F1811">
            <v>42117</v>
          </cell>
          <cell r="G1811">
            <v>42250</v>
          </cell>
          <cell r="H1811">
            <v>49421</v>
          </cell>
          <cell r="I1811" t="str">
            <v>19 years, 7 months, 19 days</v>
          </cell>
          <cell r="J1811" t="str">
            <v>Renewables</v>
          </cell>
          <cell r="K1811" t="str">
            <v>Solar (Rooftop)</v>
          </cell>
          <cell r="L1811" t="str">
            <v>Solar</v>
          </cell>
          <cell r="M1811" t="str">
            <v>Dx</v>
          </cell>
          <cell r="N1811" t="str">
            <v>Guelph</v>
          </cell>
          <cell r="O1811" t="str">
            <v>Wellington</v>
          </cell>
          <cell r="P1811" t="str">
            <v>Southwest</v>
          </cell>
        </row>
        <row r="1812">
          <cell r="C1812" t="str">
            <v>Tower</v>
          </cell>
          <cell r="D1812" t="str">
            <v>913960 Ontario Limited</v>
          </cell>
          <cell r="E1812" t="str">
            <v>CO</v>
          </cell>
          <cell r="F1812">
            <v>42110</v>
          </cell>
          <cell r="G1812">
            <v>42293</v>
          </cell>
          <cell r="H1812">
            <v>49414</v>
          </cell>
          <cell r="I1812" t="str">
            <v>19 years, 5 months, 30 days</v>
          </cell>
          <cell r="J1812" t="str">
            <v>Renewables</v>
          </cell>
          <cell r="K1812" t="str">
            <v>Solar (Rooftop)</v>
          </cell>
          <cell r="L1812" t="str">
            <v>Solar</v>
          </cell>
          <cell r="M1812" t="str">
            <v>Dx</v>
          </cell>
          <cell r="N1812" t="str">
            <v>Erin</v>
          </cell>
          <cell r="O1812" t="str">
            <v>Wellington</v>
          </cell>
          <cell r="P1812" t="str">
            <v>Southwest</v>
          </cell>
        </row>
        <row r="1813">
          <cell r="C1813" t="str">
            <v>John McCrae Sr PS</v>
          </cell>
          <cell r="D1813" t="str">
            <v>TSPS (Portfolio 1) Limited Partnership</v>
          </cell>
          <cell r="E1813" t="str">
            <v>CO</v>
          </cell>
          <cell r="F1813">
            <v>42602</v>
          </cell>
          <cell r="G1813">
            <v>41988</v>
          </cell>
          <cell r="H1813">
            <v>49292</v>
          </cell>
          <cell r="I1813" t="str">
            <v>19 years, 11 months, 29 days</v>
          </cell>
          <cell r="J1813" t="str">
            <v>Renewables</v>
          </cell>
          <cell r="K1813" t="str">
            <v>Solar (Rooftop)</v>
          </cell>
          <cell r="L1813" t="str">
            <v>Solar</v>
          </cell>
          <cell r="M1813" t="str">
            <v>Dx</v>
          </cell>
          <cell r="N1813" t="str">
            <v>Toronto</v>
          </cell>
          <cell r="O1813" t="str">
            <v>Toronto</v>
          </cell>
          <cell r="P1813" t="str">
            <v>Toronto</v>
          </cell>
        </row>
        <row r="1814">
          <cell r="C1814" t="str">
            <v>Jack Miner Sr PS</v>
          </cell>
          <cell r="D1814" t="str">
            <v>TSPS (Portfolio 1) Limited Partnership</v>
          </cell>
          <cell r="E1814" t="str">
            <v>CO</v>
          </cell>
          <cell r="F1814">
            <v>42597</v>
          </cell>
          <cell r="G1814">
            <v>42258</v>
          </cell>
          <cell r="H1814">
            <v>49562</v>
          </cell>
          <cell r="I1814" t="str">
            <v>19 years, 11 months, 30 days</v>
          </cell>
          <cell r="J1814" t="str">
            <v>Renewables</v>
          </cell>
          <cell r="K1814" t="str">
            <v>Solar (Rooftop)</v>
          </cell>
          <cell r="L1814" t="str">
            <v>Solar</v>
          </cell>
          <cell r="M1814" t="str">
            <v>Dx</v>
          </cell>
          <cell r="N1814" t="str">
            <v>Toronto</v>
          </cell>
          <cell r="O1814" t="str">
            <v>Toronto</v>
          </cell>
          <cell r="P1814" t="str">
            <v>Toronto</v>
          </cell>
        </row>
        <row r="1815">
          <cell r="C1815" t="str">
            <v>Cobourg KOC Solar</v>
          </cell>
          <cell r="D1815" t="str">
            <v>Cobourg Columbus Home Ltd</v>
          </cell>
          <cell r="E1815" t="str">
            <v>CO</v>
          </cell>
          <cell r="F1815">
            <v>42095</v>
          </cell>
          <cell r="G1815">
            <v>41914</v>
          </cell>
          <cell r="H1815">
            <v>49218</v>
          </cell>
          <cell r="I1815" t="str">
            <v>19 years, 11 months, 29 days</v>
          </cell>
          <cell r="J1815" t="str">
            <v>Renewables</v>
          </cell>
          <cell r="K1815" t="str">
            <v>Solar (Rooftop)</v>
          </cell>
          <cell r="L1815" t="str">
            <v>Solar</v>
          </cell>
          <cell r="M1815" t="str">
            <v>Dx</v>
          </cell>
          <cell r="N1815" t="str">
            <v>Cobourg</v>
          </cell>
          <cell r="O1815" t="str">
            <v>Northumberland</v>
          </cell>
          <cell r="P1815" t="str">
            <v>East</v>
          </cell>
        </row>
        <row r="1816">
          <cell r="C1816" t="str">
            <v>Peace Valley Rooftop</v>
          </cell>
          <cell r="D1816" t="str">
            <v>PEACE VALLEY RANCH LIMITED</v>
          </cell>
          <cell r="E1816" t="str">
            <v>CO</v>
          </cell>
          <cell r="F1816">
            <v>42110</v>
          </cell>
          <cell r="G1816">
            <v>42265</v>
          </cell>
          <cell r="H1816">
            <v>49414</v>
          </cell>
          <cell r="I1816" t="str">
            <v>19 years, 6 months, 28 days</v>
          </cell>
          <cell r="J1816" t="str">
            <v>Renewables</v>
          </cell>
          <cell r="K1816" t="str">
            <v>Solar (Rooftop)</v>
          </cell>
          <cell r="L1816" t="str">
            <v>Solar</v>
          </cell>
          <cell r="M1816" t="str">
            <v>Dx</v>
          </cell>
          <cell r="N1816" t="str">
            <v>Shelburne</v>
          </cell>
          <cell r="O1816" t="str">
            <v>Dufferin</v>
          </cell>
          <cell r="P1816" t="str">
            <v>Southwest</v>
          </cell>
        </row>
        <row r="1817">
          <cell r="C1817" t="str">
            <v>Sir John A Macdonald CI</v>
          </cell>
          <cell r="D1817" t="str">
            <v>TSPS (Portfolio 1) Limited Partnership</v>
          </cell>
          <cell r="E1817" t="str">
            <v>CO</v>
          </cell>
          <cell r="F1817">
            <v>42611</v>
          </cell>
          <cell r="G1817">
            <v>42333</v>
          </cell>
          <cell r="H1817">
            <v>49637</v>
          </cell>
          <cell r="I1817" t="str">
            <v>19 years, 11 months, 30 days</v>
          </cell>
          <cell r="J1817" t="str">
            <v>Renewables</v>
          </cell>
          <cell r="K1817" t="str">
            <v>Solar (Rooftop)</v>
          </cell>
          <cell r="L1817" t="str">
            <v>Solar</v>
          </cell>
          <cell r="M1817" t="str">
            <v>Dx</v>
          </cell>
          <cell r="N1817" t="str">
            <v>Toronto</v>
          </cell>
          <cell r="O1817" t="str">
            <v>Toronto</v>
          </cell>
          <cell r="P1817" t="str">
            <v>Toronto</v>
          </cell>
        </row>
        <row r="1818">
          <cell r="C1818" t="str">
            <v>77 - Sparta Farm</v>
          </cell>
          <cell r="D1818" t="str">
            <v>SIF-AMBER PROJECTS LP</v>
          </cell>
          <cell r="E1818" t="str">
            <v>CO</v>
          </cell>
          <cell r="F1818">
            <v>42056</v>
          </cell>
          <cell r="G1818">
            <v>42234</v>
          </cell>
          <cell r="H1818">
            <v>49360</v>
          </cell>
          <cell r="I1818" t="str">
            <v>19 years, 6 months, 2 days</v>
          </cell>
          <cell r="J1818" t="str">
            <v>Renewables</v>
          </cell>
          <cell r="K1818" t="str">
            <v>Solar (Rooftop)</v>
          </cell>
          <cell r="L1818" t="str">
            <v>Solar</v>
          </cell>
          <cell r="M1818" t="str">
            <v>Dx</v>
          </cell>
          <cell r="N1818" t="str">
            <v>St. Thomas</v>
          </cell>
          <cell r="O1818" t="str">
            <v>Elgin</v>
          </cell>
          <cell r="P1818" t="str">
            <v>West</v>
          </cell>
        </row>
        <row r="1819">
          <cell r="C1819" t="str">
            <v>Icarus 250kW Guelph</v>
          </cell>
          <cell r="D1819" t="str">
            <v>Icarus and GSCC Joint Venture</v>
          </cell>
          <cell r="E1819" t="str">
            <v>CO</v>
          </cell>
          <cell r="F1819">
            <v>42061</v>
          </cell>
          <cell r="G1819">
            <v>42282</v>
          </cell>
          <cell r="H1819">
            <v>49365</v>
          </cell>
          <cell r="I1819" t="str">
            <v>19 years, 4 months, 20 days</v>
          </cell>
          <cell r="J1819" t="str">
            <v>Renewables</v>
          </cell>
          <cell r="K1819" t="str">
            <v>Solar (Rooftop)</v>
          </cell>
          <cell r="L1819" t="str">
            <v>Solar</v>
          </cell>
          <cell r="M1819" t="str">
            <v>Dx</v>
          </cell>
          <cell r="N1819" t="str">
            <v>Guelph</v>
          </cell>
          <cell r="O1819" t="str">
            <v>Wellington</v>
          </cell>
          <cell r="P1819" t="str">
            <v>Southwest</v>
          </cell>
        </row>
        <row r="1820">
          <cell r="C1820" t="str">
            <v>Dunlace PS</v>
          </cell>
          <cell r="D1820" t="str">
            <v>TSPS (Portfolio 2) Limited Partnership</v>
          </cell>
          <cell r="E1820" t="str">
            <v>CO</v>
          </cell>
          <cell r="F1820">
            <v>42588</v>
          </cell>
          <cell r="G1820">
            <v>42696</v>
          </cell>
          <cell r="H1820">
            <v>49892</v>
          </cell>
          <cell r="I1820" t="str">
            <v>19 years, 8 months, 14 days</v>
          </cell>
          <cell r="J1820" t="str">
            <v>Renewables</v>
          </cell>
          <cell r="K1820" t="str">
            <v>Solar (Rooftop)</v>
          </cell>
          <cell r="L1820" t="str">
            <v>Solar</v>
          </cell>
          <cell r="M1820" t="str">
            <v>Dx</v>
          </cell>
          <cell r="N1820" t="str">
            <v>Toronto</v>
          </cell>
          <cell r="O1820" t="str">
            <v>Toronto</v>
          </cell>
          <cell r="P1820" t="str">
            <v>Toronto</v>
          </cell>
        </row>
        <row r="1821">
          <cell r="C1821" t="str">
            <v>Laari Roof Mount</v>
          </cell>
          <cell r="D1821" t="str">
            <v xml:space="preserve">125 Magill Street Reality Inc. </v>
          </cell>
          <cell r="E1821" t="str">
            <v>CO</v>
          </cell>
          <cell r="F1821">
            <v>42095</v>
          </cell>
          <cell r="G1821">
            <v>42269</v>
          </cell>
          <cell r="H1821">
            <v>49399</v>
          </cell>
          <cell r="I1821" t="str">
            <v>19 years, 6 months, 9 days</v>
          </cell>
          <cell r="J1821" t="str">
            <v>Renewables</v>
          </cell>
          <cell r="K1821" t="str">
            <v>Solar (Rooftop)</v>
          </cell>
          <cell r="L1821" t="str">
            <v>Solar</v>
          </cell>
          <cell r="M1821" t="str">
            <v>Dx</v>
          </cell>
          <cell r="N1821" t="str">
            <v>Lively</v>
          </cell>
          <cell r="O1821" t="str">
            <v>Greater Sudbury</v>
          </cell>
          <cell r="P1821" t="str">
            <v>Northeast</v>
          </cell>
        </row>
        <row r="1822">
          <cell r="C1822" t="str">
            <v>Belline Farms</v>
          </cell>
          <cell r="D1822" t="str">
            <v>SE 2012 LP</v>
          </cell>
          <cell r="E1822" t="str">
            <v>CO</v>
          </cell>
          <cell r="F1822">
            <v>42117</v>
          </cell>
          <cell r="G1822">
            <v>41850</v>
          </cell>
          <cell r="H1822">
            <v>49154</v>
          </cell>
          <cell r="I1822" t="str">
            <v>19 years, 11 months, 29 days</v>
          </cell>
          <cell r="J1822" t="str">
            <v>Renewables</v>
          </cell>
          <cell r="K1822" t="str">
            <v>Solar (Rooftop)</v>
          </cell>
          <cell r="L1822" t="str">
            <v>Solar</v>
          </cell>
          <cell r="M1822" t="str">
            <v>Dx</v>
          </cell>
          <cell r="N1822" t="str">
            <v>Exeter</v>
          </cell>
          <cell r="O1822" t="str">
            <v>Huron</v>
          </cell>
          <cell r="P1822" t="str">
            <v>Southwest</v>
          </cell>
        </row>
        <row r="1823">
          <cell r="C1823" t="str">
            <v>Wilhillea-PV Solar</v>
          </cell>
          <cell r="D1823" t="str">
            <v>LIFE Co-operative Inc. and Wilhillea Farms Ltd. as joint venturers, c.o.b LIFE Solar JV110</v>
          </cell>
          <cell r="E1823" t="str">
            <v>CO</v>
          </cell>
          <cell r="F1823">
            <v>42110</v>
          </cell>
          <cell r="G1823">
            <v>42202</v>
          </cell>
          <cell r="H1823">
            <v>49414</v>
          </cell>
          <cell r="I1823" t="str">
            <v>19 years, 8 months, 29 days</v>
          </cell>
          <cell r="J1823" t="str">
            <v>Renewables</v>
          </cell>
          <cell r="K1823" t="str">
            <v>Solar (Rooftop)</v>
          </cell>
          <cell r="L1823" t="str">
            <v>Solar</v>
          </cell>
          <cell r="M1823" t="str">
            <v>Dx</v>
          </cell>
          <cell r="N1823" t="str">
            <v>Walkerton</v>
          </cell>
          <cell r="O1823" t="str">
            <v>Bruce</v>
          </cell>
          <cell r="P1823" t="str">
            <v>Southwest</v>
          </cell>
        </row>
        <row r="1824">
          <cell r="C1824" t="str">
            <v>AGRIS Solar (Dutton)</v>
          </cell>
          <cell r="D1824" t="str">
            <v>J.C.K.G. Holdings Inc.</v>
          </cell>
          <cell r="E1824" t="str">
            <v>CO</v>
          </cell>
          <cell r="F1824">
            <v>42761</v>
          </cell>
          <cell r="G1824">
            <v>42457</v>
          </cell>
          <cell r="H1824">
            <v>49761</v>
          </cell>
          <cell r="I1824" t="str">
            <v>19 years, 11 months, 28 days</v>
          </cell>
          <cell r="J1824" t="str">
            <v>Renewables</v>
          </cell>
          <cell r="K1824" t="str">
            <v>Solar (Ground Mounted)</v>
          </cell>
          <cell r="L1824" t="str">
            <v>Solar</v>
          </cell>
          <cell r="M1824" t="str">
            <v>Dx</v>
          </cell>
          <cell r="N1824" t="str">
            <v>Dutton</v>
          </cell>
          <cell r="O1824" t="str">
            <v>Elgin</v>
          </cell>
          <cell r="P1824" t="str">
            <v>West</v>
          </cell>
        </row>
        <row r="1825">
          <cell r="C1825" t="str">
            <v>105 Industrial Drive</v>
          </cell>
          <cell r="D1825" t="str">
            <v>N&amp;G LP</v>
          </cell>
          <cell r="E1825" t="str">
            <v>CO</v>
          </cell>
          <cell r="F1825">
            <v>42056</v>
          </cell>
          <cell r="G1825">
            <v>42187</v>
          </cell>
          <cell r="H1825">
            <v>49360</v>
          </cell>
          <cell r="I1825" t="str">
            <v>19 years, 7 months, 18 days</v>
          </cell>
          <cell r="J1825" t="str">
            <v>Renewables</v>
          </cell>
          <cell r="K1825" t="str">
            <v>Solar (Rooftop)</v>
          </cell>
          <cell r="L1825" t="str">
            <v>Solar</v>
          </cell>
          <cell r="M1825" t="str">
            <v>Dx</v>
          </cell>
          <cell r="N1825" t="str">
            <v>Whitby</v>
          </cell>
          <cell r="O1825" t="str">
            <v>Durham</v>
          </cell>
          <cell r="P1825" t="str">
            <v>Toronto</v>
          </cell>
        </row>
        <row r="1826">
          <cell r="C1826" t="str">
            <v>Central Etobicoke HS</v>
          </cell>
          <cell r="D1826" t="str">
            <v>TSPS (Portfolio 1) Limited Partnership</v>
          </cell>
          <cell r="E1826" t="str">
            <v>CO</v>
          </cell>
          <cell r="F1826">
            <v>42583</v>
          </cell>
          <cell r="G1826">
            <v>42236</v>
          </cell>
          <cell r="H1826">
            <v>49540</v>
          </cell>
          <cell r="I1826" t="str">
            <v>19 years, 11 months, 30 days</v>
          </cell>
          <cell r="J1826" t="str">
            <v>Renewables</v>
          </cell>
          <cell r="K1826" t="str">
            <v>Solar (Rooftop)</v>
          </cell>
          <cell r="L1826" t="str">
            <v>Solar</v>
          </cell>
          <cell r="M1826" t="str">
            <v>Dx</v>
          </cell>
          <cell r="N1826" t="str">
            <v>Toronto</v>
          </cell>
          <cell r="O1826" t="str">
            <v>Toronto</v>
          </cell>
          <cell r="P1826" t="str">
            <v>Toronto</v>
          </cell>
        </row>
        <row r="1827">
          <cell r="C1827" t="str">
            <v>Solar Project - 131 Saramia Crescent</v>
          </cell>
          <cell r="D1827" t="str">
            <v>Bondfield Construction Company Limited</v>
          </cell>
          <cell r="E1827" t="str">
            <v>CO</v>
          </cell>
          <cell r="F1827">
            <v>42070</v>
          </cell>
          <cell r="G1827">
            <v>42171</v>
          </cell>
          <cell r="H1827">
            <v>49374</v>
          </cell>
          <cell r="I1827" t="str">
            <v>19 years, 8 months, 18 days</v>
          </cell>
          <cell r="J1827" t="str">
            <v>Renewables</v>
          </cell>
          <cell r="K1827" t="str">
            <v>Solar (Rooftop)</v>
          </cell>
          <cell r="L1827" t="str">
            <v>Solar</v>
          </cell>
          <cell r="M1827" t="str">
            <v>Dx</v>
          </cell>
          <cell r="N1827" t="str">
            <v>Concord</v>
          </cell>
          <cell r="O1827" t="str">
            <v>York</v>
          </cell>
          <cell r="P1827" t="str">
            <v>Toronto</v>
          </cell>
        </row>
        <row r="1828">
          <cell r="C1828" t="str">
            <v>Elizabeth Simcoe Jr PS</v>
          </cell>
          <cell r="D1828" t="str">
            <v>TSPS (Portfolio 2) Limited Partnership</v>
          </cell>
          <cell r="E1828" t="str">
            <v>CO</v>
          </cell>
          <cell r="F1828">
            <v>42588</v>
          </cell>
          <cell r="G1828">
            <v>42361</v>
          </cell>
          <cell r="H1828">
            <v>49665</v>
          </cell>
          <cell r="I1828" t="str">
            <v>19 years, 11 months, 29 days</v>
          </cell>
          <cell r="J1828" t="str">
            <v>Renewables</v>
          </cell>
          <cell r="K1828" t="str">
            <v>Solar (Rooftop)</v>
          </cell>
          <cell r="L1828" t="str">
            <v>Solar</v>
          </cell>
          <cell r="M1828" t="str">
            <v>Dx</v>
          </cell>
          <cell r="N1828" t="str">
            <v>Toronto</v>
          </cell>
          <cell r="O1828" t="str">
            <v>Toronto</v>
          </cell>
          <cell r="P1828" t="str">
            <v>Toronto</v>
          </cell>
        </row>
        <row r="1829">
          <cell r="C1829" t="str">
            <v>Mountain View ES</v>
          </cell>
          <cell r="D1829" t="str">
            <v>Potentia Solar 5 Limited Partnership</v>
          </cell>
          <cell r="E1829" t="str">
            <v>CO</v>
          </cell>
          <cell r="F1829">
            <v>42063</v>
          </cell>
          <cell r="G1829">
            <v>42171</v>
          </cell>
          <cell r="H1829">
            <v>49367</v>
          </cell>
          <cell r="I1829" t="str">
            <v>19 years, 8 months, 11 days</v>
          </cell>
          <cell r="J1829" t="str">
            <v>Renewables</v>
          </cell>
          <cell r="K1829" t="str">
            <v>Solar (Rooftop)</v>
          </cell>
          <cell r="L1829" t="str">
            <v>Solar</v>
          </cell>
          <cell r="M1829" t="str">
            <v>Dx</v>
          </cell>
          <cell r="N1829" t="str">
            <v>Collingwood</v>
          </cell>
          <cell r="O1829" t="str">
            <v>Simcoe</v>
          </cell>
          <cell r="P1829" t="str">
            <v>Southwest</v>
          </cell>
        </row>
        <row r="1830">
          <cell r="C1830" t="str">
            <v>560 Bingemans Center Drive RT</v>
          </cell>
          <cell r="D1830" t="str">
            <v>JCM Solar GP1 Ltd.</v>
          </cell>
          <cell r="E1830" t="str">
            <v>CO</v>
          </cell>
          <cell r="F1830">
            <v>42112</v>
          </cell>
          <cell r="G1830">
            <v>42248</v>
          </cell>
          <cell r="H1830">
            <v>49416</v>
          </cell>
          <cell r="I1830" t="str">
            <v>19 years, 7 months, 16 days</v>
          </cell>
          <cell r="J1830" t="str">
            <v>Renewables</v>
          </cell>
          <cell r="K1830" t="str">
            <v>Solar (Rooftop)</v>
          </cell>
          <cell r="L1830" t="str">
            <v>Solar</v>
          </cell>
          <cell r="M1830" t="str">
            <v>Dx</v>
          </cell>
          <cell r="N1830" t="str">
            <v>Kitchener</v>
          </cell>
          <cell r="O1830" t="str">
            <v>Waterloo</v>
          </cell>
          <cell r="P1830" t="str">
            <v>Southwest</v>
          </cell>
        </row>
        <row r="1831">
          <cell r="C1831" t="str">
            <v>46 - Reymer (Toitich) Farm</v>
          </cell>
          <cell r="D1831" t="str">
            <v>SIF-AMBER PROJECTS LP</v>
          </cell>
          <cell r="E1831" t="str">
            <v>CO</v>
          </cell>
          <cell r="F1831">
            <v>42056</v>
          </cell>
          <cell r="G1831">
            <v>42178</v>
          </cell>
          <cell r="H1831">
            <v>49360</v>
          </cell>
          <cell r="I1831" t="str">
            <v>19 years, 7 months, 28 days</v>
          </cell>
          <cell r="J1831" t="str">
            <v>Renewables</v>
          </cell>
          <cell r="K1831" t="str">
            <v>Solar (Rooftop)</v>
          </cell>
          <cell r="L1831" t="str">
            <v>Solar</v>
          </cell>
          <cell r="M1831" t="str">
            <v>Dx</v>
          </cell>
          <cell r="N1831" t="str">
            <v>Aylmer</v>
          </cell>
          <cell r="O1831" t="str">
            <v>Elgin</v>
          </cell>
          <cell r="P1831" t="str">
            <v>West</v>
          </cell>
        </row>
        <row r="1832">
          <cell r="C1832" t="str">
            <v>Steven Jones</v>
          </cell>
          <cell r="D1832" t="str">
            <v>SCCEC LP</v>
          </cell>
          <cell r="E1832" t="str">
            <v>CO</v>
          </cell>
          <cell r="F1832">
            <v>42097</v>
          </cell>
          <cell r="G1832">
            <v>42082</v>
          </cell>
          <cell r="H1832">
            <v>49386</v>
          </cell>
          <cell r="I1832" t="str">
            <v>19 years, 11 months, 27 days</v>
          </cell>
          <cell r="J1832" t="str">
            <v>Renewables</v>
          </cell>
          <cell r="K1832" t="str">
            <v>Solar (Rooftop)</v>
          </cell>
          <cell r="L1832" t="str">
            <v>Solar</v>
          </cell>
          <cell r="M1832" t="str">
            <v>Dx</v>
          </cell>
          <cell r="N1832" t="str">
            <v>Midland</v>
          </cell>
          <cell r="O1832" t="str">
            <v>Simcoe</v>
          </cell>
          <cell r="P1832" t="str">
            <v>Essa</v>
          </cell>
        </row>
        <row r="1833">
          <cell r="C1833" t="str">
            <v>Norman Ingram PS</v>
          </cell>
          <cell r="D1833" t="str">
            <v>TSPS (Portfolio 2) Limited Partnership</v>
          </cell>
          <cell r="E1833" t="str">
            <v>CO</v>
          </cell>
          <cell r="F1833">
            <v>42604</v>
          </cell>
          <cell r="G1833">
            <v>42368</v>
          </cell>
          <cell r="H1833">
            <v>49672</v>
          </cell>
          <cell r="I1833" t="str">
            <v>19 years, 11 months, 29 days</v>
          </cell>
          <cell r="J1833" t="str">
            <v>Renewables</v>
          </cell>
          <cell r="K1833" t="str">
            <v>Solar (Rooftop)</v>
          </cell>
          <cell r="L1833" t="str">
            <v>Solar</v>
          </cell>
          <cell r="M1833" t="str">
            <v>Dx</v>
          </cell>
          <cell r="N1833" t="str">
            <v>Toronto</v>
          </cell>
          <cell r="O1833" t="str">
            <v>Toronto</v>
          </cell>
          <cell r="P1833" t="str">
            <v>Toronto</v>
          </cell>
        </row>
        <row r="1834">
          <cell r="C1834" t="str">
            <v>Westmoreland 500kW Rooftop</v>
          </cell>
          <cell r="D1834" t="str">
            <v>2086091 Ontario Limited</v>
          </cell>
          <cell r="E1834" t="str">
            <v>CO</v>
          </cell>
          <cell r="F1834">
            <v>42075</v>
          </cell>
          <cell r="G1834">
            <v>42279</v>
          </cell>
          <cell r="H1834">
            <v>49379</v>
          </cell>
          <cell r="I1834" t="str">
            <v>19 years, 5 months, 9 days</v>
          </cell>
          <cell r="J1834" t="str">
            <v>Renewables</v>
          </cell>
          <cell r="K1834" t="str">
            <v>Solar (Rooftop)</v>
          </cell>
          <cell r="L1834" t="str">
            <v>Solar</v>
          </cell>
          <cell r="M1834" t="str">
            <v>Dx</v>
          </cell>
          <cell r="N1834" t="str">
            <v>Leamington</v>
          </cell>
          <cell r="O1834" t="str">
            <v>Essex</v>
          </cell>
          <cell r="P1834" t="str">
            <v>West</v>
          </cell>
        </row>
        <row r="1835">
          <cell r="C1835" t="str">
            <v>Chemong Plaza</v>
          </cell>
          <cell r="D1835" t="str">
            <v>Chemong Plaza Solar LP</v>
          </cell>
          <cell r="E1835" t="str">
            <v>CO</v>
          </cell>
          <cell r="F1835">
            <v>42112</v>
          </cell>
          <cell r="G1835">
            <v>42179</v>
          </cell>
          <cell r="H1835">
            <v>49416</v>
          </cell>
          <cell r="I1835" t="str">
            <v>19 years, 9 months, 24 days</v>
          </cell>
          <cell r="J1835" t="str">
            <v>Renewables</v>
          </cell>
          <cell r="K1835" t="str">
            <v>Solar (Rooftop)</v>
          </cell>
          <cell r="L1835" t="str">
            <v>Solar</v>
          </cell>
          <cell r="M1835" t="str">
            <v>Dx</v>
          </cell>
          <cell r="N1835" t="str">
            <v>Peterborough</v>
          </cell>
          <cell r="O1835" t="str">
            <v>Peterborough</v>
          </cell>
          <cell r="P1835" t="str">
            <v>East</v>
          </cell>
        </row>
        <row r="1836">
          <cell r="C1836" t="str">
            <v>Georges Vanier SS</v>
          </cell>
          <cell r="D1836" t="str">
            <v>TSPS (Portfolio 1) Limited Partnership</v>
          </cell>
          <cell r="E1836" t="str">
            <v>CO</v>
          </cell>
          <cell r="F1836">
            <v>42597</v>
          </cell>
          <cell r="G1836">
            <v>42185</v>
          </cell>
          <cell r="H1836">
            <v>49489</v>
          </cell>
          <cell r="I1836" t="str">
            <v>19 years, 11 months, 30 days</v>
          </cell>
          <cell r="J1836" t="str">
            <v>Renewables</v>
          </cell>
          <cell r="K1836" t="str">
            <v>Solar (Rooftop)</v>
          </cell>
          <cell r="L1836" t="str">
            <v>Solar</v>
          </cell>
          <cell r="M1836" t="str">
            <v>Dx</v>
          </cell>
          <cell r="N1836" t="str">
            <v>Toronto</v>
          </cell>
          <cell r="O1836" t="str">
            <v>Toronto</v>
          </cell>
          <cell r="P1836" t="str">
            <v>Toronto</v>
          </cell>
        </row>
        <row r="1837">
          <cell r="C1837" t="str">
            <v>Robert Service Sr PS</v>
          </cell>
          <cell r="D1837" t="str">
            <v>TSPS (Portfolio 2) Limited Partnership</v>
          </cell>
          <cell r="E1837" t="str">
            <v>CO</v>
          </cell>
          <cell r="F1837">
            <v>42609</v>
          </cell>
          <cell r="G1837">
            <v>42677</v>
          </cell>
          <cell r="H1837">
            <v>49913</v>
          </cell>
          <cell r="I1837" t="str">
            <v>19 years, 9 months, 23 days</v>
          </cell>
          <cell r="J1837" t="str">
            <v>Renewables</v>
          </cell>
          <cell r="K1837" t="str">
            <v>Solar (Rooftop)</v>
          </cell>
          <cell r="L1837" t="str">
            <v>Solar</v>
          </cell>
          <cell r="M1837" t="str">
            <v>Dx</v>
          </cell>
          <cell r="N1837" t="str">
            <v>Toronto</v>
          </cell>
          <cell r="O1837" t="str">
            <v>Toronto</v>
          </cell>
          <cell r="P1837" t="str">
            <v>Toronto</v>
          </cell>
        </row>
        <row r="1838">
          <cell r="C1838" t="str">
            <v>Malvern Collegiate Institute</v>
          </cell>
          <cell r="D1838" t="str">
            <v>TSPS (Portfolio 2) Limited Partnership</v>
          </cell>
          <cell r="E1838" t="str">
            <v>CO</v>
          </cell>
          <cell r="F1838">
            <v>42604</v>
          </cell>
          <cell r="G1838">
            <v>42279</v>
          </cell>
          <cell r="H1838">
            <v>49583</v>
          </cell>
          <cell r="I1838" t="str">
            <v>19 years, 11 months, 29 days</v>
          </cell>
          <cell r="J1838" t="str">
            <v>Renewables</v>
          </cell>
          <cell r="K1838" t="str">
            <v>Solar (Rooftop)</v>
          </cell>
          <cell r="L1838" t="str">
            <v>Solar</v>
          </cell>
          <cell r="M1838" t="str">
            <v>Dx</v>
          </cell>
          <cell r="N1838" t="str">
            <v>Toronto</v>
          </cell>
          <cell r="O1838" t="str">
            <v>Toronto</v>
          </cell>
          <cell r="P1838" t="str">
            <v>Toronto</v>
          </cell>
        </row>
        <row r="1839">
          <cell r="C1839" t="str">
            <v>Haskett</v>
          </cell>
          <cell r="D1839" t="str">
            <v>Great West Energy II Limited Partnership</v>
          </cell>
          <cell r="E1839" t="str">
            <v>CO</v>
          </cell>
          <cell r="F1839">
            <v>42117</v>
          </cell>
          <cell r="G1839">
            <v>42335</v>
          </cell>
          <cell r="H1839">
            <v>49421</v>
          </cell>
          <cell r="I1839" t="str">
            <v>19 years, 4 months, 26 days</v>
          </cell>
          <cell r="J1839" t="str">
            <v>Renewables</v>
          </cell>
          <cell r="K1839" t="str">
            <v>Solar (Rooftop)</v>
          </cell>
          <cell r="L1839" t="str">
            <v>Solar</v>
          </cell>
          <cell r="M1839" t="str">
            <v>Dx</v>
          </cell>
          <cell r="N1839" t="str">
            <v>Napanee</v>
          </cell>
          <cell r="O1839" t="str">
            <v>Hastings</v>
          </cell>
          <cell r="P1839" t="str">
            <v>East</v>
          </cell>
        </row>
        <row r="1840">
          <cell r="C1840" t="str">
            <v>12LarryMcAuliffe08</v>
          </cell>
          <cell r="D1840" t="str">
            <v>1744882 ONTARIO LTD.</v>
          </cell>
          <cell r="E1840" t="str">
            <v>CO</v>
          </cell>
          <cell r="F1840">
            <v>42054</v>
          </cell>
          <cell r="G1840">
            <v>41710</v>
          </cell>
          <cell r="H1840">
            <v>49014</v>
          </cell>
          <cell r="I1840" t="str">
            <v>19 years, 11 months, 27 days</v>
          </cell>
          <cell r="J1840" t="str">
            <v>Renewables</v>
          </cell>
          <cell r="K1840" t="str">
            <v>Solar (Rooftop)</v>
          </cell>
          <cell r="L1840" t="str">
            <v>Solar</v>
          </cell>
          <cell r="M1840" t="str">
            <v>Dx</v>
          </cell>
          <cell r="N1840" t="str">
            <v>Cavan</v>
          </cell>
          <cell r="O1840" t="str">
            <v>Peterborough</v>
          </cell>
          <cell r="P1840" t="str">
            <v>East</v>
          </cell>
        </row>
        <row r="1841">
          <cell r="C1841" t="str">
            <v>St. Dominic Catholic Elementary School</v>
          </cell>
          <cell r="D1841" t="str">
            <v>Potentia Solar 6 Limited Partnership</v>
          </cell>
          <cell r="E1841" t="str">
            <v>CO</v>
          </cell>
          <cell r="F1841">
            <v>42097</v>
          </cell>
          <cell r="G1841">
            <v>42251</v>
          </cell>
          <cell r="H1841">
            <v>49401</v>
          </cell>
          <cell r="I1841" t="str">
            <v>19 years, 6 months, 29 days</v>
          </cell>
          <cell r="J1841" t="str">
            <v>Renewables</v>
          </cell>
          <cell r="K1841" t="str">
            <v>Solar (Rooftop)</v>
          </cell>
          <cell r="L1841" t="str">
            <v>Solar</v>
          </cell>
          <cell r="M1841" t="str">
            <v>Dx</v>
          </cell>
          <cell r="N1841" t="str">
            <v>Kitchener</v>
          </cell>
          <cell r="O1841" t="str">
            <v>Waterloo</v>
          </cell>
          <cell r="P1841" t="str">
            <v>Southwest</v>
          </cell>
        </row>
        <row r="1842">
          <cell r="C1842" t="str">
            <v>Keele Street (9010)</v>
          </cell>
          <cell r="D1842" t="str">
            <v>9010 Keele Park Properties Ltd.</v>
          </cell>
          <cell r="E1842" t="str">
            <v>CO</v>
          </cell>
          <cell r="F1842">
            <v>42104</v>
          </cell>
          <cell r="G1842">
            <v>42221</v>
          </cell>
          <cell r="H1842">
            <v>49408</v>
          </cell>
          <cell r="I1842" t="str">
            <v>19 years, 8 months, 4 days</v>
          </cell>
          <cell r="J1842" t="str">
            <v>Renewables</v>
          </cell>
          <cell r="K1842" t="str">
            <v>Solar (Rooftop)</v>
          </cell>
          <cell r="L1842" t="str">
            <v>Solar</v>
          </cell>
          <cell r="M1842" t="str">
            <v>Dx</v>
          </cell>
          <cell r="N1842" t="str">
            <v>Concord</v>
          </cell>
          <cell r="O1842" t="str">
            <v>York</v>
          </cell>
          <cell r="P1842" t="str">
            <v>Toronto</v>
          </cell>
        </row>
        <row r="1843">
          <cell r="C1843" t="str">
            <v>C W Jefferys CI</v>
          </cell>
          <cell r="D1843" t="str">
            <v>TSPS (Portfolio 1) Limited Partnership</v>
          </cell>
          <cell r="E1843" t="str">
            <v>CO</v>
          </cell>
          <cell r="F1843">
            <v>42581</v>
          </cell>
          <cell r="G1843">
            <v>42348</v>
          </cell>
          <cell r="H1843">
            <v>49652</v>
          </cell>
          <cell r="I1843" t="str">
            <v>19 years, 11 months, 29 days</v>
          </cell>
          <cell r="J1843" t="str">
            <v>Renewables</v>
          </cell>
          <cell r="K1843" t="str">
            <v>Solar (Rooftop)</v>
          </cell>
          <cell r="L1843" t="str">
            <v>Solar</v>
          </cell>
          <cell r="M1843" t="str">
            <v>Dx</v>
          </cell>
          <cell r="N1843" t="str">
            <v>Toronto</v>
          </cell>
          <cell r="O1843" t="str">
            <v>Toronto</v>
          </cell>
          <cell r="P1843" t="str">
            <v>Toronto</v>
          </cell>
        </row>
        <row r="1844">
          <cell r="C1844" t="str">
            <v>94NALittleBritain10</v>
          </cell>
          <cell r="D1844" t="str">
            <v>Little Livestock Inc.</v>
          </cell>
          <cell r="E1844" t="str">
            <v>CO</v>
          </cell>
          <cell r="F1844">
            <v>42102</v>
          </cell>
          <cell r="G1844">
            <v>41773</v>
          </cell>
          <cell r="H1844">
            <v>49077</v>
          </cell>
          <cell r="I1844" t="str">
            <v>19 years, 11 months, 29 days</v>
          </cell>
          <cell r="J1844" t="str">
            <v>Renewables</v>
          </cell>
          <cell r="K1844" t="str">
            <v>Solar (Rooftop)</v>
          </cell>
          <cell r="L1844" t="str">
            <v>Solar</v>
          </cell>
          <cell r="M1844" t="str">
            <v>Dx</v>
          </cell>
          <cell r="N1844" t="str">
            <v>Little Britain</v>
          </cell>
          <cell r="O1844" t="str">
            <v>Kawartha Lakes</v>
          </cell>
          <cell r="P1844" t="str">
            <v>Essa</v>
          </cell>
        </row>
        <row r="1845">
          <cell r="C1845" t="str">
            <v>Claire Renaud</v>
          </cell>
          <cell r="D1845" t="str">
            <v>DTSY INVESTMENTS INC.</v>
          </cell>
          <cell r="E1845" t="str">
            <v>CO</v>
          </cell>
          <cell r="F1845">
            <v>42757</v>
          </cell>
          <cell r="G1845">
            <v>42928</v>
          </cell>
          <cell r="H1845">
            <v>50061</v>
          </cell>
          <cell r="I1845" t="str">
            <v>19 years, 6 months, 9 days</v>
          </cell>
          <cell r="J1845" t="str">
            <v>Renewables</v>
          </cell>
          <cell r="K1845" t="str">
            <v>Solar (Rooftop)</v>
          </cell>
          <cell r="L1845" t="str">
            <v>Solar</v>
          </cell>
          <cell r="M1845" t="str">
            <v>Dx</v>
          </cell>
          <cell r="N1845" t="str">
            <v>Windsor</v>
          </cell>
          <cell r="O1845" t="str">
            <v>Essex</v>
          </cell>
          <cell r="P1845" t="str">
            <v>West</v>
          </cell>
        </row>
        <row r="1846">
          <cell r="C1846" t="str">
            <v>Seneca School</v>
          </cell>
          <cell r="D1846" t="str">
            <v>TSPS (Portfolio 1) Limited Partnership</v>
          </cell>
          <cell r="E1846" t="str">
            <v>CO</v>
          </cell>
          <cell r="F1846">
            <v>42609</v>
          </cell>
          <cell r="G1846">
            <v>42185</v>
          </cell>
          <cell r="H1846">
            <v>49489</v>
          </cell>
          <cell r="I1846" t="str">
            <v>19 years, 11 months, 30 days</v>
          </cell>
          <cell r="J1846" t="str">
            <v>Renewables</v>
          </cell>
          <cell r="K1846" t="str">
            <v>Solar (Rooftop)</v>
          </cell>
          <cell r="L1846" t="str">
            <v>Solar</v>
          </cell>
          <cell r="M1846" t="str">
            <v>Dx</v>
          </cell>
          <cell r="N1846" t="str">
            <v>Toronto</v>
          </cell>
          <cell r="O1846" t="str">
            <v>Toronto</v>
          </cell>
          <cell r="P1846" t="str">
            <v>Toronto</v>
          </cell>
        </row>
        <row r="1847">
          <cell r="C1847" t="str">
            <v>193LakefieldCurlin15</v>
          </cell>
          <cell r="D1847" t="str">
            <v>Global Point Energy Inc.</v>
          </cell>
          <cell r="E1847" t="str">
            <v>CO</v>
          </cell>
          <cell r="F1847">
            <v>42102</v>
          </cell>
          <cell r="G1847">
            <v>41971</v>
          </cell>
          <cell r="H1847">
            <v>49275</v>
          </cell>
          <cell r="I1847" t="str">
            <v>19 years, 11 months, 30 days</v>
          </cell>
          <cell r="J1847" t="str">
            <v>Renewables</v>
          </cell>
          <cell r="K1847" t="str">
            <v>Solar (Rooftop)</v>
          </cell>
          <cell r="L1847" t="str">
            <v>Solar</v>
          </cell>
          <cell r="M1847" t="str">
            <v>Dx</v>
          </cell>
          <cell r="N1847" t="str">
            <v>Lakefield</v>
          </cell>
          <cell r="O1847" t="str">
            <v>Peterborough</v>
          </cell>
          <cell r="P1847" t="str">
            <v>East</v>
          </cell>
        </row>
        <row r="1848">
          <cell r="C1848" t="str">
            <v>Solar@1660MathesonBlvd</v>
          </cell>
          <cell r="D1848" t="str">
            <v>Just In Time Self Storage Inc.</v>
          </cell>
          <cell r="E1848" t="str">
            <v>CO</v>
          </cell>
          <cell r="F1848">
            <v>42095</v>
          </cell>
          <cell r="G1848">
            <v>42104</v>
          </cell>
          <cell r="H1848">
            <v>49399</v>
          </cell>
          <cell r="I1848" t="str">
            <v>19 years, 11 months, 21 days</v>
          </cell>
          <cell r="J1848" t="str">
            <v>Renewables</v>
          </cell>
          <cell r="K1848" t="str">
            <v>Solar (Rooftop)</v>
          </cell>
          <cell r="L1848" t="str">
            <v>Solar</v>
          </cell>
          <cell r="M1848" t="str">
            <v>Dx</v>
          </cell>
          <cell r="N1848" t="str">
            <v>Mississauga</v>
          </cell>
          <cell r="O1848" t="str">
            <v>Peel</v>
          </cell>
          <cell r="P1848" t="str">
            <v>Toronto</v>
          </cell>
        </row>
        <row r="1849">
          <cell r="C1849" t="str">
            <v>James S Bell JMS</v>
          </cell>
          <cell r="D1849" t="str">
            <v>TSPS (Portfolio 2) Limited Partnership</v>
          </cell>
          <cell r="E1849" t="str">
            <v>CO</v>
          </cell>
          <cell r="F1849">
            <v>42597</v>
          </cell>
          <cell r="G1849">
            <v>42703</v>
          </cell>
          <cell r="H1849">
            <v>49901</v>
          </cell>
          <cell r="I1849" t="str">
            <v>19 years, 8 months, 16 days</v>
          </cell>
          <cell r="J1849" t="str">
            <v>Renewables</v>
          </cell>
          <cell r="K1849" t="str">
            <v>Solar (Rooftop)</v>
          </cell>
          <cell r="L1849" t="str">
            <v>Solar</v>
          </cell>
          <cell r="M1849" t="str">
            <v>Dx</v>
          </cell>
          <cell r="N1849" t="str">
            <v>Toronto</v>
          </cell>
          <cell r="O1849" t="str">
            <v>Toronto</v>
          </cell>
          <cell r="P1849" t="str">
            <v>Toronto</v>
          </cell>
        </row>
        <row r="1850">
          <cell r="C1850" t="str">
            <v>Westmount JS</v>
          </cell>
          <cell r="D1850" t="str">
            <v>TSPS (Portfolio 2) Limited Partnership</v>
          </cell>
          <cell r="E1850" t="str">
            <v>CO</v>
          </cell>
          <cell r="F1850">
            <v>42611</v>
          </cell>
          <cell r="G1850">
            <v>42643</v>
          </cell>
          <cell r="H1850">
            <v>49915</v>
          </cell>
          <cell r="I1850" t="str">
            <v>19 years, 10 months, 29 days</v>
          </cell>
          <cell r="J1850" t="str">
            <v>Renewables</v>
          </cell>
          <cell r="K1850" t="str">
            <v>Solar (Rooftop)</v>
          </cell>
          <cell r="L1850" t="str">
            <v>Solar</v>
          </cell>
          <cell r="M1850" t="str">
            <v>Dx</v>
          </cell>
          <cell r="N1850" t="str">
            <v>Toronto</v>
          </cell>
          <cell r="O1850" t="str">
            <v>Toronto</v>
          </cell>
          <cell r="P1850" t="str">
            <v>Toronto</v>
          </cell>
        </row>
        <row r="1851">
          <cell r="C1851" t="str">
            <v>Hunter's Glen Jr PS</v>
          </cell>
          <cell r="D1851" t="str">
            <v>TSPS (Portfolio 1) Limited Partnership</v>
          </cell>
          <cell r="E1851" t="str">
            <v>CO</v>
          </cell>
          <cell r="F1851">
            <v>42597</v>
          </cell>
          <cell r="G1851">
            <v>41988</v>
          </cell>
          <cell r="H1851">
            <v>49292</v>
          </cell>
          <cell r="I1851" t="str">
            <v>19 years, 11 months, 29 days</v>
          </cell>
          <cell r="J1851" t="str">
            <v>Renewables</v>
          </cell>
          <cell r="K1851" t="str">
            <v>Solar (Rooftop)</v>
          </cell>
          <cell r="L1851" t="str">
            <v>Solar</v>
          </cell>
          <cell r="M1851" t="str">
            <v>Dx</v>
          </cell>
          <cell r="N1851" t="str">
            <v>Toronto</v>
          </cell>
          <cell r="O1851" t="str">
            <v>Toronto</v>
          </cell>
          <cell r="P1851" t="str">
            <v>Toronto</v>
          </cell>
        </row>
        <row r="1852">
          <cell r="C1852" t="str">
            <v>166RichardStaples05</v>
          </cell>
          <cell r="D1852" t="str">
            <v>David Robert Staples and Richard Nicholas Gordon Staples and Karen Elizabeth Staples and Jill Anne Staples and Mary Gabriel Staples</v>
          </cell>
          <cell r="E1852" t="str">
            <v>CO</v>
          </cell>
          <cell r="F1852">
            <v>42054</v>
          </cell>
          <cell r="G1852">
            <v>41850</v>
          </cell>
          <cell r="H1852">
            <v>49154</v>
          </cell>
          <cell r="I1852" t="str">
            <v>19 years, 11 months, 29 days</v>
          </cell>
          <cell r="J1852" t="str">
            <v>Renewables</v>
          </cell>
          <cell r="K1852" t="str">
            <v>Solar (Rooftop)</v>
          </cell>
          <cell r="L1852" t="str">
            <v>Solar</v>
          </cell>
          <cell r="M1852" t="str">
            <v>Dx</v>
          </cell>
          <cell r="N1852" t="str">
            <v>Cavan</v>
          </cell>
          <cell r="O1852" t="str">
            <v>Peterborough</v>
          </cell>
          <cell r="P1852" t="str">
            <v>East</v>
          </cell>
        </row>
        <row r="1853">
          <cell r="C1853" t="str">
            <v>AGRIS Solar - 700 Finley Avenue</v>
          </cell>
          <cell r="D1853" t="str">
            <v>AGRIS Solar Co-operative Inc.</v>
          </cell>
          <cell r="E1853" t="str">
            <v>CO</v>
          </cell>
          <cell r="F1853">
            <v>42549</v>
          </cell>
          <cell r="G1853">
            <v>42542</v>
          </cell>
          <cell r="H1853">
            <v>49846</v>
          </cell>
          <cell r="I1853" t="str">
            <v>19 years, 11 months, 30 days</v>
          </cell>
          <cell r="J1853" t="str">
            <v>Renewables</v>
          </cell>
          <cell r="K1853" t="str">
            <v>Solar (Rooftop)</v>
          </cell>
          <cell r="L1853" t="str">
            <v>Solar</v>
          </cell>
          <cell r="M1853" t="str">
            <v>Dx</v>
          </cell>
          <cell r="N1853" t="str">
            <v>Ajax</v>
          </cell>
          <cell r="O1853" t="str">
            <v>Durham</v>
          </cell>
          <cell r="P1853" t="str">
            <v>Toronto</v>
          </cell>
        </row>
        <row r="1854">
          <cell r="C1854" t="str">
            <v>West Hill CI</v>
          </cell>
          <cell r="D1854" t="str">
            <v>TSPS (Portfolio 1) Limited Partnership</v>
          </cell>
          <cell r="E1854" t="str">
            <v>CO</v>
          </cell>
          <cell r="F1854">
            <v>42611</v>
          </cell>
          <cell r="G1854">
            <v>42174</v>
          </cell>
          <cell r="H1854">
            <v>49478</v>
          </cell>
          <cell r="I1854" t="str">
            <v>19 years, 11 months, 30 days</v>
          </cell>
          <cell r="J1854" t="str">
            <v>Renewables</v>
          </cell>
          <cell r="K1854" t="str">
            <v>Solar (Rooftop)</v>
          </cell>
          <cell r="L1854" t="str">
            <v>Solar</v>
          </cell>
          <cell r="M1854" t="str">
            <v>Dx</v>
          </cell>
          <cell r="N1854" t="str">
            <v>Toronto</v>
          </cell>
          <cell r="O1854" t="str">
            <v>Toronto</v>
          </cell>
          <cell r="P1854" t="str">
            <v>Toronto</v>
          </cell>
        </row>
        <row r="1855">
          <cell r="C1855" t="str">
            <v>Danforth Gardens PS</v>
          </cell>
          <cell r="D1855" t="str">
            <v>TSPS (Portfolio 2) Limited Partnership</v>
          </cell>
          <cell r="E1855" t="str">
            <v>CO</v>
          </cell>
          <cell r="F1855">
            <v>42583</v>
          </cell>
          <cell r="G1855">
            <v>42703</v>
          </cell>
          <cell r="H1855">
            <v>49887</v>
          </cell>
          <cell r="I1855" t="str">
            <v>19 years, 8 months, 2 days</v>
          </cell>
          <cell r="J1855" t="str">
            <v>Renewables</v>
          </cell>
          <cell r="K1855" t="str">
            <v>Solar (Rooftop)</v>
          </cell>
          <cell r="L1855" t="str">
            <v>Solar</v>
          </cell>
          <cell r="M1855" t="str">
            <v>Dx</v>
          </cell>
          <cell r="N1855" t="str">
            <v>Toronto</v>
          </cell>
          <cell r="O1855" t="str">
            <v>Toronto</v>
          </cell>
          <cell r="P1855" t="str">
            <v>Toronto</v>
          </cell>
        </row>
        <row r="1856">
          <cell r="C1856" t="str">
            <v>Charles H Best MS</v>
          </cell>
          <cell r="D1856" t="str">
            <v>TSPS (Portfolio 1) Limited Partnership</v>
          </cell>
          <cell r="E1856" t="str">
            <v>CO</v>
          </cell>
          <cell r="F1856">
            <v>42583</v>
          </cell>
          <cell r="G1856">
            <v>42241</v>
          </cell>
          <cell r="H1856">
            <v>49545</v>
          </cell>
          <cell r="I1856" t="str">
            <v>19 years, 11 months, 30 days</v>
          </cell>
          <cell r="J1856" t="str">
            <v>Renewables</v>
          </cell>
          <cell r="K1856" t="str">
            <v>Solar (Rooftop)</v>
          </cell>
          <cell r="L1856" t="str">
            <v>Solar</v>
          </cell>
          <cell r="M1856" t="str">
            <v>Dx</v>
          </cell>
          <cell r="N1856" t="str">
            <v>Toronto</v>
          </cell>
          <cell r="O1856" t="str">
            <v>Toronto</v>
          </cell>
          <cell r="P1856" t="str">
            <v>Toronto</v>
          </cell>
        </row>
        <row r="1857">
          <cell r="C1857" t="str">
            <v>TOR-160 Claireville</v>
          </cell>
          <cell r="D1857" t="str">
            <v>Métis Nation of Ontario - BrightRoof Solar LP</v>
          </cell>
          <cell r="E1857" t="str">
            <v>CO</v>
          </cell>
          <cell r="F1857">
            <v>42117</v>
          </cell>
          <cell r="G1857">
            <v>42202</v>
          </cell>
          <cell r="H1857">
            <v>49421</v>
          </cell>
          <cell r="I1857" t="str">
            <v>19 years, 9 months, 5 days</v>
          </cell>
          <cell r="J1857" t="str">
            <v>Renewables</v>
          </cell>
          <cell r="K1857" t="str">
            <v>Solar (Rooftop)</v>
          </cell>
          <cell r="L1857" t="str">
            <v>Solar</v>
          </cell>
          <cell r="M1857" t="str">
            <v>Dx</v>
          </cell>
          <cell r="N1857" t="str">
            <v>Toronto</v>
          </cell>
          <cell r="O1857" t="str">
            <v>Toronto</v>
          </cell>
          <cell r="P1857" t="str">
            <v>Toronto</v>
          </cell>
        </row>
        <row r="1858">
          <cell r="C1858" t="str">
            <v>Central Commerce Collegiate</v>
          </cell>
          <cell r="D1858" t="str">
            <v>TSPS (Portfolio 2) Limited Partnership</v>
          </cell>
          <cell r="E1858" t="str">
            <v>CO</v>
          </cell>
          <cell r="F1858">
            <v>42583</v>
          </cell>
          <cell r="G1858">
            <v>42286</v>
          </cell>
          <cell r="H1858">
            <v>49590</v>
          </cell>
          <cell r="I1858" t="str">
            <v>19 years, 11 months, 29 days</v>
          </cell>
          <cell r="J1858" t="str">
            <v>Renewables</v>
          </cell>
          <cell r="K1858" t="str">
            <v>Solar (Rooftop)</v>
          </cell>
          <cell r="L1858" t="str">
            <v>Solar</v>
          </cell>
          <cell r="M1858" t="str">
            <v>Dx</v>
          </cell>
          <cell r="N1858" t="str">
            <v>Toronto</v>
          </cell>
          <cell r="O1858" t="str">
            <v>Toronto</v>
          </cell>
          <cell r="P1858" t="str">
            <v>Toronto</v>
          </cell>
        </row>
        <row r="1859">
          <cell r="C1859" t="str">
            <v>Orchard Park PS</v>
          </cell>
          <cell r="D1859" t="str">
            <v>Potentia Solar 5 Limited Partnership</v>
          </cell>
          <cell r="E1859" t="str">
            <v>CO</v>
          </cell>
          <cell r="F1859">
            <v>42063</v>
          </cell>
          <cell r="G1859">
            <v>42172</v>
          </cell>
          <cell r="H1859">
            <v>49367</v>
          </cell>
          <cell r="I1859" t="str">
            <v>19 years, 8 months, 10 days</v>
          </cell>
          <cell r="J1859" t="str">
            <v>Renewables</v>
          </cell>
          <cell r="K1859" t="str">
            <v>Solar (Rooftop)</v>
          </cell>
          <cell r="L1859" t="str">
            <v>Solar</v>
          </cell>
          <cell r="M1859" t="str">
            <v>Dx</v>
          </cell>
          <cell r="N1859" t="str">
            <v>Orillia</v>
          </cell>
          <cell r="O1859" t="str">
            <v>Simcoe</v>
          </cell>
          <cell r="P1859" t="str">
            <v>Essa</v>
          </cell>
        </row>
        <row r="1860">
          <cell r="C1860" t="str">
            <v>2011-012</v>
          </cell>
          <cell r="D1860" t="str">
            <v>Potentia Solar 14 Limited Partnership</v>
          </cell>
          <cell r="E1860" t="str">
            <v>CO</v>
          </cell>
          <cell r="F1860">
            <v>42102</v>
          </cell>
          <cell r="G1860">
            <v>42037</v>
          </cell>
          <cell r="H1860">
            <v>49341</v>
          </cell>
          <cell r="I1860" t="str">
            <v>19 years, 11 months, 30 days</v>
          </cell>
          <cell r="J1860" t="str">
            <v>Renewables</v>
          </cell>
          <cell r="K1860" t="str">
            <v>Solar (Rooftop)</v>
          </cell>
          <cell r="L1860" t="str">
            <v>Solar</v>
          </cell>
          <cell r="M1860" t="str">
            <v>Dx</v>
          </cell>
          <cell r="N1860" t="str">
            <v>Chesley</v>
          </cell>
          <cell r="O1860" t="str">
            <v>Bruce</v>
          </cell>
          <cell r="P1860" t="str">
            <v>Southwest</v>
          </cell>
        </row>
        <row r="1861">
          <cell r="C1861" t="str">
            <v>St. Mary's Catholic High School</v>
          </cell>
          <cell r="D1861" t="str">
            <v>Potentia Solar 6 Limited Partnership</v>
          </cell>
          <cell r="E1861" t="str">
            <v>CO</v>
          </cell>
          <cell r="F1861">
            <v>42097</v>
          </cell>
          <cell r="G1861">
            <v>42263</v>
          </cell>
          <cell r="H1861">
            <v>49401</v>
          </cell>
          <cell r="I1861" t="str">
            <v>19 years, 6 months, 17 days</v>
          </cell>
          <cell r="J1861" t="str">
            <v>Renewables</v>
          </cell>
          <cell r="K1861" t="str">
            <v>Solar (Rooftop)</v>
          </cell>
          <cell r="L1861" t="str">
            <v>Solar</v>
          </cell>
          <cell r="M1861" t="str">
            <v>Dx</v>
          </cell>
          <cell r="N1861" t="str">
            <v>Kitchener</v>
          </cell>
          <cell r="O1861" t="str">
            <v>Waterloo</v>
          </cell>
          <cell r="P1861" t="str">
            <v>Southwest</v>
          </cell>
        </row>
        <row r="1862">
          <cell r="C1862" t="str">
            <v>Solvation-S</v>
          </cell>
          <cell r="D1862" t="str">
            <v>Saturn Solar 3 LP</v>
          </cell>
          <cell r="E1862" t="str">
            <v>CO</v>
          </cell>
          <cell r="F1862">
            <v>42761</v>
          </cell>
          <cell r="G1862">
            <v>42405</v>
          </cell>
          <cell r="H1862">
            <v>49709</v>
          </cell>
          <cell r="I1862" t="str">
            <v>19 years, 11 months, 30 days</v>
          </cell>
          <cell r="J1862" t="str">
            <v>Renewables</v>
          </cell>
          <cell r="K1862" t="str">
            <v>Solar (Ground Mounted)</v>
          </cell>
          <cell r="L1862" t="str">
            <v>Solar</v>
          </cell>
          <cell r="M1862" t="str">
            <v>Dx</v>
          </cell>
          <cell r="N1862" t="str">
            <v>Blind River</v>
          </cell>
          <cell r="O1862" t="str">
            <v>Algoma</v>
          </cell>
          <cell r="P1862" t="str">
            <v>Northeast</v>
          </cell>
        </row>
        <row r="1863">
          <cell r="C1863" t="str">
            <v>24929 Warden Avenue, Keswick</v>
          </cell>
          <cell r="D1863" t="str">
            <v>Doug Johnson &amp; Debi Johnson</v>
          </cell>
          <cell r="E1863" t="str">
            <v>CO</v>
          </cell>
          <cell r="F1863">
            <v>42104</v>
          </cell>
          <cell r="G1863">
            <v>41970</v>
          </cell>
          <cell r="H1863">
            <v>49274</v>
          </cell>
          <cell r="I1863" t="str">
            <v>19 years, 11 months, 30 days</v>
          </cell>
          <cell r="J1863" t="str">
            <v>Renewables</v>
          </cell>
          <cell r="K1863" t="str">
            <v>Solar (Rooftop)</v>
          </cell>
          <cell r="L1863" t="str">
            <v>Solar</v>
          </cell>
          <cell r="M1863" t="str">
            <v>Dx</v>
          </cell>
          <cell r="N1863" t="str">
            <v>Keswick</v>
          </cell>
          <cell r="O1863" t="str">
            <v>York</v>
          </cell>
          <cell r="P1863" t="str">
            <v>Essa</v>
          </cell>
        </row>
        <row r="1864">
          <cell r="C1864" t="str">
            <v>COLBORNE ONE</v>
          </cell>
          <cell r="D1864" t="str">
            <v>RAMS Solar Inc.</v>
          </cell>
          <cell r="E1864" t="str">
            <v>CO</v>
          </cell>
          <cell r="F1864">
            <v>42650</v>
          </cell>
          <cell r="G1864">
            <v>43178</v>
          </cell>
          <cell r="H1864">
            <v>49954</v>
          </cell>
          <cell r="I1864" t="str">
            <v>18 years, 6 months, 17 days</v>
          </cell>
          <cell r="J1864" t="str">
            <v>Renewables</v>
          </cell>
          <cell r="K1864" t="str">
            <v>Solar (Ground Mounted)</v>
          </cell>
          <cell r="L1864" t="str">
            <v>Solar</v>
          </cell>
          <cell r="M1864" t="str">
            <v>Dx</v>
          </cell>
          <cell r="N1864" t="str">
            <v>Colborne</v>
          </cell>
          <cell r="O1864" t="str">
            <v>Northumberland</v>
          </cell>
          <cell r="P1864" t="str">
            <v>East</v>
          </cell>
        </row>
        <row r="1865">
          <cell r="C1865" t="str">
            <v>52mcintyre</v>
          </cell>
          <cell r="D1865" t="str">
            <v>GSC RP6 LP</v>
          </cell>
          <cell r="E1865" t="str">
            <v>CO</v>
          </cell>
          <cell r="F1865">
            <v>42082</v>
          </cell>
          <cell r="G1865">
            <v>42150</v>
          </cell>
          <cell r="H1865">
            <v>49386</v>
          </cell>
          <cell r="I1865" t="str">
            <v>19 years, 9 months, 20 days</v>
          </cell>
          <cell r="J1865" t="str">
            <v>Renewables</v>
          </cell>
          <cell r="K1865" t="str">
            <v>Solar (Rooftop)</v>
          </cell>
          <cell r="L1865" t="str">
            <v>Solar</v>
          </cell>
          <cell r="M1865" t="str">
            <v>Dx</v>
          </cell>
          <cell r="N1865" t="str">
            <v>Kitchener</v>
          </cell>
          <cell r="O1865" t="str">
            <v>Waterloo</v>
          </cell>
          <cell r="P1865" t="str">
            <v>Southwest</v>
          </cell>
        </row>
        <row r="1866">
          <cell r="C1866" t="str">
            <v>Goulais River</v>
          </cell>
          <cell r="D1866" t="str">
            <v>Superior Energy Solutions</v>
          </cell>
          <cell r="E1866" t="str">
            <v>CO</v>
          </cell>
          <cell r="F1866">
            <v>42549</v>
          </cell>
          <cell r="G1866">
            <v>42251</v>
          </cell>
          <cell r="H1866">
            <v>49555</v>
          </cell>
          <cell r="I1866" t="str">
            <v>19 years, 11 months, 30 days</v>
          </cell>
          <cell r="J1866" t="str">
            <v>Renewables</v>
          </cell>
          <cell r="K1866" t="str">
            <v>Solar (Rooftop)</v>
          </cell>
          <cell r="L1866" t="str">
            <v>Solar</v>
          </cell>
          <cell r="M1866" t="str">
            <v>Dx</v>
          </cell>
          <cell r="N1866" t="str">
            <v>Goulais River</v>
          </cell>
          <cell r="O1866" t="str">
            <v>Algoma</v>
          </cell>
          <cell r="P1866" t="str">
            <v>Northeast</v>
          </cell>
        </row>
        <row r="1867">
          <cell r="C1867" t="str">
            <v>RD Solar Roof</v>
          </cell>
          <cell r="D1867" t="str">
            <v>Sun Dancer Solar #2 Ltd.</v>
          </cell>
          <cell r="E1867" t="str">
            <v>CO</v>
          </cell>
          <cell r="F1867">
            <v>42167</v>
          </cell>
          <cell r="G1867">
            <v>42226</v>
          </cell>
          <cell r="H1867">
            <v>49471</v>
          </cell>
          <cell r="I1867" t="str">
            <v>19 years, 10 months, 1 days</v>
          </cell>
          <cell r="J1867" t="str">
            <v>Renewables</v>
          </cell>
          <cell r="K1867" t="str">
            <v>Solar (Rooftop)</v>
          </cell>
          <cell r="L1867" t="str">
            <v>Solar</v>
          </cell>
          <cell r="M1867" t="str">
            <v>Dx</v>
          </cell>
          <cell r="N1867" t="str">
            <v>Chatham</v>
          </cell>
          <cell r="O1867" t="str">
            <v>Chatham-Kent</v>
          </cell>
          <cell r="P1867" t="str">
            <v>West</v>
          </cell>
        </row>
        <row r="1868">
          <cell r="C1868" t="str">
            <v>North Bridlewood Jr PS</v>
          </cell>
          <cell r="D1868" t="str">
            <v>TSPS (Portfolio 2) Limited Partnership</v>
          </cell>
          <cell r="E1868" t="str">
            <v>CO</v>
          </cell>
          <cell r="F1868">
            <v>42604</v>
          </cell>
          <cell r="G1868">
            <v>42702</v>
          </cell>
          <cell r="H1868">
            <v>49908</v>
          </cell>
          <cell r="I1868" t="str">
            <v>19 years, 8 months, 24 days</v>
          </cell>
          <cell r="J1868" t="str">
            <v>Renewables</v>
          </cell>
          <cell r="K1868" t="str">
            <v>Solar (Rooftop)</v>
          </cell>
          <cell r="L1868" t="str">
            <v>Solar</v>
          </cell>
          <cell r="M1868" t="str">
            <v>Dx</v>
          </cell>
          <cell r="N1868" t="str">
            <v>Toronto</v>
          </cell>
          <cell r="O1868" t="str">
            <v>Toronto</v>
          </cell>
          <cell r="P1868" t="str">
            <v>Toronto</v>
          </cell>
        </row>
        <row r="1869">
          <cell r="C1869" t="str">
            <v>Betolianni Solar 3</v>
          </cell>
          <cell r="D1869" t="str">
            <v>2642052 Ontario Ltd</v>
          </cell>
          <cell r="E1869" t="str">
            <v>CO</v>
          </cell>
          <cell r="F1869">
            <v>42104</v>
          </cell>
          <cell r="G1869">
            <v>41990</v>
          </cell>
          <cell r="H1869">
            <v>49294</v>
          </cell>
          <cell r="I1869" t="str">
            <v>19 years, 11 months, 29 days</v>
          </cell>
          <cell r="J1869" t="str">
            <v>Renewables</v>
          </cell>
          <cell r="K1869" t="str">
            <v>Solar (Rooftop)</v>
          </cell>
          <cell r="L1869" t="str">
            <v>Solar</v>
          </cell>
          <cell r="M1869" t="str">
            <v>Dx</v>
          </cell>
          <cell r="N1869" t="str">
            <v>Bailieboro</v>
          </cell>
          <cell r="O1869" t="str">
            <v>Peterborough</v>
          </cell>
          <cell r="P1869" t="str">
            <v>East</v>
          </cell>
        </row>
        <row r="1870">
          <cell r="C1870" t="str">
            <v>Endura Energy - 30 Midair</v>
          </cell>
          <cell r="D1870" t="str">
            <v>Community Solar Assets 2 Limited</v>
          </cell>
          <cell r="E1870" t="str">
            <v>CO</v>
          </cell>
          <cell r="F1870">
            <v>42056</v>
          </cell>
          <cell r="G1870">
            <v>42114</v>
          </cell>
          <cell r="H1870">
            <v>49360</v>
          </cell>
          <cell r="I1870" t="str">
            <v>19 years, 10 months, 0 days</v>
          </cell>
          <cell r="J1870" t="str">
            <v>Renewables</v>
          </cell>
          <cell r="K1870" t="str">
            <v>Solar (Rooftop)</v>
          </cell>
          <cell r="L1870" t="str">
            <v>Solar</v>
          </cell>
          <cell r="M1870" t="str">
            <v>Dx</v>
          </cell>
          <cell r="N1870" t="str">
            <v>Brampton</v>
          </cell>
          <cell r="O1870" t="str">
            <v>Peel</v>
          </cell>
          <cell r="P1870" t="str">
            <v>Toronto</v>
          </cell>
        </row>
        <row r="1871">
          <cell r="C1871" t="str">
            <v>YCDSB - Blessed Trinity</v>
          </cell>
          <cell r="D1871" t="str">
            <v>Potentia Solar 7 Limited Partnership</v>
          </cell>
          <cell r="E1871" t="str">
            <v>CO</v>
          </cell>
          <cell r="F1871">
            <v>42068</v>
          </cell>
          <cell r="G1871">
            <v>41996</v>
          </cell>
          <cell r="H1871">
            <v>49300</v>
          </cell>
          <cell r="I1871" t="str">
            <v>19 years, 11 months, 29 days</v>
          </cell>
          <cell r="J1871" t="str">
            <v>Renewables</v>
          </cell>
          <cell r="K1871" t="str">
            <v>Solar (Rooftop)</v>
          </cell>
          <cell r="L1871" t="str">
            <v>Solar</v>
          </cell>
          <cell r="M1871" t="str">
            <v>Dx</v>
          </cell>
          <cell r="N1871" t="str">
            <v>Vaughan</v>
          </cell>
          <cell r="O1871" t="str">
            <v>York</v>
          </cell>
          <cell r="P1871" t="str">
            <v>Toronto</v>
          </cell>
        </row>
        <row r="1872">
          <cell r="C1872" t="str">
            <v>THE VILLAGE</v>
          </cell>
          <cell r="D1872" t="str">
            <v>MURRAY VAN GRINSVEN</v>
          </cell>
          <cell r="E1872" t="str">
            <v>CO</v>
          </cell>
          <cell r="F1872">
            <v>42150</v>
          </cell>
          <cell r="G1872">
            <v>41886</v>
          </cell>
          <cell r="H1872">
            <v>49190</v>
          </cell>
          <cell r="I1872" t="str">
            <v>19 years, 11 months, 30 days</v>
          </cell>
          <cell r="J1872" t="str">
            <v>Renewables</v>
          </cell>
          <cell r="K1872" t="str">
            <v>Solar (Rooftop)</v>
          </cell>
          <cell r="L1872" t="str">
            <v>Solar</v>
          </cell>
          <cell r="M1872" t="str">
            <v>Dx</v>
          </cell>
          <cell r="N1872" t="str">
            <v>Strathroy</v>
          </cell>
          <cell r="O1872" t="str">
            <v>Middlesex</v>
          </cell>
          <cell r="P1872" t="str">
            <v>West</v>
          </cell>
        </row>
        <row r="1873">
          <cell r="C1873" t="str">
            <v>Base Solar PV</v>
          </cell>
          <cell r="D1873" t="str">
            <v>SEELEY BEAVER SPRINGS LTD.</v>
          </cell>
          <cell r="E1873" t="str">
            <v>CO</v>
          </cell>
          <cell r="F1873">
            <v>42660</v>
          </cell>
          <cell r="G1873">
            <v>42517</v>
          </cell>
          <cell r="H1873">
            <v>49821</v>
          </cell>
          <cell r="I1873" t="str">
            <v>19 years, 11 months, 29 days</v>
          </cell>
          <cell r="J1873" t="str">
            <v>Renewables</v>
          </cell>
          <cell r="K1873" t="str">
            <v>Solar (Ground Mounted)</v>
          </cell>
          <cell r="L1873" t="str">
            <v>Solar</v>
          </cell>
          <cell r="M1873" t="str">
            <v>Dx</v>
          </cell>
          <cell r="N1873" t="str">
            <v>Flesherton</v>
          </cell>
          <cell r="O1873" t="str">
            <v>Grey</v>
          </cell>
          <cell r="P1873" t="str">
            <v>Southwest</v>
          </cell>
        </row>
        <row r="1874">
          <cell r="C1874" t="str">
            <v>SIMPSON SOLAR</v>
          </cell>
          <cell r="D1874" t="str">
            <v>SCOTT GORDON SIMPSON</v>
          </cell>
          <cell r="E1874" t="str">
            <v>CO</v>
          </cell>
          <cell r="F1874">
            <v>42095</v>
          </cell>
          <cell r="G1874">
            <v>42145</v>
          </cell>
          <cell r="H1874">
            <v>49399</v>
          </cell>
          <cell r="I1874" t="str">
            <v>19 years, 10 months, 10 days</v>
          </cell>
          <cell r="J1874" t="str">
            <v>Renewables</v>
          </cell>
          <cell r="K1874" t="str">
            <v>Solar (Rooftop)</v>
          </cell>
          <cell r="L1874" t="str">
            <v>Solar</v>
          </cell>
          <cell r="M1874" t="str">
            <v>Dx</v>
          </cell>
          <cell r="N1874" t="str">
            <v>Wellington</v>
          </cell>
          <cell r="O1874" t="str">
            <v>Hastings</v>
          </cell>
          <cell r="P1874" t="str">
            <v>East</v>
          </cell>
        </row>
        <row r="1875">
          <cell r="C1875" t="str">
            <v>YCDSB - Holy Jubilee</v>
          </cell>
          <cell r="D1875" t="str">
            <v>Potentia Solar 7 Limited Partnership</v>
          </cell>
          <cell r="E1875" t="str">
            <v>CO</v>
          </cell>
          <cell r="F1875">
            <v>42068</v>
          </cell>
          <cell r="G1875">
            <v>42090</v>
          </cell>
          <cell r="H1875">
            <v>49372</v>
          </cell>
          <cell r="I1875" t="str">
            <v>19 years, 11 months, 5 days</v>
          </cell>
          <cell r="J1875" t="str">
            <v>Renewables</v>
          </cell>
          <cell r="K1875" t="str">
            <v>Solar (Rooftop)</v>
          </cell>
          <cell r="L1875" t="str">
            <v>Solar</v>
          </cell>
          <cell r="M1875" t="str">
            <v>Dx</v>
          </cell>
          <cell r="N1875" t="str">
            <v>Vaughan</v>
          </cell>
          <cell r="O1875" t="str">
            <v>York</v>
          </cell>
          <cell r="P1875" t="str">
            <v>Toronto</v>
          </cell>
        </row>
        <row r="1876">
          <cell r="C1876" t="str">
            <v>ORA-410 Richardson</v>
          </cell>
          <cell r="D1876" t="str">
            <v>Métis Nation of Ontario - BrightRoof Solar LP</v>
          </cell>
          <cell r="E1876" t="str">
            <v>CO</v>
          </cell>
          <cell r="F1876">
            <v>42104</v>
          </cell>
          <cell r="G1876">
            <v>42177</v>
          </cell>
          <cell r="H1876">
            <v>49408</v>
          </cell>
          <cell r="I1876" t="str">
            <v>19 years, 9 months, 18 days</v>
          </cell>
          <cell r="J1876" t="str">
            <v>Renewables</v>
          </cell>
          <cell r="K1876" t="str">
            <v>Solar (Rooftop)</v>
          </cell>
          <cell r="L1876" t="str">
            <v>Solar</v>
          </cell>
          <cell r="M1876" t="str">
            <v>Dx</v>
          </cell>
          <cell r="N1876" t="str">
            <v>Orangeville</v>
          </cell>
          <cell r="O1876" t="str">
            <v>Dufferin</v>
          </cell>
          <cell r="P1876" t="str">
            <v>Southwest</v>
          </cell>
        </row>
        <row r="1877">
          <cell r="C1877" t="str">
            <v>KRHL Rooftop Solar PV Project</v>
          </cell>
          <cell r="D1877" t="str">
            <v>Kingston Regional Hospital Laundry Incorporated</v>
          </cell>
          <cell r="E1877" t="str">
            <v>CO</v>
          </cell>
          <cell r="F1877">
            <v>42061</v>
          </cell>
          <cell r="G1877">
            <v>41852</v>
          </cell>
          <cell r="H1877">
            <v>49156</v>
          </cell>
          <cell r="I1877" t="str">
            <v>19 years, 11 months, 30 days</v>
          </cell>
          <cell r="J1877" t="str">
            <v>Renewables</v>
          </cell>
          <cell r="K1877" t="str">
            <v>Solar (Rooftop)</v>
          </cell>
          <cell r="L1877" t="str">
            <v>Solar</v>
          </cell>
          <cell r="M1877" t="str">
            <v>Dx</v>
          </cell>
          <cell r="N1877" t="str">
            <v>Kingston</v>
          </cell>
          <cell r="O1877" t="str">
            <v>Frontenac</v>
          </cell>
          <cell r="P1877" t="str">
            <v>East</v>
          </cell>
        </row>
        <row r="1878">
          <cell r="C1878" t="str">
            <v>Essa District Agricultural Society</v>
          </cell>
          <cell r="D1878" t="str">
            <v>SCCEC LP</v>
          </cell>
          <cell r="E1878" t="str">
            <v>CO</v>
          </cell>
          <cell r="F1878">
            <v>42097</v>
          </cell>
          <cell r="G1878">
            <v>42117</v>
          </cell>
          <cell r="H1878">
            <v>49401</v>
          </cell>
          <cell r="I1878" t="str">
            <v>19 years, 11 months, 10 days</v>
          </cell>
          <cell r="J1878" t="str">
            <v>Renewables</v>
          </cell>
          <cell r="K1878" t="str">
            <v>Solar (Rooftop)</v>
          </cell>
          <cell r="L1878" t="str">
            <v>Solar</v>
          </cell>
          <cell r="M1878" t="str">
            <v>Dx</v>
          </cell>
          <cell r="N1878" t="str">
            <v>Thornton</v>
          </cell>
          <cell r="O1878" t="str">
            <v>Simcoe</v>
          </cell>
          <cell r="P1878" t="str">
            <v>Essa</v>
          </cell>
        </row>
        <row r="1879">
          <cell r="C1879" t="str">
            <v>McKee PS</v>
          </cell>
          <cell r="D1879" t="str">
            <v>TSPS (Portfolio 1) Limited Partnership</v>
          </cell>
          <cell r="E1879" t="str">
            <v>CO</v>
          </cell>
          <cell r="F1879">
            <v>42604</v>
          </cell>
          <cell r="G1879">
            <v>42290</v>
          </cell>
          <cell r="H1879">
            <v>49594</v>
          </cell>
          <cell r="I1879" t="str">
            <v>19 years, 11 months, 29 days</v>
          </cell>
          <cell r="J1879" t="str">
            <v>Renewables</v>
          </cell>
          <cell r="K1879" t="str">
            <v>Solar (Rooftop)</v>
          </cell>
          <cell r="L1879" t="str">
            <v>Solar</v>
          </cell>
          <cell r="M1879" t="str">
            <v>Dx</v>
          </cell>
          <cell r="N1879" t="str">
            <v>Toronto</v>
          </cell>
          <cell r="O1879" t="str">
            <v>Toronto</v>
          </cell>
          <cell r="P1879" t="str">
            <v>Toronto</v>
          </cell>
        </row>
        <row r="1880">
          <cell r="C1880" t="str">
            <v>759615 Ontario Limited (164294)</v>
          </cell>
          <cell r="D1880" t="str">
            <v>Chippewas of the Thames Solar Corp.</v>
          </cell>
          <cell r="E1880" t="str">
            <v>CO</v>
          </cell>
          <cell r="F1880">
            <v>42054</v>
          </cell>
          <cell r="G1880">
            <v>42235</v>
          </cell>
          <cell r="H1880">
            <v>49358</v>
          </cell>
          <cell r="I1880" t="str">
            <v>19 years, 5 months, 30 days</v>
          </cell>
          <cell r="J1880" t="str">
            <v>Renewables</v>
          </cell>
          <cell r="K1880" t="str">
            <v>Solar (Rooftop)</v>
          </cell>
          <cell r="L1880" t="str">
            <v>Solar</v>
          </cell>
          <cell r="M1880" t="str">
            <v>Dx</v>
          </cell>
          <cell r="N1880" t="str">
            <v>Comber</v>
          </cell>
          <cell r="O1880" t="str">
            <v>Chatham-Kent</v>
          </cell>
          <cell r="P1880" t="str">
            <v>West</v>
          </cell>
        </row>
        <row r="1881">
          <cell r="C1881" t="str">
            <v>Torbay Power</v>
          </cell>
          <cell r="D1881" t="str">
            <v>1887203 Ontario Inc.</v>
          </cell>
          <cell r="E1881" t="str">
            <v>CO</v>
          </cell>
          <cell r="F1881">
            <v>42070</v>
          </cell>
          <cell r="G1881">
            <v>42247</v>
          </cell>
          <cell r="H1881">
            <v>49374</v>
          </cell>
          <cell r="I1881" t="str">
            <v>19 years, 6 months, 3 days</v>
          </cell>
          <cell r="J1881" t="str">
            <v>Renewables</v>
          </cell>
          <cell r="K1881" t="str">
            <v>Solar (Rooftop)</v>
          </cell>
          <cell r="L1881" t="str">
            <v>Solar</v>
          </cell>
          <cell r="M1881" t="str">
            <v>Dx</v>
          </cell>
          <cell r="N1881" t="str">
            <v>Markham</v>
          </cell>
          <cell r="O1881" t="str">
            <v>York</v>
          </cell>
          <cell r="P1881" t="str">
            <v>Toronto</v>
          </cell>
        </row>
        <row r="1882">
          <cell r="C1882" t="str">
            <v>Minten Solar #3</v>
          </cell>
          <cell r="D1882" t="str">
            <v>Minten SFN Limited Partnership</v>
          </cell>
          <cell r="E1882" t="str">
            <v>CO</v>
          </cell>
          <cell r="F1882">
            <v>42112</v>
          </cell>
          <cell r="G1882">
            <v>42293</v>
          </cell>
          <cell r="H1882">
            <v>49416</v>
          </cell>
          <cell r="I1882" t="str">
            <v>19 years, 6 months, 1 days</v>
          </cell>
          <cell r="J1882" t="str">
            <v>Renewables</v>
          </cell>
          <cell r="K1882" t="str">
            <v>Solar (Rooftop)</v>
          </cell>
          <cell r="L1882" t="str">
            <v>Solar</v>
          </cell>
          <cell r="M1882" t="str">
            <v>Dx</v>
          </cell>
          <cell r="N1882" t="str">
            <v>Watford</v>
          </cell>
          <cell r="O1882" t="str">
            <v>Lambton</v>
          </cell>
          <cell r="P1882" t="str">
            <v>West</v>
          </cell>
        </row>
        <row r="1883">
          <cell r="C1883" t="str">
            <v>96 Disco</v>
          </cell>
          <cell r="D1883" t="str">
            <v>Disco Road Nominee Ltd.</v>
          </cell>
          <cell r="E1883" t="str">
            <v>CO</v>
          </cell>
          <cell r="F1883">
            <v>42112</v>
          </cell>
          <cell r="G1883">
            <v>41933</v>
          </cell>
          <cell r="H1883">
            <v>49237</v>
          </cell>
          <cell r="I1883" t="str">
            <v>19 years, 11 months, 29 days</v>
          </cell>
          <cell r="J1883" t="str">
            <v>Renewables</v>
          </cell>
          <cell r="K1883" t="str">
            <v>Solar (Rooftop)</v>
          </cell>
          <cell r="L1883" t="str">
            <v>Solar</v>
          </cell>
          <cell r="M1883" t="str">
            <v>Dx</v>
          </cell>
          <cell r="N1883" t="str">
            <v>Toronto</v>
          </cell>
          <cell r="O1883" t="str">
            <v>Toronto</v>
          </cell>
          <cell r="P1883" t="str">
            <v>Toronto</v>
          </cell>
        </row>
        <row r="1884">
          <cell r="C1884" t="str">
            <v>135 Dundas Street RT</v>
          </cell>
          <cell r="D1884" t="str">
            <v>JCM Solar GP1 Ltd.</v>
          </cell>
          <cell r="E1884" t="str">
            <v>CO</v>
          </cell>
          <cell r="F1884">
            <v>42112</v>
          </cell>
          <cell r="G1884">
            <v>42265</v>
          </cell>
          <cell r="H1884">
            <v>49416</v>
          </cell>
          <cell r="I1884" t="str">
            <v>19 years, 6 months, 30 days</v>
          </cell>
          <cell r="J1884" t="str">
            <v>Renewables</v>
          </cell>
          <cell r="K1884" t="str">
            <v>Solar (Rooftop)</v>
          </cell>
          <cell r="L1884" t="str">
            <v>Solar</v>
          </cell>
          <cell r="M1884" t="str">
            <v>Dx</v>
          </cell>
          <cell r="N1884" t="str">
            <v>Cambridge</v>
          </cell>
          <cell r="O1884" t="str">
            <v>Waterloo</v>
          </cell>
          <cell r="P1884" t="str">
            <v>Southwest</v>
          </cell>
        </row>
        <row r="1885">
          <cell r="C1885" t="str">
            <v>Woodslee Solar</v>
          </cell>
          <cell r="D1885" t="str">
            <v>Woodslee Solar Inc.</v>
          </cell>
          <cell r="E1885" t="str">
            <v>CO</v>
          </cell>
          <cell r="F1885">
            <v>42761</v>
          </cell>
          <cell r="G1885">
            <v>42088</v>
          </cell>
          <cell r="H1885">
            <v>49392</v>
          </cell>
          <cell r="I1885" t="str">
            <v>19 years, 11 months, 27 days</v>
          </cell>
          <cell r="J1885" t="str">
            <v>Renewables</v>
          </cell>
          <cell r="K1885" t="str">
            <v>Solar (Ground Mounted)</v>
          </cell>
          <cell r="L1885" t="str">
            <v>Solar</v>
          </cell>
          <cell r="M1885" t="str">
            <v>Dx</v>
          </cell>
          <cell r="N1885" t="str">
            <v>Essex</v>
          </cell>
          <cell r="O1885" t="str">
            <v>Essex</v>
          </cell>
          <cell r="P1885" t="str">
            <v>West</v>
          </cell>
        </row>
        <row r="1886">
          <cell r="C1886" t="str">
            <v>CBBG Realty Solar</v>
          </cell>
          <cell r="D1886" t="str">
            <v>Lawrenceville Corporation</v>
          </cell>
          <cell r="E1886" t="str">
            <v>CO</v>
          </cell>
          <cell r="F1886">
            <v>42089</v>
          </cell>
          <cell r="G1886">
            <v>42123</v>
          </cell>
          <cell r="H1886">
            <v>49393</v>
          </cell>
          <cell r="I1886" t="str">
            <v>19 years, 10 months, 24 days</v>
          </cell>
          <cell r="J1886" t="str">
            <v>Renewables</v>
          </cell>
          <cell r="K1886" t="str">
            <v>Solar (Rooftop)</v>
          </cell>
          <cell r="L1886" t="str">
            <v>Solar</v>
          </cell>
          <cell r="M1886" t="str">
            <v>Dx</v>
          </cell>
          <cell r="N1886" t="str">
            <v>Chelmsford</v>
          </cell>
          <cell r="O1886" t="str">
            <v>Greater Sudbury</v>
          </cell>
          <cell r="P1886" t="str">
            <v>Northeast</v>
          </cell>
        </row>
        <row r="1887">
          <cell r="C1887" t="str">
            <v>Holland Acres Solar Array</v>
          </cell>
          <cell r="D1887" t="str">
            <v>HOLLAND ACRES INCORPORATED</v>
          </cell>
          <cell r="E1887" t="str">
            <v>CO</v>
          </cell>
          <cell r="F1887">
            <v>42102</v>
          </cell>
          <cell r="G1887">
            <v>42016</v>
          </cell>
          <cell r="H1887">
            <v>49320</v>
          </cell>
          <cell r="I1887" t="str">
            <v>19 years, 11 months, 30 days</v>
          </cell>
          <cell r="J1887" t="str">
            <v>Renewables</v>
          </cell>
          <cell r="K1887" t="str">
            <v>Solar (Rooftop)</v>
          </cell>
          <cell r="L1887" t="str">
            <v>Solar</v>
          </cell>
          <cell r="M1887" t="str">
            <v>Dx</v>
          </cell>
          <cell r="N1887" t="str">
            <v>Newmarket</v>
          </cell>
          <cell r="O1887" t="str">
            <v>York</v>
          </cell>
          <cell r="P1887" t="str">
            <v>Essa</v>
          </cell>
        </row>
        <row r="1888">
          <cell r="C1888" t="str">
            <v>Beach United Solar Joint Venture Project</v>
          </cell>
          <cell r="D1888" t="str">
            <v>Beach United Solar Joint Venture</v>
          </cell>
          <cell r="E1888" t="str">
            <v>CO</v>
          </cell>
          <cell r="F1888">
            <v>42056</v>
          </cell>
          <cell r="G1888">
            <v>42059</v>
          </cell>
          <cell r="H1888">
            <v>49360</v>
          </cell>
          <cell r="I1888" t="str">
            <v>19 years, 11 months, 27 days</v>
          </cell>
          <cell r="J1888" t="str">
            <v>Renewables</v>
          </cell>
          <cell r="K1888" t="str">
            <v>Solar (Rooftop)</v>
          </cell>
          <cell r="L1888" t="str">
            <v>Solar</v>
          </cell>
          <cell r="M1888" t="str">
            <v>Dx</v>
          </cell>
          <cell r="N1888" t="str">
            <v>Toronto</v>
          </cell>
          <cell r="O1888" t="str">
            <v>Toronto</v>
          </cell>
          <cell r="P1888" t="str">
            <v>Toronto</v>
          </cell>
        </row>
        <row r="1889">
          <cell r="C1889" t="str">
            <v>651 Harwood Ave N</v>
          </cell>
          <cell r="D1889" t="str">
            <v>2344215 Ontario Inc.</v>
          </cell>
          <cell r="E1889" t="str">
            <v>CO</v>
          </cell>
          <cell r="F1889">
            <v>42112</v>
          </cell>
          <cell r="G1889">
            <v>42293</v>
          </cell>
          <cell r="H1889">
            <v>49416</v>
          </cell>
          <cell r="I1889" t="str">
            <v>19 years, 6 months, 1 days</v>
          </cell>
          <cell r="J1889" t="str">
            <v>Renewables</v>
          </cell>
          <cell r="K1889" t="str">
            <v>Solar (Rooftop)</v>
          </cell>
          <cell r="L1889" t="str">
            <v>Solar</v>
          </cell>
          <cell r="M1889" t="str">
            <v>Dx</v>
          </cell>
          <cell r="N1889" t="str">
            <v>Ajax</v>
          </cell>
          <cell r="O1889" t="str">
            <v>Durham</v>
          </cell>
          <cell r="P1889" t="str">
            <v>Toronto</v>
          </cell>
        </row>
        <row r="1890">
          <cell r="C1890" t="str">
            <v>Bowhey</v>
          </cell>
          <cell r="D1890" t="str">
            <v>SCCEC LP</v>
          </cell>
          <cell r="E1890" t="str">
            <v>CO</v>
          </cell>
          <cell r="F1890">
            <v>42097</v>
          </cell>
          <cell r="G1890">
            <v>41957</v>
          </cell>
          <cell r="H1890">
            <v>49261</v>
          </cell>
          <cell r="I1890" t="str">
            <v>19 years, 11 months, 30 days</v>
          </cell>
          <cell r="J1890" t="str">
            <v>Renewables</v>
          </cell>
          <cell r="K1890" t="str">
            <v>Solar (Rooftop)</v>
          </cell>
          <cell r="L1890" t="str">
            <v>Solar</v>
          </cell>
          <cell r="M1890" t="str">
            <v>Dx</v>
          </cell>
          <cell r="N1890" t="str">
            <v>Springwater</v>
          </cell>
          <cell r="O1890" t="str">
            <v>Simcoe</v>
          </cell>
          <cell r="P1890" t="str">
            <v>Essa</v>
          </cell>
        </row>
        <row r="1891">
          <cell r="C1891" t="str">
            <v>SOLAR PV (200kW) SYSTEM</v>
          </cell>
          <cell r="D1891" t="str">
            <v>2231351 ONTARIO INC</v>
          </cell>
          <cell r="E1891" t="str">
            <v>CO</v>
          </cell>
          <cell r="F1891">
            <v>42068</v>
          </cell>
          <cell r="G1891">
            <v>42082</v>
          </cell>
          <cell r="H1891">
            <v>49372</v>
          </cell>
          <cell r="I1891" t="str">
            <v>19 years, 11 months, 13 days</v>
          </cell>
          <cell r="J1891" t="str">
            <v>Renewables</v>
          </cell>
          <cell r="K1891" t="str">
            <v>Solar (Rooftop)</v>
          </cell>
          <cell r="L1891" t="str">
            <v>Solar</v>
          </cell>
          <cell r="M1891" t="str">
            <v>Dx</v>
          </cell>
          <cell r="N1891" t="str">
            <v>Aurora</v>
          </cell>
          <cell r="O1891" t="str">
            <v>York</v>
          </cell>
          <cell r="P1891" t="str">
            <v>Essa</v>
          </cell>
        </row>
        <row r="1892">
          <cell r="C1892" t="str">
            <v>Victoria Park Collegiate Institute</v>
          </cell>
          <cell r="D1892" t="str">
            <v>TSPS (Portfolio 1) Limited Partnership</v>
          </cell>
          <cell r="E1892" t="str">
            <v>CO</v>
          </cell>
          <cell r="F1892">
            <v>42611</v>
          </cell>
          <cell r="G1892">
            <v>42332</v>
          </cell>
          <cell r="H1892">
            <v>49636</v>
          </cell>
          <cell r="I1892" t="str">
            <v>19 years, 11 months, 30 days</v>
          </cell>
          <cell r="J1892" t="str">
            <v>Renewables</v>
          </cell>
          <cell r="K1892" t="str">
            <v>Solar (Rooftop)</v>
          </cell>
          <cell r="L1892" t="str">
            <v>Solar</v>
          </cell>
          <cell r="M1892" t="str">
            <v>Dx</v>
          </cell>
          <cell r="N1892" t="str">
            <v>Toronto</v>
          </cell>
          <cell r="O1892" t="str">
            <v>Toronto</v>
          </cell>
          <cell r="P1892" t="str">
            <v>Toronto</v>
          </cell>
        </row>
        <row r="1893">
          <cell r="C1893" t="str">
            <v>Parkfield JS</v>
          </cell>
          <cell r="D1893" t="str">
            <v>TSPS (Portfolio 1) Limited Partnership</v>
          </cell>
          <cell r="E1893" t="str">
            <v>CO</v>
          </cell>
          <cell r="F1893">
            <v>42604</v>
          </cell>
          <cell r="G1893">
            <v>42233</v>
          </cell>
          <cell r="H1893">
            <v>49537</v>
          </cell>
          <cell r="I1893" t="str">
            <v>19 years, 11 months, 30 days</v>
          </cell>
          <cell r="J1893" t="str">
            <v>Renewables</v>
          </cell>
          <cell r="K1893" t="str">
            <v>Solar (Rooftop)</v>
          </cell>
          <cell r="L1893" t="str">
            <v>Solar</v>
          </cell>
          <cell r="M1893" t="str">
            <v>Dx</v>
          </cell>
          <cell r="N1893" t="str">
            <v>Toronto</v>
          </cell>
          <cell r="O1893" t="str">
            <v>Toronto</v>
          </cell>
          <cell r="P1893" t="str">
            <v>Toronto</v>
          </cell>
        </row>
        <row r="1894">
          <cell r="C1894" t="str">
            <v>Dryden Farms</v>
          </cell>
          <cell r="D1894" t="str">
            <v>E&amp;J Real Estate Holdings Inc.</v>
          </cell>
          <cell r="E1894" t="str">
            <v>CO</v>
          </cell>
          <cell r="F1894">
            <v>42061</v>
          </cell>
          <cell r="G1894">
            <v>42034</v>
          </cell>
          <cell r="H1894">
            <v>49338</v>
          </cell>
          <cell r="I1894" t="str">
            <v>19 years, 11 months, 30 days</v>
          </cell>
          <cell r="J1894" t="str">
            <v>Renewables</v>
          </cell>
          <cell r="K1894" t="str">
            <v>Solar (Rooftop)</v>
          </cell>
          <cell r="L1894" t="str">
            <v>Solar</v>
          </cell>
          <cell r="M1894" t="str">
            <v>Dx</v>
          </cell>
          <cell r="N1894" t="str">
            <v>Rockwood</v>
          </cell>
          <cell r="O1894" t="str">
            <v>Wellington</v>
          </cell>
          <cell r="P1894" t="str">
            <v>Southwest</v>
          </cell>
        </row>
        <row r="1895">
          <cell r="C1895" t="str">
            <v>Stoney Point Solar</v>
          </cell>
          <cell r="D1895" t="str">
            <v>Stoney Point Solar Inc.</v>
          </cell>
          <cell r="E1895" t="str">
            <v>CO</v>
          </cell>
          <cell r="F1895">
            <v>42761</v>
          </cell>
          <cell r="G1895">
            <v>42317</v>
          </cell>
          <cell r="H1895">
            <v>49621</v>
          </cell>
          <cell r="I1895" t="str">
            <v>19 years, 11 months, 30 days</v>
          </cell>
          <cell r="J1895" t="str">
            <v>Renewables</v>
          </cell>
          <cell r="K1895" t="str">
            <v>Solar (Ground Mounted)</v>
          </cell>
          <cell r="L1895" t="str">
            <v>Solar</v>
          </cell>
          <cell r="M1895" t="str">
            <v>Dx</v>
          </cell>
          <cell r="N1895" t="str">
            <v>Pointe Aux Roches</v>
          </cell>
          <cell r="O1895" t="str">
            <v>Essex</v>
          </cell>
          <cell r="P1895" t="str">
            <v>West</v>
          </cell>
        </row>
        <row r="1896">
          <cell r="C1896" t="str">
            <v>Endura Energy - 2605 Summerville</v>
          </cell>
          <cell r="D1896" t="str">
            <v>Community Solar Assets 2 Limited</v>
          </cell>
          <cell r="E1896" t="str">
            <v>CO</v>
          </cell>
          <cell r="F1896">
            <v>42061</v>
          </cell>
          <cell r="G1896">
            <v>41918</v>
          </cell>
          <cell r="H1896">
            <v>49222</v>
          </cell>
          <cell r="I1896" t="str">
            <v>19 years, 11 months, 29 days</v>
          </cell>
          <cell r="J1896" t="str">
            <v>Renewables</v>
          </cell>
          <cell r="K1896" t="str">
            <v>Solar (Rooftop)</v>
          </cell>
          <cell r="L1896" t="str">
            <v>Solar</v>
          </cell>
          <cell r="M1896" t="str">
            <v>Dx</v>
          </cell>
          <cell r="N1896" t="str">
            <v>Mississauga</v>
          </cell>
          <cell r="O1896" t="str">
            <v>Peel</v>
          </cell>
          <cell r="P1896" t="str">
            <v>Toronto</v>
          </cell>
        </row>
        <row r="1897">
          <cell r="C1897" t="str">
            <v>Roden Jr PS</v>
          </cell>
          <cell r="D1897" t="str">
            <v>TSPS (Portfolio 1) Limited Partnership</v>
          </cell>
          <cell r="E1897" t="str">
            <v>CO</v>
          </cell>
          <cell r="F1897">
            <v>42609</v>
          </cell>
          <cell r="G1897">
            <v>41915</v>
          </cell>
          <cell r="H1897">
            <v>49219</v>
          </cell>
          <cell r="I1897" t="str">
            <v>19 years, 11 months, 29 days</v>
          </cell>
          <cell r="J1897" t="str">
            <v>Renewables</v>
          </cell>
          <cell r="K1897" t="str">
            <v>Solar (Rooftop)</v>
          </cell>
          <cell r="L1897" t="str">
            <v>Solar</v>
          </cell>
          <cell r="M1897" t="str">
            <v>Dx</v>
          </cell>
          <cell r="N1897" t="str">
            <v>Toronto</v>
          </cell>
          <cell r="O1897" t="str">
            <v>Toronto</v>
          </cell>
          <cell r="P1897" t="str">
            <v>Toronto</v>
          </cell>
        </row>
        <row r="1898">
          <cell r="C1898" t="str">
            <v>Weston CI</v>
          </cell>
          <cell r="D1898" t="str">
            <v>TSPS (Portfolio 2) Limited Partnership</v>
          </cell>
          <cell r="E1898" t="str">
            <v>CO</v>
          </cell>
          <cell r="F1898">
            <v>42611</v>
          </cell>
          <cell r="G1898">
            <v>42643</v>
          </cell>
          <cell r="H1898">
            <v>49915</v>
          </cell>
          <cell r="I1898" t="str">
            <v>19 years, 10 months, 29 days</v>
          </cell>
          <cell r="J1898" t="str">
            <v>Renewables</v>
          </cell>
          <cell r="K1898" t="str">
            <v>Solar (Rooftop)</v>
          </cell>
          <cell r="L1898" t="str">
            <v>Solar</v>
          </cell>
          <cell r="M1898" t="str">
            <v>Dx</v>
          </cell>
          <cell r="N1898" t="str">
            <v>Toronto</v>
          </cell>
          <cell r="O1898" t="str">
            <v>Toronto</v>
          </cell>
          <cell r="P1898" t="str">
            <v>Toronto</v>
          </cell>
        </row>
        <row r="1899">
          <cell r="C1899" t="str">
            <v>East York CI</v>
          </cell>
          <cell r="D1899" t="str">
            <v>TSPS (Portfolio 1) Limited Partnership</v>
          </cell>
          <cell r="E1899" t="str">
            <v>CO</v>
          </cell>
          <cell r="F1899">
            <v>42588</v>
          </cell>
          <cell r="G1899">
            <v>41995</v>
          </cell>
          <cell r="H1899">
            <v>49299</v>
          </cell>
          <cell r="I1899" t="str">
            <v>19 years, 11 months, 29 days</v>
          </cell>
          <cell r="J1899" t="str">
            <v>Renewables</v>
          </cell>
          <cell r="K1899" t="str">
            <v>Solar (Rooftop)</v>
          </cell>
          <cell r="L1899" t="str">
            <v>Solar</v>
          </cell>
          <cell r="M1899" t="str">
            <v>Dx</v>
          </cell>
          <cell r="N1899" t="str">
            <v>Toronto</v>
          </cell>
          <cell r="O1899" t="str">
            <v>Toronto</v>
          </cell>
          <cell r="P1899" t="str">
            <v>Toronto</v>
          </cell>
        </row>
        <row r="1900">
          <cell r="C1900" t="str">
            <v>George Peck PS</v>
          </cell>
          <cell r="D1900" t="str">
            <v>TSPS (Portfolio 1) Limited Partnership</v>
          </cell>
          <cell r="E1900" t="str">
            <v>CO</v>
          </cell>
          <cell r="F1900">
            <v>42597</v>
          </cell>
          <cell r="G1900">
            <v>41995</v>
          </cell>
          <cell r="H1900">
            <v>49299</v>
          </cell>
          <cell r="I1900" t="str">
            <v>19 years, 11 months, 29 days</v>
          </cell>
          <cell r="J1900" t="str">
            <v>Renewables</v>
          </cell>
          <cell r="K1900" t="str">
            <v>Solar (Rooftop)</v>
          </cell>
          <cell r="L1900" t="str">
            <v>Solar</v>
          </cell>
          <cell r="M1900" t="str">
            <v>Dx</v>
          </cell>
          <cell r="N1900" t="str">
            <v>Toronto</v>
          </cell>
          <cell r="O1900" t="str">
            <v>Toronto</v>
          </cell>
          <cell r="P1900" t="str">
            <v>Toronto</v>
          </cell>
        </row>
        <row r="1901">
          <cell r="C1901" t="str">
            <v>153 Van Kirk</v>
          </cell>
          <cell r="D1901" t="str">
            <v>Trec SolarShare Co-operative (No. 1) Inc. and 1477400 Ontario Limited, as joint venturers, c.o.b...</v>
          </cell>
          <cell r="E1901" t="str">
            <v>CO</v>
          </cell>
          <cell r="F1901">
            <v>42056</v>
          </cell>
          <cell r="G1901">
            <v>42107</v>
          </cell>
          <cell r="H1901">
            <v>49360</v>
          </cell>
          <cell r="I1901" t="str">
            <v>19 years, 10 months, 7 days</v>
          </cell>
          <cell r="J1901" t="str">
            <v>Renewables</v>
          </cell>
          <cell r="K1901" t="str">
            <v>Solar (Rooftop)</v>
          </cell>
          <cell r="L1901" t="str">
            <v>Solar</v>
          </cell>
          <cell r="M1901" t="str">
            <v>Dx</v>
          </cell>
          <cell r="N1901" t="str">
            <v>Brampton</v>
          </cell>
          <cell r="O1901" t="str">
            <v>Peel</v>
          </cell>
          <cell r="P1901" t="str">
            <v>Toronto</v>
          </cell>
        </row>
        <row r="1902">
          <cell r="C1902" t="str">
            <v>Sharon Dawn Elizabeth Ridley (163711)</v>
          </cell>
          <cell r="D1902" t="str">
            <v>Chippewas of the Thames Solar Corp.</v>
          </cell>
          <cell r="E1902" t="str">
            <v>CO</v>
          </cell>
          <cell r="F1902">
            <v>42054</v>
          </cell>
          <cell r="G1902">
            <v>42235</v>
          </cell>
          <cell r="H1902">
            <v>49358</v>
          </cell>
          <cell r="I1902" t="str">
            <v>19 years, 5 months, 30 days</v>
          </cell>
          <cell r="J1902" t="str">
            <v>Renewables</v>
          </cell>
          <cell r="K1902" t="str">
            <v>Solar (Rooftop)</v>
          </cell>
          <cell r="L1902" t="str">
            <v>Solar</v>
          </cell>
          <cell r="M1902" t="str">
            <v>Dx</v>
          </cell>
          <cell r="N1902" t="str">
            <v>Essex</v>
          </cell>
          <cell r="O1902" t="str">
            <v>Essex</v>
          </cell>
          <cell r="P1902" t="str">
            <v>West</v>
          </cell>
        </row>
        <row r="1903">
          <cell r="C1903" t="str">
            <v>RD Solar Garden</v>
          </cell>
          <cell r="D1903" t="str">
            <v>R &amp; D Chatham Solar Inc.</v>
          </cell>
          <cell r="E1903" t="str">
            <v>CO</v>
          </cell>
          <cell r="F1903">
            <v>42723</v>
          </cell>
          <cell r="G1903">
            <v>42289</v>
          </cell>
          <cell r="H1903">
            <v>49593</v>
          </cell>
          <cell r="I1903" t="str">
            <v>19 years, 11 months, 29 days</v>
          </cell>
          <cell r="J1903" t="str">
            <v>Renewables</v>
          </cell>
          <cell r="K1903" t="str">
            <v>Solar (Rooftop)</v>
          </cell>
          <cell r="L1903" t="str">
            <v>Solar</v>
          </cell>
          <cell r="M1903" t="str">
            <v>Dx</v>
          </cell>
          <cell r="N1903" t="str">
            <v>Blenheim</v>
          </cell>
          <cell r="O1903" t="str">
            <v>Chatham-Kent</v>
          </cell>
          <cell r="P1903" t="str">
            <v>West</v>
          </cell>
        </row>
        <row r="1904">
          <cell r="C1904" t="str">
            <v>377 MacKenzie Ave</v>
          </cell>
          <cell r="D1904" t="str">
            <v>N&amp;G LP</v>
          </cell>
          <cell r="E1904" t="str">
            <v>CO</v>
          </cell>
          <cell r="F1904">
            <v>42056</v>
          </cell>
          <cell r="G1904">
            <v>42194</v>
          </cell>
          <cell r="H1904">
            <v>49360</v>
          </cell>
          <cell r="I1904" t="str">
            <v>19 years, 7 months, 11 days</v>
          </cell>
          <cell r="J1904" t="str">
            <v>Renewables</v>
          </cell>
          <cell r="K1904" t="str">
            <v>Solar (Rooftop)</v>
          </cell>
          <cell r="L1904" t="str">
            <v>Solar</v>
          </cell>
          <cell r="M1904" t="str">
            <v>Dx</v>
          </cell>
          <cell r="N1904" t="str">
            <v>Ajax</v>
          </cell>
          <cell r="O1904" t="str">
            <v>Durham</v>
          </cell>
          <cell r="P1904" t="str">
            <v>Toronto</v>
          </cell>
        </row>
        <row r="1905">
          <cell r="C1905" t="str">
            <v>BGCKL Renewable Energy Project</v>
          </cell>
          <cell r="D1905" t="str">
            <v>Boys and Girls Clubs of Kawartha Lakes</v>
          </cell>
          <cell r="E1905" t="str">
            <v>CO</v>
          </cell>
          <cell r="F1905">
            <v>42054</v>
          </cell>
          <cell r="G1905">
            <v>41922</v>
          </cell>
          <cell r="H1905">
            <v>49226</v>
          </cell>
          <cell r="I1905" t="str">
            <v>19 years, 11 months, 29 days</v>
          </cell>
          <cell r="J1905" t="str">
            <v>Renewables</v>
          </cell>
          <cell r="K1905" t="str">
            <v>Solar (Rooftop)</v>
          </cell>
          <cell r="L1905" t="str">
            <v>Solar</v>
          </cell>
          <cell r="M1905" t="str">
            <v>Dx</v>
          </cell>
          <cell r="N1905" t="str">
            <v>Lindsay</v>
          </cell>
          <cell r="O1905" t="str">
            <v>Kawartha Lakes</v>
          </cell>
          <cell r="P1905" t="str">
            <v>Essa</v>
          </cell>
        </row>
        <row r="1906">
          <cell r="C1906" t="str">
            <v>Solar Shed</v>
          </cell>
          <cell r="D1906" t="str">
            <v>Albrecht and Annelies Ringgenberg</v>
          </cell>
          <cell r="E1906" t="str">
            <v>CO</v>
          </cell>
          <cell r="F1906">
            <v>42110</v>
          </cell>
          <cell r="G1906">
            <v>42027</v>
          </cell>
          <cell r="H1906">
            <v>49331</v>
          </cell>
          <cell r="I1906" t="str">
            <v>19 years, 11 months, 30 days</v>
          </cell>
          <cell r="J1906" t="str">
            <v>Renewables</v>
          </cell>
          <cell r="K1906" t="str">
            <v>Solar (Rooftop)</v>
          </cell>
          <cell r="L1906" t="str">
            <v>Solar</v>
          </cell>
          <cell r="M1906" t="str">
            <v>Dx</v>
          </cell>
          <cell r="N1906" t="str">
            <v>Walton</v>
          </cell>
          <cell r="O1906" t="str">
            <v>Huron</v>
          </cell>
          <cell r="P1906" t="str">
            <v>Southwest</v>
          </cell>
        </row>
        <row r="1907">
          <cell r="C1907" t="str">
            <v>Vladimira Pospisil (163300)</v>
          </cell>
          <cell r="D1907" t="str">
            <v>Chippewas of the Thames Solar Corp.</v>
          </cell>
          <cell r="E1907" t="str">
            <v>CO</v>
          </cell>
          <cell r="F1907">
            <v>42054</v>
          </cell>
          <cell r="G1907">
            <v>42235</v>
          </cell>
          <cell r="H1907">
            <v>49358</v>
          </cell>
          <cell r="I1907" t="str">
            <v>19 years, 5 months, 30 days</v>
          </cell>
          <cell r="J1907" t="str">
            <v>Renewables</v>
          </cell>
          <cell r="K1907" t="str">
            <v>Solar (Rooftop)</v>
          </cell>
          <cell r="L1907" t="str">
            <v>Solar</v>
          </cell>
          <cell r="M1907" t="str">
            <v>Dx</v>
          </cell>
          <cell r="N1907" t="str">
            <v>Harrow</v>
          </cell>
          <cell r="O1907" t="str">
            <v>Essex</v>
          </cell>
          <cell r="P1907" t="str">
            <v>West</v>
          </cell>
        </row>
        <row r="1908">
          <cell r="C1908" t="str">
            <v>Oakridge Jr PS</v>
          </cell>
          <cell r="D1908" t="str">
            <v>TSPS (Portfolio 1) Limited Partnership</v>
          </cell>
          <cell r="E1908" t="str">
            <v>CO</v>
          </cell>
          <cell r="F1908">
            <v>42604</v>
          </cell>
          <cell r="G1908">
            <v>41912</v>
          </cell>
          <cell r="H1908">
            <v>49216</v>
          </cell>
          <cell r="I1908" t="str">
            <v>19 years, 11 months, 30 days</v>
          </cell>
          <cell r="J1908" t="str">
            <v>Renewables</v>
          </cell>
          <cell r="K1908" t="str">
            <v>Solar (Rooftop)</v>
          </cell>
          <cell r="L1908" t="str">
            <v>Solar</v>
          </cell>
          <cell r="M1908" t="str">
            <v>Dx</v>
          </cell>
          <cell r="N1908" t="str">
            <v>Toronto</v>
          </cell>
          <cell r="O1908" t="str">
            <v>Toronto</v>
          </cell>
          <cell r="P1908" t="str">
            <v>Toronto</v>
          </cell>
        </row>
        <row r="1909">
          <cell r="C1909" t="str">
            <v>5070 Dixie Road</v>
          </cell>
          <cell r="D1909" t="str">
            <v>2244735 Ontario Limited</v>
          </cell>
          <cell r="E1909" t="str">
            <v>CO</v>
          </cell>
          <cell r="F1909">
            <v>42054</v>
          </cell>
          <cell r="G1909">
            <v>42101</v>
          </cell>
          <cell r="H1909">
            <v>49358</v>
          </cell>
          <cell r="I1909" t="str">
            <v>19 years, 10 months, 11 days</v>
          </cell>
          <cell r="J1909" t="str">
            <v>Renewables</v>
          </cell>
          <cell r="K1909" t="str">
            <v>Solar (Rooftop)</v>
          </cell>
          <cell r="L1909" t="str">
            <v>Solar</v>
          </cell>
          <cell r="M1909" t="str">
            <v>Dx</v>
          </cell>
          <cell r="N1909" t="str">
            <v>Mississauga</v>
          </cell>
          <cell r="O1909" t="str">
            <v>Peel</v>
          </cell>
          <cell r="P1909" t="str">
            <v>Toronto</v>
          </cell>
        </row>
        <row r="1910">
          <cell r="C1910" t="str">
            <v>Rosethorn JS</v>
          </cell>
          <cell r="D1910" t="str">
            <v>TSPS (Portfolio 1) Limited Partnership</v>
          </cell>
          <cell r="E1910" t="str">
            <v>CO</v>
          </cell>
          <cell r="F1910">
            <v>42609</v>
          </cell>
          <cell r="G1910">
            <v>42236</v>
          </cell>
          <cell r="H1910">
            <v>49540</v>
          </cell>
          <cell r="I1910" t="str">
            <v>19 years, 11 months, 30 days</v>
          </cell>
          <cell r="J1910" t="str">
            <v>Renewables</v>
          </cell>
          <cell r="K1910" t="str">
            <v>Solar (Rooftop)</v>
          </cell>
          <cell r="L1910" t="str">
            <v>Solar</v>
          </cell>
          <cell r="M1910" t="str">
            <v>Dx</v>
          </cell>
          <cell r="N1910" t="str">
            <v>Toronto</v>
          </cell>
          <cell r="O1910" t="str">
            <v>Toronto</v>
          </cell>
          <cell r="P1910" t="str">
            <v>Toronto</v>
          </cell>
        </row>
        <row r="1911">
          <cell r="C1911" t="str">
            <v>West Humber CI</v>
          </cell>
          <cell r="D1911" t="str">
            <v>TSPS (Portfolio 2) Limited Partnership</v>
          </cell>
          <cell r="E1911" t="str">
            <v>CO</v>
          </cell>
          <cell r="F1911">
            <v>42611</v>
          </cell>
          <cell r="G1911">
            <v>42703</v>
          </cell>
          <cell r="H1911">
            <v>49915</v>
          </cell>
          <cell r="I1911" t="str">
            <v>19 years, 8 months, 30 days</v>
          </cell>
          <cell r="J1911" t="str">
            <v>Renewables</v>
          </cell>
          <cell r="K1911" t="str">
            <v>Solar (Rooftop)</v>
          </cell>
          <cell r="L1911" t="str">
            <v>Solar</v>
          </cell>
          <cell r="M1911" t="str">
            <v>Dx</v>
          </cell>
          <cell r="N1911" t="str">
            <v>Toronto</v>
          </cell>
          <cell r="O1911" t="str">
            <v>Toronto</v>
          </cell>
          <cell r="P1911" t="str">
            <v>Toronto</v>
          </cell>
        </row>
        <row r="1912">
          <cell r="C1912" t="str">
            <v>Crestview PS</v>
          </cell>
          <cell r="D1912" t="str">
            <v>TSPS (Portfolio 2) Limited Partnership</v>
          </cell>
          <cell r="E1912" t="str">
            <v>CO</v>
          </cell>
          <cell r="F1912">
            <v>42583</v>
          </cell>
          <cell r="G1912">
            <v>42677</v>
          </cell>
          <cell r="H1912">
            <v>49887</v>
          </cell>
          <cell r="I1912" t="str">
            <v>19 years, 8 months, 28 days</v>
          </cell>
          <cell r="J1912" t="str">
            <v>Renewables</v>
          </cell>
          <cell r="K1912" t="str">
            <v>Solar (Rooftop)</v>
          </cell>
          <cell r="L1912" t="str">
            <v>Solar</v>
          </cell>
          <cell r="M1912" t="str">
            <v>Dx</v>
          </cell>
          <cell r="N1912" t="str">
            <v>Toronto</v>
          </cell>
          <cell r="O1912" t="str">
            <v>Toronto</v>
          </cell>
          <cell r="P1912" t="str">
            <v>Toronto</v>
          </cell>
        </row>
        <row r="1913">
          <cell r="C1913" t="str">
            <v>Etobicoke Year-Round Alternative Centre</v>
          </cell>
          <cell r="D1913" t="str">
            <v>TSPS (Portfolio 2) Limited Partnership</v>
          </cell>
          <cell r="E1913" t="str">
            <v>CO</v>
          </cell>
          <cell r="F1913">
            <v>42590</v>
          </cell>
          <cell r="G1913">
            <v>42643</v>
          </cell>
          <cell r="H1913">
            <v>49894</v>
          </cell>
          <cell r="I1913" t="str">
            <v>19 years, 10 months, 8 days</v>
          </cell>
          <cell r="J1913" t="str">
            <v>Renewables</v>
          </cell>
          <cell r="K1913" t="str">
            <v>Solar (Rooftop)</v>
          </cell>
          <cell r="L1913" t="str">
            <v>Solar</v>
          </cell>
          <cell r="M1913" t="str">
            <v>Dx</v>
          </cell>
          <cell r="N1913" t="str">
            <v>Toronto</v>
          </cell>
          <cell r="O1913" t="str">
            <v>Toronto</v>
          </cell>
          <cell r="P1913" t="str">
            <v>Toronto</v>
          </cell>
        </row>
        <row r="1914">
          <cell r="C1914" t="str">
            <v>McGarry - Lakefront Lands</v>
          </cell>
          <cell r="D1914" t="str">
            <v>Solaire McGarry Solar Inc.</v>
          </cell>
          <cell r="E1914" t="str">
            <v>CO</v>
          </cell>
          <cell r="F1914">
            <v>42602</v>
          </cell>
          <cell r="G1914">
            <v>43105</v>
          </cell>
          <cell r="H1914">
            <v>49906</v>
          </cell>
          <cell r="I1914" t="str">
            <v>18 years, 7 months, 14 days</v>
          </cell>
          <cell r="J1914" t="str">
            <v>Renewables</v>
          </cell>
          <cell r="K1914" t="str">
            <v>Solar (Ground Mounted)</v>
          </cell>
          <cell r="L1914" t="str">
            <v>Solar</v>
          </cell>
          <cell r="M1914" t="str">
            <v>Dx</v>
          </cell>
          <cell r="N1914" t="str">
            <v>McGarry</v>
          </cell>
          <cell r="O1914" t="str">
            <v>Cochrane</v>
          </cell>
          <cell r="P1914" t="str">
            <v>Northeast</v>
          </cell>
        </row>
        <row r="1915">
          <cell r="C1915" t="str">
            <v>Emery CI</v>
          </cell>
          <cell r="D1915" t="str">
            <v>TSPS (Portfolio 2) Limited Partnership</v>
          </cell>
          <cell r="E1915" t="str">
            <v>CO</v>
          </cell>
          <cell r="F1915">
            <v>42588</v>
          </cell>
          <cell r="G1915">
            <v>42698</v>
          </cell>
          <cell r="H1915">
            <v>49892</v>
          </cell>
          <cell r="I1915" t="str">
            <v>19 years, 8 months, 12 days</v>
          </cell>
          <cell r="J1915" t="str">
            <v>Renewables</v>
          </cell>
          <cell r="K1915" t="str">
            <v>Solar (Rooftop)</v>
          </cell>
          <cell r="L1915" t="str">
            <v>Solar</v>
          </cell>
          <cell r="M1915" t="str">
            <v>Dx</v>
          </cell>
          <cell r="N1915" t="str">
            <v>Toronto</v>
          </cell>
          <cell r="O1915" t="str">
            <v>Toronto</v>
          </cell>
          <cell r="P1915" t="str">
            <v>Toronto</v>
          </cell>
        </row>
        <row r="1916">
          <cell r="C1916" t="str">
            <v>Pride Gravenhurst</v>
          </cell>
          <cell r="D1916" t="str">
            <v>Ottawa Renewable Energy Co-operative Inc.</v>
          </cell>
          <cell r="E1916" t="str">
            <v>CO</v>
          </cell>
          <cell r="F1916">
            <v>42070</v>
          </cell>
          <cell r="G1916">
            <v>42244</v>
          </cell>
          <cell r="H1916">
            <v>49374</v>
          </cell>
          <cell r="I1916" t="str">
            <v>19 years, 6 months, 6 days</v>
          </cell>
          <cell r="J1916" t="str">
            <v>Renewables</v>
          </cell>
          <cell r="K1916" t="str">
            <v>Solar (Rooftop)</v>
          </cell>
          <cell r="L1916" t="str">
            <v>Solar</v>
          </cell>
          <cell r="M1916" t="str">
            <v>Dx</v>
          </cell>
          <cell r="N1916" t="str">
            <v>Gravenhurst</v>
          </cell>
          <cell r="O1916" t="str">
            <v>Muskoka</v>
          </cell>
          <cell r="P1916" t="str">
            <v>Essa</v>
          </cell>
        </row>
        <row r="1917">
          <cell r="C1917" t="str">
            <v>Frank Oke SS</v>
          </cell>
          <cell r="D1917" t="str">
            <v>TSPS (Portfolio 2) Limited Partnership</v>
          </cell>
          <cell r="E1917" t="str">
            <v>CO</v>
          </cell>
          <cell r="F1917">
            <v>42590</v>
          </cell>
          <cell r="G1917">
            <v>42601</v>
          </cell>
          <cell r="H1917">
            <v>49894</v>
          </cell>
          <cell r="I1917" t="str">
            <v>19 years, 11 months, 19 days</v>
          </cell>
          <cell r="J1917" t="str">
            <v>Renewables</v>
          </cell>
          <cell r="K1917" t="str">
            <v>Solar (Rooftop)</v>
          </cell>
          <cell r="L1917" t="str">
            <v>Solar</v>
          </cell>
          <cell r="M1917" t="str">
            <v>Dx</v>
          </cell>
          <cell r="N1917" t="str">
            <v>Toronto</v>
          </cell>
          <cell r="O1917" t="str">
            <v>Toronto</v>
          </cell>
          <cell r="P1917" t="str">
            <v>Toronto</v>
          </cell>
        </row>
        <row r="1918">
          <cell r="C1918" t="str">
            <v>Silverthorn Comm. School</v>
          </cell>
          <cell r="D1918" t="str">
            <v>TSPS (Portfolio 1) Limited Partnership</v>
          </cell>
          <cell r="E1918" t="str">
            <v>CO</v>
          </cell>
          <cell r="F1918">
            <v>42609</v>
          </cell>
          <cell r="G1918">
            <v>42185</v>
          </cell>
          <cell r="H1918">
            <v>49489</v>
          </cell>
          <cell r="I1918" t="str">
            <v>19 years, 11 months, 30 days</v>
          </cell>
          <cell r="J1918" t="str">
            <v>Renewables</v>
          </cell>
          <cell r="K1918" t="str">
            <v>Solar (Rooftop)</v>
          </cell>
          <cell r="L1918" t="str">
            <v>Solar</v>
          </cell>
          <cell r="M1918" t="str">
            <v>Dx</v>
          </cell>
          <cell r="N1918" t="str">
            <v>Toronto</v>
          </cell>
          <cell r="O1918" t="str">
            <v>Toronto</v>
          </cell>
          <cell r="P1918" t="str">
            <v>Toronto</v>
          </cell>
        </row>
        <row r="1919">
          <cell r="C1919" t="str">
            <v>D A Morrison MS</v>
          </cell>
          <cell r="D1919" t="str">
            <v>TSPS (Portfolio 2) Limited Partnership</v>
          </cell>
          <cell r="E1919" t="str">
            <v>CO</v>
          </cell>
          <cell r="F1919">
            <v>42583</v>
          </cell>
          <cell r="G1919">
            <v>42643</v>
          </cell>
          <cell r="H1919">
            <v>49887</v>
          </cell>
          <cell r="I1919" t="str">
            <v>19 years, 10 months, 1 days</v>
          </cell>
          <cell r="J1919" t="str">
            <v>Renewables</v>
          </cell>
          <cell r="K1919" t="str">
            <v>Solar (Rooftop)</v>
          </cell>
          <cell r="L1919" t="str">
            <v>Solar</v>
          </cell>
          <cell r="M1919" t="str">
            <v>Dx</v>
          </cell>
          <cell r="N1919" t="str">
            <v>Toronto</v>
          </cell>
          <cell r="O1919" t="str">
            <v>Toronto</v>
          </cell>
          <cell r="P1919" t="str">
            <v>Toronto</v>
          </cell>
        </row>
        <row r="1920">
          <cell r="C1920" t="str">
            <v>Keelesdale Jr PS</v>
          </cell>
          <cell r="D1920" t="str">
            <v>TSPS (Portfolio 1) Limited Partnership</v>
          </cell>
          <cell r="E1920" t="str">
            <v>CO</v>
          </cell>
          <cell r="F1920">
            <v>42602</v>
          </cell>
          <cell r="G1920">
            <v>42150</v>
          </cell>
          <cell r="H1920">
            <v>49454</v>
          </cell>
          <cell r="I1920" t="str">
            <v>19 years, 11 months, 29 days</v>
          </cell>
          <cell r="J1920" t="str">
            <v>Renewables</v>
          </cell>
          <cell r="K1920" t="str">
            <v>Solar (Rooftop)</v>
          </cell>
          <cell r="L1920" t="str">
            <v>Solar</v>
          </cell>
          <cell r="M1920" t="str">
            <v>Dx</v>
          </cell>
          <cell r="N1920" t="str">
            <v>Toronto</v>
          </cell>
          <cell r="O1920" t="str">
            <v>Toronto</v>
          </cell>
          <cell r="P1920" t="str">
            <v>Toronto</v>
          </cell>
        </row>
        <row r="1921">
          <cell r="C1921" t="str">
            <v>550 Braidwood Warehouse</v>
          </cell>
          <cell r="D1921" t="str">
            <v>Braidwood Warehouse Solar LP</v>
          </cell>
          <cell r="E1921" t="str">
            <v>CO</v>
          </cell>
          <cell r="F1921">
            <v>42112</v>
          </cell>
          <cell r="G1921">
            <v>41932</v>
          </cell>
          <cell r="H1921">
            <v>49236</v>
          </cell>
          <cell r="I1921" t="str">
            <v>19 years, 11 months, 29 days</v>
          </cell>
          <cell r="J1921" t="str">
            <v>Renewables</v>
          </cell>
          <cell r="K1921" t="str">
            <v>Solar (Rooftop)</v>
          </cell>
          <cell r="L1921" t="str">
            <v>Solar</v>
          </cell>
          <cell r="M1921" t="str">
            <v>Dx</v>
          </cell>
          <cell r="N1921" t="str">
            <v>Peterborough</v>
          </cell>
          <cell r="O1921" t="str">
            <v>Peterborough</v>
          </cell>
          <cell r="P1921" t="str">
            <v>East</v>
          </cell>
        </row>
        <row r="1922">
          <cell r="C1922" t="str">
            <v>Gracedale PS</v>
          </cell>
          <cell r="D1922" t="str">
            <v>TSPS (Portfolio 1) Limited Partnership</v>
          </cell>
          <cell r="E1922" t="str">
            <v>CO</v>
          </cell>
          <cell r="F1922">
            <v>42597</v>
          </cell>
          <cell r="G1922">
            <v>42279</v>
          </cell>
          <cell r="H1922">
            <v>49583</v>
          </cell>
          <cell r="I1922" t="str">
            <v>19 years, 11 months, 29 days</v>
          </cell>
          <cell r="J1922" t="str">
            <v>Renewables</v>
          </cell>
          <cell r="K1922" t="str">
            <v>Solar (Rooftop)</v>
          </cell>
          <cell r="L1922" t="str">
            <v>Solar</v>
          </cell>
          <cell r="M1922" t="str">
            <v>Dx</v>
          </cell>
          <cell r="N1922" t="str">
            <v>Toronto</v>
          </cell>
          <cell r="O1922" t="str">
            <v>Toronto</v>
          </cell>
          <cell r="P1922" t="str">
            <v>Toronto</v>
          </cell>
        </row>
        <row r="1923">
          <cell r="C1923" t="str">
            <v>Tottenham PS</v>
          </cell>
          <cell r="D1923" t="str">
            <v>Potentia Solar 5 Limited Partnership</v>
          </cell>
          <cell r="E1923" t="str">
            <v>CO</v>
          </cell>
          <cell r="F1923">
            <v>42068</v>
          </cell>
          <cell r="G1923">
            <v>42227</v>
          </cell>
          <cell r="H1923">
            <v>49372</v>
          </cell>
          <cell r="I1923" t="str">
            <v>19 years, 6 months, 21 days</v>
          </cell>
          <cell r="J1923" t="str">
            <v>Renewables</v>
          </cell>
          <cell r="K1923" t="str">
            <v>Solar (Rooftop)</v>
          </cell>
          <cell r="L1923" t="str">
            <v>Solar</v>
          </cell>
          <cell r="M1923" t="str">
            <v>Dx</v>
          </cell>
          <cell r="N1923" t="str">
            <v>Tottenham</v>
          </cell>
          <cell r="O1923" t="str">
            <v>Simcoe</v>
          </cell>
          <cell r="P1923" t="str">
            <v>Southwest</v>
          </cell>
        </row>
        <row r="1924">
          <cell r="C1924" t="str">
            <v>Glen Park PS</v>
          </cell>
          <cell r="D1924" t="str">
            <v>TSPS (Portfolio 2) Limited Partnership</v>
          </cell>
          <cell r="E1924" t="str">
            <v>CO</v>
          </cell>
          <cell r="F1924">
            <v>42597</v>
          </cell>
          <cell r="G1924">
            <v>42258</v>
          </cell>
          <cell r="H1924">
            <v>49562</v>
          </cell>
          <cell r="I1924" t="str">
            <v>19 years, 11 months, 30 days</v>
          </cell>
          <cell r="J1924" t="str">
            <v>Renewables</v>
          </cell>
          <cell r="K1924" t="str">
            <v>Solar (Rooftop)</v>
          </cell>
          <cell r="L1924" t="str">
            <v>Solar</v>
          </cell>
          <cell r="M1924" t="str">
            <v>Dx</v>
          </cell>
          <cell r="N1924" t="str">
            <v>Toronto</v>
          </cell>
          <cell r="O1924" t="str">
            <v>Toronto</v>
          </cell>
          <cell r="P1924" t="str">
            <v>Toronto</v>
          </cell>
        </row>
        <row r="1925">
          <cell r="C1925" t="str">
            <v>Percy Williams JPS</v>
          </cell>
          <cell r="D1925" t="str">
            <v>TSPS (Portfolio 2) Limited Partnership</v>
          </cell>
          <cell r="E1925" t="str">
            <v>CO</v>
          </cell>
          <cell r="F1925">
            <v>42604</v>
          </cell>
          <cell r="G1925">
            <v>42286</v>
          </cell>
          <cell r="H1925">
            <v>49590</v>
          </cell>
          <cell r="I1925" t="str">
            <v>19 years, 11 months, 29 days</v>
          </cell>
          <cell r="J1925" t="str">
            <v>Renewables</v>
          </cell>
          <cell r="K1925" t="str">
            <v>Solar (Rooftop)</v>
          </cell>
          <cell r="L1925" t="str">
            <v>Solar</v>
          </cell>
          <cell r="M1925" t="str">
            <v>Dx</v>
          </cell>
          <cell r="N1925" t="str">
            <v>Toronto</v>
          </cell>
          <cell r="O1925" t="str">
            <v>Toronto</v>
          </cell>
          <cell r="P1925" t="str">
            <v>Toronto</v>
          </cell>
        </row>
        <row r="1926">
          <cell r="C1926" t="str">
            <v>Tam O' Shanter JPS</v>
          </cell>
          <cell r="D1926" t="str">
            <v>TSPS (Portfolio 2) Limited Partnership</v>
          </cell>
          <cell r="E1926" t="str">
            <v>CO</v>
          </cell>
          <cell r="F1926">
            <v>42611</v>
          </cell>
          <cell r="G1926">
            <v>42220</v>
          </cell>
          <cell r="H1926">
            <v>49524</v>
          </cell>
          <cell r="I1926" t="str">
            <v>19 years, 11 months, 30 days</v>
          </cell>
          <cell r="J1926" t="str">
            <v>Renewables</v>
          </cell>
          <cell r="K1926" t="str">
            <v>Solar (Rooftop)</v>
          </cell>
          <cell r="L1926" t="str">
            <v>Solar</v>
          </cell>
          <cell r="M1926" t="str">
            <v>Dx</v>
          </cell>
          <cell r="N1926" t="str">
            <v>Toronto</v>
          </cell>
          <cell r="O1926" t="str">
            <v>Toronto</v>
          </cell>
          <cell r="P1926" t="str">
            <v>Toronto</v>
          </cell>
        </row>
        <row r="1927">
          <cell r="C1927" t="str">
            <v>GEO-36 Armstrong</v>
          </cell>
          <cell r="D1927" t="str">
            <v>Métis Nation of Ontario - BrightRoof Solar LP</v>
          </cell>
          <cell r="E1927" t="str">
            <v>CO</v>
          </cell>
          <cell r="F1927">
            <v>42104</v>
          </cell>
          <cell r="G1927">
            <v>41955</v>
          </cell>
          <cell r="H1927">
            <v>49259</v>
          </cell>
          <cell r="I1927" t="str">
            <v>19 years, 11 months, 30 days</v>
          </cell>
          <cell r="J1927" t="str">
            <v>Renewables</v>
          </cell>
          <cell r="K1927" t="str">
            <v>Solar (Rooftop)</v>
          </cell>
          <cell r="L1927" t="str">
            <v>Solar</v>
          </cell>
          <cell r="M1927" t="str">
            <v>Dx</v>
          </cell>
          <cell r="N1927" t="str">
            <v>Halton Hills</v>
          </cell>
          <cell r="O1927" t="str">
            <v>Halton</v>
          </cell>
          <cell r="P1927" t="str">
            <v>Toronto</v>
          </cell>
        </row>
        <row r="1928">
          <cell r="C1928" t="str">
            <v>CALC SS / CALC</v>
          </cell>
          <cell r="D1928" t="str">
            <v>TSPS (Portfolio 1) Limited Partnership</v>
          </cell>
          <cell r="E1928" t="str">
            <v>CO</v>
          </cell>
          <cell r="F1928">
            <v>42581</v>
          </cell>
          <cell r="G1928">
            <v>42632</v>
          </cell>
          <cell r="H1928">
            <v>49885</v>
          </cell>
          <cell r="I1928" t="str">
            <v>19 years, 10 months, 10 days</v>
          </cell>
          <cell r="J1928" t="str">
            <v>Renewables</v>
          </cell>
          <cell r="K1928" t="str">
            <v>Solar (Rooftop)</v>
          </cell>
          <cell r="L1928" t="str">
            <v>Solar</v>
          </cell>
          <cell r="M1928" t="str">
            <v>Dx</v>
          </cell>
          <cell r="N1928" t="str">
            <v>Toronto</v>
          </cell>
          <cell r="O1928" t="str">
            <v>Toronto</v>
          </cell>
          <cell r="P1928" t="str">
            <v>Toronto</v>
          </cell>
        </row>
        <row r="1929">
          <cell r="C1929" t="str">
            <v>Worsley ES</v>
          </cell>
          <cell r="D1929" t="str">
            <v>Potentia Solar 5 Limited Partnership</v>
          </cell>
          <cell r="E1929" t="str">
            <v>CO</v>
          </cell>
          <cell r="F1929">
            <v>42097</v>
          </cell>
          <cell r="G1929">
            <v>42248</v>
          </cell>
          <cell r="H1929">
            <v>49401</v>
          </cell>
          <cell r="I1929" t="str">
            <v>19 years, 7 months, 1 days</v>
          </cell>
          <cell r="J1929" t="str">
            <v>Renewables</v>
          </cell>
          <cell r="K1929" t="str">
            <v>Solar (Rooftop)</v>
          </cell>
          <cell r="L1929" t="str">
            <v>Solar</v>
          </cell>
          <cell r="M1929" t="str">
            <v>Dx</v>
          </cell>
          <cell r="N1929" t="str">
            <v>Wasaga Beach</v>
          </cell>
          <cell r="O1929" t="str">
            <v>Simcoe</v>
          </cell>
          <cell r="P1929" t="str">
            <v>Southwest</v>
          </cell>
        </row>
        <row r="1930">
          <cell r="C1930" t="str">
            <v>HAG - Station E1</v>
          </cell>
          <cell r="D1930" t="str">
            <v>Maxim Solar Power Corporation</v>
          </cell>
          <cell r="E1930" t="str">
            <v>CO</v>
          </cell>
          <cell r="F1930">
            <v>42658</v>
          </cell>
          <cell r="G1930">
            <v>42549</v>
          </cell>
          <cell r="H1930">
            <v>49853</v>
          </cell>
          <cell r="I1930" t="str">
            <v>19 years, 11 months, 30 days</v>
          </cell>
          <cell r="J1930" t="str">
            <v>Renewables</v>
          </cell>
          <cell r="K1930" t="str">
            <v>Solar (Ground Mounted)</v>
          </cell>
          <cell r="L1930" t="str">
            <v>Solar</v>
          </cell>
          <cell r="M1930" t="str">
            <v>Dx</v>
          </cell>
          <cell r="N1930" t="str">
            <v>Hagersville</v>
          </cell>
          <cell r="O1930" t="str">
            <v>Haldimand</v>
          </cell>
          <cell r="P1930" t="str">
            <v>Southwest</v>
          </cell>
        </row>
        <row r="1931">
          <cell r="C1931" t="str">
            <v>Henry Hudson Sr PS</v>
          </cell>
          <cell r="D1931" t="str">
            <v>TSPS (Portfolio 2) Limited Partnership</v>
          </cell>
          <cell r="E1931" t="str">
            <v>CO</v>
          </cell>
          <cell r="F1931">
            <v>42611</v>
          </cell>
          <cell r="G1931">
            <v>42478</v>
          </cell>
          <cell r="H1931">
            <v>49782</v>
          </cell>
          <cell r="I1931" t="str">
            <v>19 years, 11 months, 30 days</v>
          </cell>
          <cell r="J1931" t="str">
            <v>Renewables</v>
          </cell>
          <cell r="K1931" t="str">
            <v>Solar (Rooftop)</v>
          </cell>
          <cell r="L1931" t="str">
            <v>Solar</v>
          </cell>
          <cell r="M1931" t="str">
            <v>Dx</v>
          </cell>
          <cell r="N1931" t="str">
            <v>Toronto</v>
          </cell>
          <cell r="O1931" t="str">
            <v>Toronto</v>
          </cell>
          <cell r="P1931" t="str">
            <v>Toronto</v>
          </cell>
        </row>
        <row r="1932">
          <cell r="C1932" t="str">
            <v>George Harvey CI</v>
          </cell>
          <cell r="D1932" t="str">
            <v>TSPS (Portfolio 2) Limited Partnership</v>
          </cell>
          <cell r="E1932" t="str">
            <v>CO</v>
          </cell>
          <cell r="F1932">
            <v>42597</v>
          </cell>
          <cell r="G1932">
            <v>42584</v>
          </cell>
          <cell r="H1932">
            <v>49888</v>
          </cell>
          <cell r="I1932" t="str">
            <v>19 years, 11 months, 30 days</v>
          </cell>
          <cell r="J1932" t="str">
            <v>Renewables</v>
          </cell>
          <cell r="K1932" t="str">
            <v>Solar (Rooftop)</v>
          </cell>
          <cell r="L1932" t="str">
            <v>Solar</v>
          </cell>
          <cell r="M1932" t="str">
            <v>Dx</v>
          </cell>
          <cell r="N1932" t="str">
            <v>Toronto</v>
          </cell>
          <cell r="O1932" t="str">
            <v>Toronto</v>
          </cell>
          <cell r="P1932" t="str">
            <v>Toronto</v>
          </cell>
        </row>
        <row r="1933">
          <cell r="C1933" t="str">
            <v>Heffner Solar I</v>
          </cell>
          <cell r="D1933" t="str">
            <v>CEW SIMCOE II</v>
          </cell>
          <cell r="E1933" t="str">
            <v>CO</v>
          </cell>
          <cell r="F1933">
            <v>42117</v>
          </cell>
          <cell r="G1933">
            <v>42161</v>
          </cell>
          <cell r="H1933">
            <v>49421</v>
          </cell>
          <cell r="I1933" t="str">
            <v>19 years, 10 months, 16 days</v>
          </cell>
          <cell r="J1933" t="str">
            <v>Renewables</v>
          </cell>
          <cell r="K1933" t="str">
            <v>Solar (Rooftop)</v>
          </cell>
          <cell r="L1933" t="str">
            <v>Solar</v>
          </cell>
          <cell r="M1933" t="str">
            <v>Dx</v>
          </cell>
          <cell r="N1933" t="str">
            <v>Kitchener</v>
          </cell>
          <cell r="O1933" t="str">
            <v>Waterloo</v>
          </cell>
          <cell r="P1933" t="str">
            <v>Southwest</v>
          </cell>
        </row>
        <row r="1934">
          <cell r="C1934" t="str">
            <v>Englehart - Arena</v>
          </cell>
          <cell r="D1934" t="str">
            <v>Englehart Solar Inc.</v>
          </cell>
          <cell r="E1934" t="str">
            <v>CO</v>
          </cell>
          <cell r="F1934">
            <v>42054</v>
          </cell>
          <cell r="G1934">
            <v>42055</v>
          </cell>
          <cell r="H1934">
            <v>49358</v>
          </cell>
          <cell r="I1934" t="str">
            <v>19 years, 11 months, 29 days</v>
          </cell>
          <cell r="J1934" t="str">
            <v>Renewables</v>
          </cell>
          <cell r="K1934" t="str">
            <v>Solar (Rooftop)</v>
          </cell>
          <cell r="L1934" t="str">
            <v>Solar</v>
          </cell>
          <cell r="M1934" t="str">
            <v>Dx</v>
          </cell>
          <cell r="N1934" t="str">
            <v>Englehart</v>
          </cell>
          <cell r="O1934" t="str">
            <v>Timiskaming</v>
          </cell>
          <cell r="P1934" t="str">
            <v>Northeast</v>
          </cell>
        </row>
        <row r="1935">
          <cell r="C1935" t="str">
            <v>West Glen JS</v>
          </cell>
          <cell r="D1935" t="str">
            <v>TSPS (Portfolio 2) Limited Partnership</v>
          </cell>
          <cell r="E1935" t="str">
            <v>CO</v>
          </cell>
          <cell r="F1935">
            <v>42611</v>
          </cell>
          <cell r="G1935">
            <v>42698</v>
          </cell>
          <cell r="H1935">
            <v>49915</v>
          </cell>
          <cell r="I1935" t="str">
            <v>19 years, 9 months, 4 days</v>
          </cell>
          <cell r="J1935" t="str">
            <v>Renewables</v>
          </cell>
          <cell r="K1935" t="str">
            <v>Solar (Rooftop)</v>
          </cell>
          <cell r="L1935" t="str">
            <v>Solar</v>
          </cell>
          <cell r="M1935" t="str">
            <v>Dx</v>
          </cell>
          <cell r="N1935" t="str">
            <v>Toronto</v>
          </cell>
          <cell r="O1935" t="str">
            <v>Toronto</v>
          </cell>
          <cell r="P1935" t="str">
            <v>Toronto</v>
          </cell>
        </row>
        <row r="1936">
          <cell r="C1936" t="str">
            <v>25 Hunter Roof</v>
          </cell>
          <cell r="D1936" t="str">
            <v>Charter Construction Limited</v>
          </cell>
          <cell r="E1936" t="str">
            <v>CO</v>
          </cell>
          <cell r="F1936">
            <v>42209</v>
          </cell>
          <cell r="G1936">
            <v>42012</v>
          </cell>
          <cell r="H1936">
            <v>49316</v>
          </cell>
          <cell r="I1936" t="str">
            <v>19 years, 11 months, 30 days</v>
          </cell>
          <cell r="J1936" t="str">
            <v>Renewables</v>
          </cell>
          <cell r="K1936" t="str">
            <v>Solar (Rooftop)</v>
          </cell>
          <cell r="L1936" t="str">
            <v>Solar</v>
          </cell>
          <cell r="M1936" t="str">
            <v>Dx</v>
          </cell>
          <cell r="N1936" t="str">
            <v>Orillia</v>
          </cell>
          <cell r="O1936" t="str">
            <v>Simcoe</v>
          </cell>
          <cell r="P1936" t="str">
            <v>Essa</v>
          </cell>
        </row>
        <row r="1937">
          <cell r="C1937" t="str">
            <v>Conestoga Solar I</v>
          </cell>
          <cell r="D1937" t="str">
            <v>CEW Erie VII Limited Partnership</v>
          </cell>
          <cell r="E1937" t="str">
            <v>CO</v>
          </cell>
          <cell r="F1937">
            <v>42117</v>
          </cell>
          <cell r="G1937">
            <v>43223</v>
          </cell>
          <cell r="H1937">
            <v>49421</v>
          </cell>
          <cell r="I1937" t="str">
            <v>16 years, 11 months, 19 days</v>
          </cell>
          <cell r="J1937" t="str">
            <v>Renewables</v>
          </cell>
          <cell r="K1937" t="str">
            <v>Solar (Rooftop)</v>
          </cell>
          <cell r="L1937" t="str">
            <v>Solar</v>
          </cell>
          <cell r="M1937" t="str">
            <v>Dx</v>
          </cell>
          <cell r="N1937" t="str">
            <v>Cambridge</v>
          </cell>
          <cell r="O1937" t="str">
            <v>Waterloo</v>
          </cell>
          <cell r="P1937" t="str">
            <v>Southwest</v>
          </cell>
        </row>
        <row r="1938">
          <cell r="C1938" t="str">
            <v>RS Chatham</v>
          </cell>
          <cell r="D1938" t="str">
            <v>Nautilus Eagle Lake Solar I Limited Partnership</v>
          </cell>
          <cell r="E1938" t="str">
            <v>CO</v>
          </cell>
          <cell r="F1938">
            <v>42089</v>
          </cell>
          <cell r="G1938">
            <v>42160</v>
          </cell>
          <cell r="H1938">
            <v>49393</v>
          </cell>
          <cell r="I1938" t="str">
            <v>19 years, 9 months, 20 days</v>
          </cell>
          <cell r="J1938" t="str">
            <v>Renewables</v>
          </cell>
          <cell r="K1938" t="str">
            <v>Solar (Rooftop)</v>
          </cell>
          <cell r="L1938" t="str">
            <v>Solar</v>
          </cell>
          <cell r="M1938" t="str">
            <v>Dx</v>
          </cell>
          <cell r="N1938" t="str">
            <v>Chatham</v>
          </cell>
          <cell r="O1938" t="str">
            <v>Chatham-Kent</v>
          </cell>
          <cell r="P1938" t="str">
            <v>West</v>
          </cell>
        </row>
        <row r="1939">
          <cell r="C1939" t="str">
            <v>J B Tyrrell Sr PS</v>
          </cell>
          <cell r="D1939" t="str">
            <v>TSPS (Portfolio 2) Limited Partnership</v>
          </cell>
          <cell r="E1939" t="str">
            <v>CO</v>
          </cell>
          <cell r="F1939">
            <v>42597</v>
          </cell>
          <cell r="G1939">
            <v>42335</v>
          </cell>
          <cell r="H1939">
            <v>49639</v>
          </cell>
          <cell r="I1939" t="str">
            <v>19 years, 11 months, 30 days</v>
          </cell>
          <cell r="J1939" t="str">
            <v>Renewables</v>
          </cell>
          <cell r="K1939" t="str">
            <v>Solar (Rooftop)</v>
          </cell>
          <cell r="L1939" t="str">
            <v>Solar</v>
          </cell>
          <cell r="M1939" t="str">
            <v>Dx</v>
          </cell>
          <cell r="N1939" t="str">
            <v>Toronto</v>
          </cell>
          <cell r="O1939" t="str">
            <v>Toronto</v>
          </cell>
          <cell r="P1939" t="str">
            <v>Toronto</v>
          </cell>
        </row>
        <row r="1940">
          <cell r="C1940" t="str">
            <v>Tumpane PS</v>
          </cell>
          <cell r="D1940" t="str">
            <v>TSPS (Portfolio 2) Limited Partnership</v>
          </cell>
          <cell r="E1940" t="str">
            <v>CO</v>
          </cell>
          <cell r="F1940">
            <v>42611</v>
          </cell>
          <cell r="G1940">
            <v>42643</v>
          </cell>
          <cell r="H1940">
            <v>49915</v>
          </cell>
          <cell r="I1940" t="str">
            <v>19 years, 10 months, 29 days</v>
          </cell>
          <cell r="J1940" t="str">
            <v>Renewables</v>
          </cell>
          <cell r="K1940" t="str">
            <v>Solar (Rooftop)</v>
          </cell>
          <cell r="L1940" t="str">
            <v>Solar</v>
          </cell>
          <cell r="M1940" t="str">
            <v>Dx</v>
          </cell>
          <cell r="N1940" t="str">
            <v>Toronto</v>
          </cell>
          <cell r="O1940" t="str">
            <v>Toronto</v>
          </cell>
          <cell r="P1940" t="str">
            <v>Toronto</v>
          </cell>
        </row>
        <row r="1941">
          <cell r="C1941" t="str">
            <v>Heffner Solar IV</v>
          </cell>
          <cell r="D1941" t="str">
            <v>CEW SIMCOE III</v>
          </cell>
          <cell r="E1941" t="str">
            <v>CO</v>
          </cell>
          <cell r="F1941">
            <v>42117</v>
          </cell>
          <cell r="G1941">
            <v>42117</v>
          </cell>
          <cell r="H1941">
            <v>49421</v>
          </cell>
          <cell r="I1941" t="str">
            <v>19 years, 11 months, 30 days</v>
          </cell>
          <cell r="J1941" t="str">
            <v>Renewables</v>
          </cell>
          <cell r="K1941" t="str">
            <v>Solar (Rooftop)</v>
          </cell>
          <cell r="L1941" t="str">
            <v>Solar</v>
          </cell>
          <cell r="M1941" t="str">
            <v>Dx</v>
          </cell>
          <cell r="N1941" t="str">
            <v>Guelph</v>
          </cell>
          <cell r="O1941" t="str">
            <v>Wellington</v>
          </cell>
          <cell r="P1941" t="str">
            <v>Southwest</v>
          </cell>
        </row>
        <row r="1942">
          <cell r="C1942" t="str">
            <v>St. Luke Catholic Elementary School</v>
          </cell>
          <cell r="D1942" t="str">
            <v>Potentia Solar 6 Limited Partnership</v>
          </cell>
          <cell r="E1942" t="str">
            <v>CO</v>
          </cell>
          <cell r="F1942">
            <v>42097</v>
          </cell>
          <cell r="G1942">
            <v>42261</v>
          </cell>
          <cell r="H1942">
            <v>49401</v>
          </cell>
          <cell r="I1942" t="str">
            <v>19 years, 6 months, 19 days</v>
          </cell>
          <cell r="J1942" t="str">
            <v>Renewables</v>
          </cell>
          <cell r="K1942" t="str">
            <v>Solar (Rooftop)</v>
          </cell>
          <cell r="L1942" t="str">
            <v>Solar</v>
          </cell>
          <cell r="M1942" t="str">
            <v>Dx</v>
          </cell>
          <cell r="N1942" t="str">
            <v>Waterloo</v>
          </cell>
          <cell r="O1942" t="str">
            <v>Waterloo</v>
          </cell>
          <cell r="P1942" t="str">
            <v>Southwest</v>
          </cell>
        </row>
        <row r="1943">
          <cell r="C1943" t="str">
            <v>Home Farm</v>
          </cell>
          <cell r="D1943" t="str">
            <v>Wayne Harpell</v>
          </cell>
          <cell r="E1943" t="str">
            <v>CO</v>
          </cell>
          <cell r="F1943">
            <v>42102</v>
          </cell>
          <cell r="G1943">
            <v>42073</v>
          </cell>
          <cell r="H1943">
            <v>49377</v>
          </cell>
          <cell r="I1943" t="str">
            <v>19 years, 11 months, 27 days</v>
          </cell>
          <cell r="J1943" t="str">
            <v>Renewables</v>
          </cell>
          <cell r="K1943" t="str">
            <v>Solar (Rooftop)</v>
          </cell>
          <cell r="L1943" t="str">
            <v>Solar</v>
          </cell>
          <cell r="M1943" t="str">
            <v>Dx</v>
          </cell>
          <cell r="N1943" t="str">
            <v>Fenelon Falls</v>
          </cell>
          <cell r="O1943" t="str">
            <v>Kawartha Lakes</v>
          </cell>
          <cell r="P1943" t="str">
            <v>Essa</v>
          </cell>
        </row>
        <row r="1944">
          <cell r="C1944" t="str">
            <v>2010-041-01</v>
          </cell>
          <cell r="D1944" t="str">
            <v>Potentia Solar 14 Limited Partnership</v>
          </cell>
          <cell r="E1944" t="str">
            <v>CO</v>
          </cell>
          <cell r="F1944">
            <v>42104</v>
          </cell>
          <cell r="G1944">
            <v>42149</v>
          </cell>
          <cell r="H1944">
            <v>49408</v>
          </cell>
          <cell r="I1944" t="str">
            <v>19 years, 10 months, 15 days</v>
          </cell>
          <cell r="J1944" t="str">
            <v>Renewables</v>
          </cell>
          <cell r="K1944" t="str">
            <v>Solar (Rooftop)</v>
          </cell>
          <cell r="L1944" t="str">
            <v>Solar</v>
          </cell>
          <cell r="M1944" t="str">
            <v>Dx</v>
          </cell>
          <cell r="N1944" t="str">
            <v>Windsor</v>
          </cell>
          <cell r="O1944" t="str">
            <v>Essex</v>
          </cell>
          <cell r="P1944" t="str">
            <v>West</v>
          </cell>
        </row>
        <row r="1945">
          <cell r="C1945" t="str">
            <v>Fleming Project</v>
          </cell>
          <cell r="D1945" t="str">
            <v>Harvey Alexander Fleming</v>
          </cell>
          <cell r="E1945" t="str">
            <v>CO</v>
          </cell>
          <cell r="F1945">
            <v>42070</v>
          </cell>
          <cell r="G1945">
            <v>42241</v>
          </cell>
          <cell r="H1945">
            <v>49374</v>
          </cell>
          <cell r="I1945" t="str">
            <v>19 years, 6 months, 9 days</v>
          </cell>
          <cell r="J1945" t="str">
            <v>Renewables</v>
          </cell>
          <cell r="K1945" t="str">
            <v>Solar (Rooftop)</v>
          </cell>
          <cell r="L1945" t="str">
            <v>Solar</v>
          </cell>
          <cell r="M1945" t="str">
            <v>Dx</v>
          </cell>
          <cell r="N1945" t="str">
            <v>Rodney</v>
          </cell>
          <cell r="O1945" t="str">
            <v>Elgin</v>
          </cell>
          <cell r="P1945" t="str">
            <v>West</v>
          </cell>
        </row>
        <row r="1946">
          <cell r="C1946" t="str">
            <v>148 Koch</v>
          </cell>
          <cell r="D1946" t="str">
            <v>Rural Energy Limited Partnership</v>
          </cell>
          <cell r="E1946" t="str">
            <v>CO</v>
          </cell>
          <cell r="F1946">
            <v>42807</v>
          </cell>
          <cell r="G1946">
            <v>42104</v>
          </cell>
          <cell r="H1946">
            <v>49408</v>
          </cell>
          <cell r="I1946" t="str">
            <v>19 years, 11 months, 30 days</v>
          </cell>
          <cell r="J1946" t="str">
            <v>Renewables</v>
          </cell>
          <cell r="K1946" t="str">
            <v>Solar (Ground Mounted)</v>
          </cell>
          <cell r="L1946" t="str">
            <v>Solar</v>
          </cell>
          <cell r="M1946" t="str">
            <v>Dx</v>
          </cell>
          <cell r="N1946" t="str">
            <v>New Liskeard</v>
          </cell>
          <cell r="O1946" t="str">
            <v>Timiskaming</v>
          </cell>
          <cell r="P1946" t="str">
            <v>Northeast</v>
          </cell>
        </row>
        <row r="1947">
          <cell r="C1947" t="str">
            <v>YCDSB - St. Agnes of Assisi</v>
          </cell>
          <cell r="D1947" t="str">
            <v>Potentia Solar 7 Limited Partnership</v>
          </cell>
          <cell r="E1947" t="str">
            <v>CO</v>
          </cell>
          <cell r="F1947">
            <v>42068</v>
          </cell>
          <cell r="G1947">
            <v>41995</v>
          </cell>
          <cell r="H1947">
            <v>49299</v>
          </cell>
          <cell r="I1947" t="str">
            <v>19 years, 11 months, 29 days</v>
          </cell>
          <cell r="J1947" t="str">
            <v>Renewables</v>
          </cell>
          <cell r="K1947" t="str">
            <v>Solar (Rooftop)</v>
          </cell>
          <cell r="L1947" t="str">
            <v>Solar</v>
          </cell>
          <cell r="M1947" t="str">
            <v>Dx</v>
          </cell>
          <cell r="N1947" t="str">
            <v>Woodbridge</v>
          </cell>
          <cell r="O1947" t="str">
            <v>York</v>
          </cell>
          <cell r="P1947" t="str">
            <v>Toronto</v>
          </cell>
        </row>
        <row r="1948">
          <cell r="C1948" t="str">
            <v>L'Amoreaux CI</v>
          </cell>
          <cell r="D1948" t="str">
            <v>TSPS (Portfolio 1) Limited Partnership</v>
          </cell>
          <cell r="E1948" t="str">
            <v>CO</v>
          </cell>
          <cell r="F1948">
            <v>42602</v>
          </cell>
          <cell r="G1948">
            <v>42222</v>
          </cell>
          <cell r="H1948">
            <v>49526</v>
          </cell>
          <cell r="I1948" t="str">
            <v>19 years, 11 months, 30 days</v>
          </cell>
          <cell r="J1948" t="str">
            <v>Renewables</v>
          </cell>
          <cell r="K1948" t="str">
            <v>Solar (Rooftop)</v>
          </cell>
          <cell r="L1948" t="str">
            <v>Solar</v>
          </cell>
          <cell r="M1948" t="str">
            <v>Dx</v>
          </cell>
          <cell r="N1948" t="str">
            <v>Toronto</v>
          </cell>
          <cell r="O1948" t="str">
            <v>Toronto</v>
          </cell>
          <cell r="P1948" t="str">
            <v>Toronto</v>
          </cell>
        </row>
        <row r="1949">
          <cell r="C1949" t="str">
            <v>190washburn</v>
          </cell>
          <cell r="D1949" t="str">
            <v>GSC RP6 LP</v>
          </cell>
          <cell r="E1949" t="str">
            <v>CO</v>
          </cell>
          <cell r="F1949">
            <v>42082</v>
          </cell>
          <cell r="G1949">
            <v>41955</v>
          </cell>
          <cell r="H1949">
            <v>49259</v>
          </cell>
          <cell r="I1949" t="str">
            <v>19 years, 11 months, 30 days</v>
          </cell>
          <cell r="J1949" t="str">
            <v>Renewables</v>
          </cell>
          <cell r="K1949" t="str">
            <v>Solar (Rooftop)</v>
          </cell>
          <cell r="L1949" t="str">
            <v>Solar</v>
          </cell>
          <cell r="M1949" t="str">
            <v>Dx</v>
          </cell>
          <cell r="N1949" t="str">
            <v>Kitchener</v>
          </cell>
          <cell r="O1949" t="str">
            <v>Waterloo</v>
          </cell>
          <cell r="P1949" t="str">
            <v>Southwest</v>
          </cell>
        </row>
        <row r="1950">
          <cell r="C1950" t="str">
            <v>Ranob Solar 2160</v>
          </cell>
          <cell r="D1950" t="str">
            <v>Ranob Estates Inc</v>
          </cell>
          <cell r="E1950" t="str">
            <v>CO</v>
          </cell>
          <cell r="F1950">
            <v>42112</v>
          </cell>
          <cell r="G1950">
            <v>41991</v>
          </cell>
          <cell r="H1950">
            <v>49295</v>
          </cell>
          <cell r="I1950" t="str">
            <v>19 years, 11 months, 29 days</v>
          </cell>
          <cell r="J1950" t="str">
            <v>Renewables</v>
          </cell>
          <cell r="K1950" t="str">
            <v>Solar (Rooftop)</v>
          </cell>
          <cell r="L1950" t="str">
            <v>Solar</v>
          </cell>
          <cell r="M1950" t="str">
            <v>Dx</v>
          </cell>
          <cell r="N1950" t="str">
            <v>Mississauga</v>
          </cell>
          <cell r="O1950" t="str">
            <v>Peel</v>
          </cell>
          <cell r="P1950" t="str">
            <v>Southwest</v>
          </cell>
        </row>
        <row r="1951">
          <cell r="C1951" t="str">
            <v>Fairbank Middle S</v>
          </cell>
          <cell r="D1951" t="str">
            <v>TSPS (Portfolio 1) Limited Partnership</v>
          </cell>
          <cell r="E1951" t="str">
            <v>CO</v>
          </cell>
          <cell r="F1951">
            <v>42590</v>
          </cell>
          <cell r="G1951">
            <v>42149</v>
          </cell>
          <cell r="H1951">
            <v>49453</v>
          </cell>
          <cell r="I1951" t="str">
            <v>19 years, 11 months, 29 days</v>
          </cell>
          <cell r="J1951" t="str">
            <v>Renewables</v>
          </cell>
          <cell r="K1951" t="str">
            <v>Solar (Rooftop)</v>
          </cell>
          <cell r="L1951" t="str">
            <v>Solar</v>
          </cell>
          <cell r="M1951" t="str">
            <v>Dx</v>
          </cell>
          <cell r="N1951" t="str">
            <v>Toronto</v>
          </cell>
          <cell r="O1951" t="str">
            <v>Toronto</v>
          </cell>
          <cell r="P1951" t="str">
            <v>Toronto</v>
          </cell>
        </row>
        <row r="1952">
          <cell r="C1952" t="str">
            <v>Yorkwoods PS</v>
          </cell>
          <cell r="D1952" t="str">
            <v>TSPS (Portfolio 2) Limited Partnership</v>
          </cell>
          <cell r="E1952" t="str">
            <v>CO</v>
          </cell>
          <cell r="F1952">
            <v>42616</v>
          </cell>
          <cell r="G1952">
            <v>42703</v>
          </cell>
          <cell r="H1952">
            <v>49920</v>
          </cell>
          <cell r="I1952" t="str">
            <v>19 years, 9 months, 4 days</v>
          </cell>
          <cell r="J1952" t="str">
            <v>Renewables</v>
          </cell>
          <cell r="K1952" t="str">
            <v>Solar (Rooftop)</v>
          </cell>
          <cell r="L1952" t="str">
            <v>Solar</v>
          </cell>
          <cell r="M1952" t="str">
            <v>Dx</v>
          </cell>
          <cell r="N1952" t="str">
            <v>Toronto</v>
          </cell>
          <cell r="O1952" t="str">
            <v>Toronto</v>
          </cell>
          <cell r="P1952" t="str">
            <v>Toronto</v>
          </cell>
        </row>
        <row r="1953">
          <cell r="C1953" t="str">
            <v>PET-1421 Lansdowne West</v>
          </cell>
          <cell r="D1953" t="str">
            <v>Métis Nation of Ontario - BrightRoof Solar LP</v>
          </cell>
          <cell r="E1953" t="str">
            <v>CO</v>
          </cell>
          <cell r="F1953">
            <v>42117</v>
          </cell>
          <cell r="G1953">
            <v>42240</v>
          </cell>
          <cell r="H1953">
            <v>49421</v>
          </cell>
          <cell r="I1953" t="str">
            <v>19 years, 7 months, 29 days</v>
          </cell>
          <cell r="J1953" t="str">
            <v>Renewables</v>
          </cell>
          <cell r="K1953" t="str">
            <v>Solar (Rooftop)</v>
          </cell>
          <cell r="L1953" t="str">
            <v>Solar</v>
          </cell>
          <cell r="M1953" t="str">
            <v>Dx</v>
          </cell>
          <cell r="N1953" t="str">
            <v>Peterborough</v>
          </cell>
          <cell r="O1953" t="str">
            <v>Peterborough</v>
          </cell>
          <cell r="P1953" t="str">
            <v>East</v>
          </cell>
        </row>
        <row r="1954">
          <cell r="C1954" t="str">
            <v>Pleasant PS</v>
          </cell>
          <cell r="D1954" t="str">
            <v>TSPS (Portfolio 1) Limited Partnership</v>
          </cell>
          <cell r="E1954" t="str">
            <v>CO</v>
          </cell>
          <cell r="F1954">
            <v>42604</v>
          </cell>
          <cell r="G1954">
            <v>42468</v>
          </cell>
          <cell r="H1954">
            <v>49772</v>
          </cell>
          <cell r="I1954" t="str">
            <v>19 years, 11 months, 30 days</v>
          </cell>
          <cell r="J1954" t="str">
            <v>Renewables</v>
          </cell>
          <cell r="K1954" t="str">
            <v>Solar (Rooftop)</v>
          </cell>
          <cell r="L1954" t="str">
            <v>Solar</v>
          </cell>
          <cell r="M1954" t="str">
            <v>Dx</v>
          </cell>
          <cell r="N1954" t="str">
            <v>Toronto</v>
          </cell>
          <cell r="O1954" t="str">
            <v>Toronto</v>
          </cell>
          <cell r="P1954" t="str">
            <v>Toronto</v>
          </cell>
        </row>
        <row r="1955">
          <cell r="C1955" t="str">
            <v>St. Joan of Arc</v>
          </cell>
          <cell r="D1955" t="str">
            <v>Dufferin-Peel Catholic District School Board</v>
          </cell>
          <cell r="E1955" t="str">
            <v>CO</v>
          </cell>
          <cell r="F1955">
            <v>42112</v>
          </cell>
          <cell r="G1955">
            <v>42094</v>
          </cell>
          <cell r="H1955">
            <v>49398</v>
          </cell>
          <cell r="I1955" t="str">
            <v>19 years, 11 months, 27 days</v>
          </cell>
          <cell r="J1955" t="str">
            <v>Renewables</v>
          </cell>
          <cell r="K1955" t="str">
            <v>Solar (Rooftop)</v>
          </cell>
          <cell r="L1955" t="str">
            <v>Solar</v>
          </cell>
          <cell r="M1955" t="str">
            <v>Dx</v>
          </cell>
          <cell r="N1955" t="str">
            <v>Mississauga</v>
          </cell>
          <cell r="O1955" t="str">
            <v>Peel</v>
          </cell>
          <cell r="P1955" t="str">
            <v>Toronto</v>
          </cell>
        </row>
        <row r="1956">
          <cell r="C1956" t="str">
            <v>South Dumfries Arena and Community Center</v>
          </cell>
          <cell r="D1956" t="str">
            <v>Corporation of the County of Brant and Sustainability Brant Community Energy Co-operative Inc.</v>
          </cell>
          <cell r="E1956" t="str">
            <v>CO</v>
          </cell>
          <cell r="F1956">
            <v>42082</v>
          </cell>
          <cell r="G1956">
            <v>42082</v>
          </cell>
          <cell r="H1956">
            <v>49386</v>
          </cell>
          <cell r="I1956" t="str">
            <v>19 years, 11 months, 27 days</v>
          </cell>
          <cell r="J1956" t="str">
            <v>Renewables</v>
          </cell>
          <cell r="K1956" t="str">
            <v>Solar (Rooftop)</v>
          </cell>
          <cell r="L1956" t="str">
            <v>Solar</v>
          </cell>
          <cell r="M1956" t="str">
            <v>Dx</v>
          </cell>
          <cell r="N1956" t="str">
            <v>St. George</v>
          </cell>
          <cell r="O1956" t="str">
            <v>Brant</v>
          </cell>
          <cell r="P1956" t="str">
            <v>Southwest</v>
          </cell>
        </row>
        <row r="1957">
          <cell r="C1957" t="str">
            <v>C R Marchant Middle S</v>
          </cell>
          <cell r="D1957" t="str">
            <v>TSPS (Portfolio 2) Limited Partnership</v>
          </cell>
          <cell r="E1957" t="str">
            <v>CO</v>
          </cell>
          <cell r="F1957">
            <v>42581</v>
          </cell>
          <cell r="G1957">
            <v>42671</v>
          </cell>
          <cell r="H1957">
            <v>49885</v>
          </cell>
          <cell r="I1957" t="str">
            <v>19 years, 9 months, 1 days</v>
          </cell>
          <cell r="J1957" t="str">
            <v>Renewables</v>
          </cell>
          <cell r="K1957" t="str">
            <v>Solar (Rooftop)</v>
          </cell>
          <cell r="L1957" t="str">
            <v>Solar</v>
          </cell>
          <cell r="M1957" t="str">
            <v>Dx</v>
          </cell>
          <cell r="N1957" t="str">
            <v>Toronto</v>
          </cell>
          <cell r="O1957" t="str">
            <v>Toronto</v>
          </cell>
          <cell r="P1957" t="str">
            <v>Toronto</v>
          </cell>
        </row>
        <row r="1958">
          <cell r="C1958" t="str">
            <v>SMART-D 002PV</v>
          </cell>
          <cell r="D1958" t="str">
            <v>SS Solar Power, ULC</v>
          </cell>
          <cell r="E1958" t="str">
            <v>CO</v>
          </cell>
          <cell r="F1958">
            <v>42102</v>
          </cell>
          <cell r="G1958">
            <v>41942</v>
          </cell>
          <cell r="H1958">
            <v>49246</v>
          </cell>
          <cell r="I1958" t="str">
            <v>19 years, 11 months, 29 days</v>
          </cell>
          <cell r="J1958" t="str">
            <v>Renewables</v>
          </cell>
          <cell r="K1958" t="str">
            <v>Solar (Rooftop)</v>
          </cell>
          <cell r="L1958" t="str">
            <v>Solar</v>
          </cell>
          <cell r="M1958" t="str">
            <v>Dx</v>
          </cell>
          <cell r="N1958" t="str">
            <v>Toronto</v>
          </cell>
          <cell r="O1958" t="str">
            <v>Toronto</v>
          </cell>
          <cell r="P1958" t="str">
            <v>Toronto</v>
          </cell>
        </row>
        <row r="1959">
          <cell r="C1959" t="str">
            <v>Inglewood Heights Jr PS</v>
          </cell>
          <cell r="D1959" t="str">
            <v>TSPS (Portfolio 2) Limited Partnership</v>
          </cell>
          <cell r="E1959" t="str">
            <v>CO</v>
          </cell>
          <cell r="F1959">
            <v>42597</v>
          </cell>
          <cell r="G1959">
            <v>42355</v>
          </cell>
          <cell r="H1959">
            <v>49659</v>
          </cell>
          <cell r="I1959" t="str">
            <v>19 years, 11 months, 29 days</v>
          </cell>
          <cell r="J1959" t="str">
            <v>Renewables</v>
          </cell>
          <cell r="K1959" t="str">
            <v>Solar (Rooftop)</v>
          </cell>
          <cell r="L1959" t="str">
            <v>Solar</v>
          </cell>
          <cell r="M1959" t="str">
            <v>Dx</v>
          </cell>
          <cell r="N1959" t="str">
            <v>Toronto</v>
          </cell>
          <cell r="O1959" t="str">
            <v>Toronto</v>
          </cell>
          <cell r="P1959" t="str">
            <v>Toronto</v>
          </cell>
        </row>
        <row r="1960">
          <cell r="C1960" t="str">
            <v>ESC Monseigneur-de-Charbonnel</v>
          </cell>
          <cell r="D1960" t="str">
            <v>Conseil Scolaire de District Catholique Centre-Sud</v>
          </cell>
          <cell r="E1960" t="str">
            <v>CO</v>
          </cell>
          <cell r="F1960">
            <v>42095</v>
          </cell>
          <cell r="G1960">
            <v>42236</v>
          </cell>
          <cell r="H1960">
            <v>49399</v>
          </cell>
          <cell r="I1960" t="str">
            <v>19 years, 7 months, 11 days</v>
          </cell>
          <cell r="J1960" t="str">
            <v>Renewables</v>
          </cell>
          <cell r="K1960" t="str">
            <v>Solar (Rooftop)</v>
          </cell>
          <cell r="L1960" t="str">
            <v>Solar</v>
          </cell>
          <cell r="M1960" t="str">
            <v>Dx</v>
          </cell>
          <cell r="N1960" t="str">
            <v>Toronto</v>
          </cell>
          <cell r="O1960" t="str">
            <v>Toronto</v>
          </cell>
          <cell r="P1960" t="str">
            <v>Toronto</v>
          </cell>
        </row>
        <row r="1961">
          <cell r="C1961" t="str">
            <v>Gosford PS</v>
          </cell>
          <cell r="D1961" t="str">
            <v>TSPS (Portfolio 2) Limited Partnership</v>
          </cell>
          <cell r="E1961" t="str">
            <v>CO</v>
          </cell>
          <cell r="F1961">
            <v>42597</v>
          </cell>
          <cell r="G1961">
            <v>42613</v>
          </cell>
          <cell r="H1961">
            <v>49901</v>
          </cell>
          <cell r="I1961" t="str">
            <v>19 years, 11 months, 14 days</v>
          </cell>
          <cell r="J1961" t="str">
            <v>Renewables</v>
          </cell>
          <cell r="K1961" t="str">
            <v>Solar (Rooftop)</v>
          </cell>
          <cell r="L1961" t="str">
            <v>Solar</v>
          </cell>
          <cell r="M1961" t="str">
            <v>Dx</v>
          </cell>
          <cell r="N1961" t="str">
            <v>Toronto</v>
          </cell>
          <cell r="O1961" t="str">
            <v>Toronto</v>
          </cell>
          <cell r="P1961" t="str">
            <v>Toronto</v>
          </cell>
        </row>
        <row r="1962">
          <cell r="C1962" t="str">
            <v>192WestburneKitch15</v>
          </cell>
          <cell r="D1962" t="str">
            <v>Solar Income Fund LP (#5)</v>
          </cell>
          <cell r="E1962" t="str">
            <v>CO</v>
          </cell>
          <cell r="F1962">
            <v>42110</v>
          </cell>
          <cell r="G1962">
            <v>42110</v>
          </cell>
          <cell r="H1962">
            <v>49414</v>
          </cell>
          <cell r="I1962" t="str">
            <v>19 years, 11 months, 30 days</v>
          </cell>
          <cell r="J1962" t="str">
            <v>Renewables</v>
          </cell>
          <cell r="K1962" t="str">
            <v>Solar (Rooftop)</v>
          </cell>
          <cell r="L1962" t="str">
            <v>Solar</v>
          </cell>
          <cell r="M1962" t="str">
            <v>Dx</v>
          </cell>
          <cell r="N1962" t="str">
            <v>Kitchener</v>
          </cell>
          <cell r="O1962" t="str">
            <v>Waterloo</v>
          </cell>
          <cell r="P1962" t="str">
            <v>Southwest</v>
          </cell>
        </row>
        <row r="1963">
          <cell r="C1963" t="str">
            <v>Kloosterman Solar 1</v>
          </cell>
          <cell r="D1963" t="str">
            <v>1675453 Ontario Ltd.</v>
          </cell>
          <cell r="E1963" t="str">
            <v>CO</v>
          </cell>
          <cell r="F1963">
            <v>42104</v>
          </cell>
          <cell r="G1963">
            <v>41993</v>
          </cell>
          <cell r="H1963">
            <v>49297</v>
          </cell>
          <cell r="I1963" t="str">
            <v>19 years, 11 months, 29 days</v>
          </cell>
          <cell r="J1963" t="str">
            <v>Renewables</v>
          </cell>
          <cell r="K1963" t="str">
            <v>Solar (Rooftop)</v>
          </cell>
          <cell r="L1963" t="str">
            <v>Solar</v>
          </cell>
          <cell r="M1963" t="str">
            <v>Dx</v>
          </cell>
          <cell r="N1963" t="str">
            <v>Lindsay</v>
          </cell>
          <cell r="O1963" t="str">
            <v>Kawartha Lakes</v>
          </cell>
          <cell r="P1963" t="str">
            <v>Essa</v>
          </cell>
        </row>
        <row r="1964">
          <cell r="C1964" t="str">
            <v>Greenlife Business Center</v>
          </cell>
          <cell r="D1964" t="str">
            <v>Greenlife Energy Inc.</v>
          </cell>
          <cell r="E1964" t="str">
            <v>CO</v>
          </cell>
          <cell r="F1964">
            <v>42117</v>
          </cell>
          <cell r="G1964">
            <v>41949</v>
          </cell>
          <cell r="H1964">
            <v>49253</v>
          </cell>
          <cell r="I1964" t="str">
            <v>19 years, 11 months, 30 days</v>
          </cell>
          <cell r="J1964" t="str">
            <v>Renewables</v>
          </cell>
          <cell r="K1964" t="str">
            <v>Solar (Rooftop)</v>
          </cell>
          <cell r="L1964" t="str">
            <v>Solar</v>
          </cell>
          <cell r="M1964" t="str">
            <v>Dx</v>
          </cell>
          <cell r="N1964" t="str">
            <v>Milton</v>
          </cell>
          <cell r="O1964" t="str">
            <v>Halton</v>
          </cell>
          <cell r="P1964" t="str">
            <v>Southwest</v>
          </cell>
        </row>
        <row r="1965">
          <cell r="C1965" t="str">
            <v>CMK Power</v>
          </cell>
          <cell r="D1965" t="str">
            <v>Charles Murray Loopstra o/a Sunridge Meadows Farm</v>
          </cell>
          <cell r="E1965" t="str">
            <v>CO</v>
          </cell>
          <cell r="F1965">
            <v>42061</v>
          </cell>
          <cell r="G1965">
            <v>42209</v>
          </cell>
          <cell r="H1965">
            <v>49365</v>
          </cell>
          <cell r="I1965" t="str">
            <v>19 years, 7 months, 1 days</v>
          </cell>
          <cell r="J1965" t="str">
            <v>Renewables</v>
          </cell>
          <cell r="K1965" t="str">
            <v>Solar (Rooftop)</v>
          </cell>
          <cell r="L1965" t="str">
            <v>Solar</v>
          </cell>
          <cell r="M1965" t="str">
            <v>Dx</v>
          </cell>
          <cell r="N1965" t="str">
            <v>Kettleby</v>
          </cell>
          <cell r="O1965" t="str">
            <v>York</v>
          </cell>
          <cell r="P1965" t="str">
            <v>Toronto</v>
          </cell>
        </row>
        <row r="1966">
          <cell r="C1966" t="str">
            <v>LON-2351 Huron</v>
          </cell>
          <cell r="D1966" t="str">
            <v>Métis Nation of Ontario - BrightRoof Solar LP</v>
          </cell>
          <cell r="E1966" t="str">
            <v>CO</v>
          </cell>
          <cell r="F1966">
            <v>42112</v>
          </cell>
          <cell r="G1966">
            <v>42111</v>
          </cell>
          <cell r="H1966">
            <v>49415</v>
          </cell>
          <cell r="I1966" t="str">
            <v>19 years, 11 months, 30 days</v>
          </cell>
          <cell r="J1966" t="str">
            <v>Renewables</v>
          </cell>
          <cell r="K1966" t="str">
            <v>Solar (Rooftop)</v>
          </cell>
          <cell r="L1966" t="str">
            <v>Solar</v>
          </cell>
          <cell r="M1966" t="str">
            <v>Dx</v>
          </cell>
          <cell r="N1966" t="str">
            <v>London</v>
          </cell>
          <cell r="O1966" t="str">
            <v>Middlesex</v>
          </cell>
          <cell r="P1966" t="str">
            <v>West</v>
          </cell>
        </row>
        <row r="1967">
          <cell r="C1967" t="str">
            <v>Frook Biogas Facility 3a</v>
          </cell>
          <cell r="D1967" t="str">
            <v>Carl and Marcia Frook</v>
          </cell>
          <cell r="E1967" t="str">
            <v>CO</v>
          </cell>
          <cell r="F1967">
            <v>42623</v>
          </cell>
          <cell r="G1967">
            <v>42194</v>
          </cell>
          <cell r="H1967">
            <v>49498</v>
          </cell>
          <cell r="I1967" t="str">
            <v>19 years, 11 months, 29 days</v>
          </cell>
          <cell r="J1967" t="str">
            <v>Renewables</v>
          </cell>
          <cell r="K1967" t="str">
            <v>Bioenergy</v>
          </cell>
          <cell r="L1967" t="str">
            <v>Biogas</v>
          </cell>
          <cell r="M1967" t="str">
            <v>Dx</v>
          </cell>
          <cell r="N1967" t="str">
            <v>Elmwood</v>
          </cell>
          <cell r="O1967" t="str">
            <v>Bruce</v>
          </cell>
          <cell r="P1967" t="str">
            <v>Southwest</v>
          </cell>
        </row>
        <row r="1968">
          <cell r="C1968" t="str">
            <v>Nottawa PS</v>
          </cell>
          <cell r="D1968" t="str">
            <v>Potentia Solar 5 Limited Partnership</v>
          </cell>
          <cell r="E1968" t="str">
            <v>CO</v>
          </cell>
          <cell r="F1968">
            <v>42063</v>
          </cell>
          <cell r="G1968">
            <v>42240</v>
          </cell>
          <cell r="H1968">
            <v>49367</v>
          </cell>
          <cell r="I1968" t="str">
            <v>19 years, 6 months, 3 days</v>
          </cell>
          <cell r="J1968" t="str">
            <v>Renewables</v>
          </cell>
          <cell r="K1968" t="str">
            <v>Solar (Rooftop)</v>
          </cell>
          <cell r="L1968" t="str">
            <v>Solar</v>
          </cell>
          <cell r="M1968" t="str">
            <v>Dx</v>
          </cell>
          <cell r="N1968" t="str">
            <v>Collingwood</v>
          </cell>
          <cell r="O1968" t="str">
            <v>Simcoe</v>
          </cell>
          <cell r="P1968" t="str">
            <v>Southwest</v>
          </cell>
        </row>
        <row r="1969">
          <cell r="C1969" t="str">
            <v>King George Jr PS</v>
          </cell>
          <cell r="D1969" t="str">
            <v>TSPS (Portfolio 2) Limited Partnership</v>
          </cell>
          <cell r="E1969" t="str">
            <v>CO</v>
          </cell>
          <cell r="F1969">
            <v>42602</v>
          </cell>
          <cell r="G1969">
            <v>42689</v>
          </cell>
          <cell r="H1969">
            <v>49906</v>
          </cell>
          <cell r="I1969" t="str">
            <v>19 years, 9 months, 4 days</v>
          </cell>
          <cell r="J1969" t="str">
            <v>Renewables</v>
          </cell>
          <cell r="K1969" t="str">
            <v>Solar (Rooftop)</v>
          </cell>
          <cell r="L1969" t="str">
            <v>Solar</v>
          </cell>
          <cell r="M1969" t="str">
            <v>Dx</v>
          </cell>
          <cell r="N1969" t="str">
            <v>Toronto</v>
          </cell>
          <cell r="O1969" t="str">
            <v>Toronto</v>
          </cell>
          <cell r="P1969" t="str">
            <v>Toronto</v>
          </cell>
        </row>
        <row r="1970">
          <cell r="C1970" t="str">
            <v>Northland 2090</v>
          </cell>
          <cell r="D1970" t="str">
            <v>1765901 Ontario Inc.</v>
          </cell>
          <cell r="E1970" t="str">
            <v>CO</v>
          </cell>
          <cell r="F1970">
            <v>42061</v>
          </cell>
          <cell r="G1970">
            <v>41995</v>
          </cell>
          <cell r="H1970">
            <v>49299</v>
          </cell>
          <cell r="I1970" t="str">
            <v>19 years, 11 months, 29 days</v>
          </cell>
          <cell r="J1970" t="str">
            <v>Renewables</v>
          </cell>
          <cell r="K1970" t="str">
            <v>Solar (Rooftop)</v>
          </cell>
          <cell r="L1970" t="str">
            <v>Solar</v>
          </cell>
          <cell r="M1970" t="str">
            <v>Dx</v>
          </cell>
          <cell r="N1970" t="str">
            <v>Kitchener</v>
          </cell>
          <cell r="O1970" t="str">
            <v>Waterloo</v>
          </cell>
          <cell r="P1970" t="str">
            <v>Southwest</v>
          </cell>
        </row>
        <row r="1971">
          <cell r="C1971" t="str">
            <v>Endura Energy - 70 Van Kirk</v>
          </cell>
          <cell r="D1971" t="str">
            <v>Community Solar Assets 2 Limited</v>
          </cell>
          <cell r="E1971" t="str">
            <v>CO</v>
          </cell>
          <cell r="F1971">
            <v>42056</v>
          </cell>
          <cell r="G1971">
            <v>42090</v>
          </cell>
          <cell r="H1971">
            <v>49360</v>
          </cell>
          <cell r="I1971" t="str">
            <v>19 years, 10 months, 24 days</v>
          </cell>
          <cell r="J1971" t="str">
            <v>Renewables</v>
          </cell>
          <cell r="K1971" t="str">
            <v>Solar (Rooftop)</v>
          </cell>
          <cell r="L1971" t="str">
            <v>Solar</v>
          </cell>
          <cell r="M1971" t="str">
            <v>Dx</v>
          </cell>
          <cell r="N1971" t="str">
            <v>Brampton</v>
          </cell>
          <cell r="O1971" t="str">
            <v>Peel</v>
          </cell>
          <cell r="P1971" t="str">
            <v>Toronto</v>
          </cell>
        </row>
        <row r="1972">
          <cell r="C1972" t="str">
            <v>8681 Canyon Road - Rooftop</v>
          </cell>
          <cell r="D1972" t="str">
            <v>Canyon Farm Inc.</v>
          </cell>
          <cell r="E1972" t="str">
            <v>CO</v>
          </cell>
          <cell r="F1972">
            <v>42439</v>
          </cell>
          <cell r="G1972">
            <v>42466</v>
          </cell>
          <cell r="H1972">
            <v>49743</v>
          </cell>
          <cell r="I1972" t="str">
            <v>19 years, 11 months, 3 days</v>
          </cell>
          <cell r="J1972" t="str">
            <v>Renewables</v>
          </cell>
          <cell r="K1972" t="str">
            <v>Solar (Rooftop)</v>
          </cell>
          <cell r="L1972" t="str">
            <v>Solar</v>
          </cell>
          <cell r="M1972" t="str">
            <v>Dx</v>
          </cell>
          <cell r="N1972" t="str">
            <v>Campbellville</v>
          </cell>
          <cell r="O1972" t="str">
            <v>Halton</v>
          </cell>
          <cell r="P1972" t="str">
            <v>Southwest</v>
          </cell>
        </row>
        <row r="1973">
          <cell r="C1973" t="str">
            <v>Norman Cook Jr PS</v>
          </cell>
          <cell r="D1973" t="str">
            <v>TSPS (Portfolio 2) Limited Partnership</v>
          </cell>
          <cell r="E1973" t="str">
            <v>CO</v>
          </cell>
          <cell r="F1973">
            <v>42604</v>
          </cell>
          <cell r="G1973">
            <v>42677</v>
          </cell>
          <cell r="H1973">
            <v>49908</v>
          </cell>
          <cell r="I1973" t="str">
            <v>19 years, 9 months, 18 days</v>
          </cell>
          <cell r="J1973" t="str">
            <v>Renewables</v>
          </cell>
          <cell r="K1973" t="str">
            <v>Solar (Rooftop)</v>
          </cell>
          <cell r="L1973" t="str">
            <v>Solar</v>
          </cell>
          <cell r="M1973" t="str">
            <v>Dx</v>
          </cell>
          <cell r="N1973" t="str">
            <v>Toronto</v>
          </cell>
          <cell r="O1973" t="str">
            <v>Toronto</v>
          </cell>
          <cell r="P1973" t="str">
            <v>Toronto</v>
          </cell>
        </row>
        <row r="1974">
          <cell r="C1974" t="str">
            <v>OSP-WJV-Spence</v>
          </cell>
          <cell r="D1974" t="str">
            <v>Wouter and Josephina Van Leeuwen</v>
          </cell>
          <cell r="E1974" t="str">
            <v>CO</v>
          </cell>
          <cell r="F1974">
            <v>42102</v>
          </cell>
          <cell r="G1974">
            <v>42277</v>
          </cell>
          <cell r="H1974">
            <v>49406</v>
          </cell>
          <cell r="I1974" t="str">
            <v>19 years, 6 months, 8 days</v>
          </cell>
          <cell r="J1974" t="str">
            <v>Renewables</v>
          </cell>
          <cell r="K1974" t="str">
            <v>Solar (Rooftop)</v>
          </cell>
          <cell r="L1974" t="str">
            <v>Solar</v>
          </cell>
          <cell r="M1974" t="str">
            <v>Dx</v>
          </cell>
          <cell r="N1974" t="str">
            <v>Ridgetown</v>
          </cell>
          <cell r="O1974" t="str">
            <v>Chatham-Kent</v>
          </cell>
          <cell r="P1974" t="str">
            <v>West</v>
          </cell>
        </row>
        <row r="1975">
          <cell r="C1975" t="str">
            <v>PS2012-033</v>
          </cell>
          <cell r="D1975" t="str">
            <v>Alectra Utilities Corporation</v>
          </cell>
          <cell r="E1975" t="str">
            <v>CO</v>
          </cell>
          <cell r="F1975">
            <v>42061</v>
          </cell>
          <cell r="G1975">
            <v>41879</v>
          </cell>
          <cell r="H1975">
            <v>49183</v>
          </cell>
          <cell r="I1975" t="str">
            <v>19 years, 11 months, 30 days</v>
          </cell>
          <cell r="J1975" t="str">
            <v>Renewables</v>
          </cell>
          <cell r="K1975" t="str">
            <v>Solar (Rooftop)</v>
          </cell>
          <cell r="L1975" t="str">
            <v>Solar</v>
          </cell>
          <cell r="M1975" t="str">
            <v>Dx</v>
          </cell>
          <cell r="N1975" t="str">
            <v>Vaughan</v>
          </cell>
          <cell r="O1975" t="str">
            <v>York</v>
          </cell>
          <cell r="P1975" t="str">
            <v>Toronto</v>
          </cell>
        </row>
        <row r="1976">
          <cell r="C1976" t="str">
            <v>Etienne Brule JS</v>
          </cell>
          <cell r="D1976" t="str">
            <v>TSPS (Portfolio 2) Limited Partnership</v>
          </cell>
          <cell r="E1976" t="str">
            <v>CO</v>
          </cell>
          <cell r="F1976">
            <v>42597</v>
          </cell>
          <cell r="G1976">
            <v>42702</v>
          </cell>
          <cell r="H1976">
            <v>49901</v>
          </cell>
          <cell r="I1976" t="str">
            <v>19 years, 8 months, 17 days</v>
          </cell>
          <cell r="J1976" t="str">
            <v>Renewables</v>
          </cell>
          <cell r="K1976" t="str">
            <v>Solar (Rooftop)</v>
          </cell>
          <cell r="L1976" t="str">
            <v>Solar</v>
          </cell>
          <cell r="M1976" t="str">
            <v>Dx</v>
          </cell>
          <cell r="N1976" t="str">
            <v>Toronto</v>
          </cell>
          <cell r="O1976" t="str">
            <v>Toronto</v>
          </cell>
          <cell r="P1976" t="str">
            <v>Toronto</v>
          </cell>
        </row>
        <row r="1977">
          <cell r="C1977" t="str">
            <v>810 Technology Drive</v>
          </cell>
          <cell r="D1977" t="str">
            <v>2436043 Ontario Inc.</v>
          </cell>
          <cell r="E1977" t="str">
            <v>CO</v>
          </cell>
          <cell r="F1977">
            <v>42102</v>
          </cell>
          <cell r="G1977">
            <v>42269</v>
          </cell>
          <cell r="H1977">
            <v>49406</v>
          </cell>
          <cell r="I1977" t="str">
            <v>19 years, 6 months, 16 days</v>
          </cell>
          <cell r="J1977" t="str">
            <v>Renewables</v>
          </cell>
          <cell r="K1977" t="str">
            <v>Solar (Rooftop)</v>
          </cell>
          <cell r="L1977" t="str">
            <v>Solar</v>
          </cell>
          <cell r="M1977" t="str">
            <v>Dx</v>
          </cell>
          <cell r="N1977" t="str">
            <v>Peterborough</v>
          </cell>
          <cell r="O1977" t="str">
            <v>Peterborough</v>
          </cell>
          <cell r="P1977" t="str">
            <v>East</v>
          </cell>
        </row>
        <row r="1978">
          <cell r="C1978" t="str">
            <v>43 Howard Avenue</v>
          </cell>
          <cell r="D1978" t="str">
            <v>2357667 Ontario Inc.</v>
          </cell>
          <cell r="E1978" t="str">
            <v>CO</v>
          </cell>
          <cell r="F1978">
            <v>42075</v>
          </cell>
          <cell r="G1978">
            <v>41862</v>
          </cell>
          <cell r="H1978">
            <v>49166</v>
          </cell>
          <cell r="I1978" t="str">
            <v>19 years, 11 months, 30 days</v>
          </cell>
          <cell r="J1978" t="str">
            <v>Renewables</v>
          </cell>
          <cell r="K1978" t="str">
            <v>Solar (Rooftop)</v>
          </cell>
          <cell r="L1978" t="str">
            <v>Solar</v>
          </cell>
          <cell r="M1978" t="str">
            <v>Dx</v>
          </cell>
          <cell r="N1978" t="str">
            <v>Elmira</v>
          </cell>
          <cell r="O1978" t="str">
            <v>Waterloo</v>
          </cell>
          <cell r="P1978" t="str">
            <v>Southwest</v>
          </cell>
        </row>
        <row r="1979">
          <cell r="C1979" t="str">
            <v>Dunlogon Farms</v>
          </cell>
          <cell r="D1979" t="str">
            <v>SCCEC LP</v>
          </cell>
          <cell r="E1979" t="str">
            <v>CO</v>
          </cell>
          <cell r="F1979">
            <v>42097</v>
          </cell>
          <cell r="G1979">
            <v>41988</v>
          </cell>
          <cell r="H1979">
            <v>49292</v>
          </cell>
          <cell r="I1979" t="str">
            <v>19 years, 11 months, 29 days</v>
          </cell>
          <cell r="J1979" t="str">
            <v>Renewables</v>
          </cell>
          <cell r="K1979" t="str">
            <v>Solar (Rooftop)</v>
          </cell>
          <cell r="L1979" t="str">
            <v>Solar</v>
          </cell>
          <cell r="M1979" t="str">
            <v>Dx</v>
          </cell>
          <cell r="N1979" t="str">
            <v>Stayner</v>
          </cell>
          <cell r="O1979" t="str">
            <v>Simcoe</v>
          </cell>
          <cell r="P1979" t="str">
            <v>Southwest</v>
          </cell>
        </row>
        <row r="1980">
          <cell r="C1980" t="str">
            <v>Dublin Heights E &amp; MS</v>
          </cell>
          <cell r="D1980" t="str">
            <v>TSPS (Portfolio 2) Limited Partnership</v>
          </cell>
          <cell r="E1980" t="str">
            <v>CO</v>
          </cell>
          <cell r="F1980">
            <v>42588</v>
          </cell>
          <cell r="G1980">
            <v>42292</v>
          </cell>
          <cell r="H1980">
            <v>49596</v>
          </cell>
          <cell r="I1980" t="str">
            <v>19 years, 11 months, 29 days</v>
          </cell>
          <cell r="J1980" t="str">
            <v>Renewables</v>
          </cell>
          <cell r="K1980" t="str">
            <v>Solar (Rooftop)</v>
          </cell>
          <cell r="L1980" t="str">
            <v>Solar</v>
          </cell>
          <cell r="M1980" t="str">
            <v>Dx</v>
          </cell>
          <cell r="N1980" t="str">
            <v>Toronto</v>
          </cell>
          <cell r="O1980" t="str">
            <v>Toronto</v>
          </cell>
          <cell r="P1980" t="str">
            <v>Toronto</v>
          </cell>
        </row>
        <row r="1981">
          <cell r="C1981" t="str">
            <v>6 Strubhar</v>
          </cell>
          <cell r="D1981" t="str">
            <v>Rural Energy Limited Partnership</v>
          </cell>
          <cell r="E1981" t="str">
            <v>CO</v>
          </cell>
          <cell r="F1981">
            <v>42757</v>
          </cell>
          <cell r="G1981">
            <v>42272</v>
          </cell>
          <cell r="H1981">
            <v>49576</v>
          </cell>
          <cell r="I1981" t="str">
            <v>19 years, 11 months, 30 days</v>
          </cell>
          <cell r="J1981" t="str">
            <v>Renewables</v>
          </cell>
          <cell r="K1981" t="str">
            <v>Solar (Ground Mounted)</v>
          </cell>
          <cell r="L1981" t="str">
            <v>Solar</v>
          </cell>
          <cell r="M1981" t="str">
            <v>Dx</v>
          </cell>
          <cell r="N1981" t="str">
            <v>New Liskeard</v>
          </cell>
          <cell r="O1981" t="str">
            <v>Timiskaming</v>
          </cell>
          <cell r="P1981" t="str">
            <v>Northeast</v>
          </cell>
        </row>
        <row r="1982">
          <cell r="C1982" t="str">
            <v>61 - Silverthorns</v>
          </cell>
          <cell r="D1982" t="str">
            <v>SIF-AMBER PROJECTS LP</v>
          </cell>
          <cell r="E1982" t="str">
            <v>CO</v>
          </cell>
          <cell r="F1982">
            <v>42056</v>
          </cell>
          <cell r="G1982">
            <v>41992</v>
          </cell>
          <cell r="H1982">
            <v>49296</v>
          </cell>
          <cell r="I1982" t="str">
            <v>19 years, 11 months, 29 days</v>
          </cell>
          <cell r="J1982" t="str">
            <v>Renewables</v>
          </cell>
          <cell r="K1982" t="str">
            <v>Solar (Rooftop)</v>
          </cell>
          <cell r="L1982" t="str">
            <v>Solar</v>
          </cell>
          <cell r="M1982" t="str">
            <v>Dx</v>
          </cell>
          <cell r="N1982" t="str">
            <v>St. Thomas</v>
          </cell>
          <cell r="O1982" t="str">
            <v>Elgin</v>
          </cell>
          <cell r="P1982" t="str">
            <v>West</v>
          </cell>
        </row>
        <row r="1983">
          <cell r="C1983" t="str">
            <v>Gooderham Learning Centre</v>
          </cell>
          <cell r="D1983" t="str">
            <v>TSPS (Portfolio 2) Limited Partnership</v>
          </cell>
          <cell r="E1983" t="str">
            <v>CO</v>
          </cell>
          <cell r="F1983">
            <v>42597</v>
          </cell>
          <cell r="G1983">
            <v>42696</v>
          </cell>
          <cell r="H1983">
            <v>49901</v>
          </cell>
          <cell r="I1983" t="str">
            <v>19 years, 8 months, 23 days</v>
          </cell>
          <cell r="J1983" t="str">
            <v>Renewables</v>
          </cell>
          <cell r="K1983" t="str">
            <v>Solar (Rooftop)</v>
          </cell>
          <cell r="L1983" t="str">
            <v>Solar</v>
          </cell>
          <cell r="M1983" t="str">
            <v>Dx</v>
          </cell>
          <cell r="N1983" t="str">
            <v>Toronto</v>
          </cell>
          <cell r="O1983" t="str">
            <v>Toronto</v>
          </cell>
          <cell r="P1983" t="str">
            <v>Toronto</v>
          </cell>
        </row>
        <row r="1984">
          <cell r="C1984" t="str">
            <v>Solar Project - 425 Alness Street</v>
          </cell>
          <cell r="D1984" t="str">
            <v>Royal Alness Investments Inc.</v>
          </cell>
          <cell r="E1984" t="str">
            <v>CO</v>
          </cell>
          <cell r="F1984">
            <v>42070</v>
          </cell>
          <cell r="G1984">
            <v>42093</v>
          </cell>
          <cell r="H1984">
            <v>49374</v>
          </cell>
          <cell r="I1984" t="str">
            <v>19 years, 11 months, 4 days</v>
          </cell>
          <cell r="J1984" t="str">
            <v>Renewables</v>
          </cell>
          <cell r="K1984" t="str">
            <v>Solar (Rooftop)</v>
          </cell>
          <cell r="L1984" t="str">
            <v>Solar</v>
          </cell>
          <cell r="M1984" t="str">
            <v>Dx</v>
          </cell>
          <cell r="N1984" t="str">
            <v>Toronto</v>
          </cell>
          <cell r="O1984" t="str">
            <v>Toronto</v>
          </cell>
          <cell r="P1984" t="str">
            <v>Toronto</v>
          </cell>
        </row>
        <row r="1985">
          <cell r="C1985" t="str">
            <v>60 Aileen</v>
          </cell>
          <cell r="D1985" t="str">
            <v>William Joseph Eek and Avia Freda Eek</v>
          </cell>
          <cell r="E1985" t="str">
            <v>CO</v>
          </cell>
          <cell r="F1985">
            <v>42070</v>
          </cell>
          <cell r="G1985">
            <v>42250</v>
          </cell>
          <cell r="H1985">
            <v>49374</v>
          </cell>
          <cell r="I1985" t="str">
            <v>19 years, 6 months, 3 days</v>
          </cell>
          <cell r="J1985" t="str">
            <v>Renewables</v>
          </cell>
          <cell r="K1985" t="str">
            <v>Solar (Rooftop)</v>
          </cell>
          <cell r="L1985" t="str">
            <v>Solar</v>
          </cell>
          <cell r="M1985" t="str">
            <v>Dx</v>
          </cell>
          <cell r="N1985" t="str">
            <v>Newmarket</v>
          </cell>
          <cell r="O1985" t="str">
            <v>York</v>
          </cell>
          <cell r="P1985" t="str">
            <v>Essa</v>
          </cell>
        </row>
        <row r="1986">
          <cell r="C1986" t="str">
            <v>Lambton Park Community School</v>
          </cell>
          <cell r="D1986" t="str">
            <v>TSPS (Portfolio 2) Limited Partnership</v>
          </cell>
          <cell r="E1986" t="str">
            <v>CO</v>
          </cell>
          <cell r="F1986">
            <v>42602</v>
          </cell>
          <cell r="G1986">
            <v>42724</v>
          </cell>
          <cell r="H1986">
            <v>49906</v>
          </cell>
          <cell r="I1986" t="str">
            <v>19 years, 7 months, 30 days</v>
          </cell>
          <cell r="J1986" t="str">
            <v>Renewables</v>
          </cell>
          <cell r="K1986" t="str">
            <v>Solar (Rooftop)</v>
          </cell>
          <cell r="L1986" t="str">
            <v>Solar</v>
          </cell>
          <cell r="M1986" t="str">
            <v>Dx</v>
          </cell>
          <cell r="N1986" t="str">
            <v>Toronto</v>
          </cell>
          <cell r="O1986" t="str">
            <v>Toronto</v>
          </cell>
          <cell r="P1986" t="str">
            <v>Toronto</v>
          </cell>
        </row>
        <row r="1987">
          <cell r="C1987" t="str">
            <v>Boersma Poultry</v>
          </cell>
          <cell r="D1987" t="str">
            <v>SE 2012 LP</v>
          </cell>
          <cell r="E1987" t="str">
            <v>CO</v>
          </cell>
          <cell r="F1987">
            <v>42117</v>
          </cell>
          <cell r="G1987">
            <v>41891</v>
          </cell>
          <cell r="H1987">
            <v>49195</v>
          </cell>
          <cell r="I1987" t="str">
            <v>19 years, 11 months, 30 days</v>
          </cell>
          <cell r="J1987" t="str">
            <v>Renewables</v>
          </cell>
          <cell r="K1987" t="str">
            <v>Solar (Rooftop)</v>
          </cell>
          <cell r="L1987" t="str">
            <v>Solar</v>
          </cell>
          <cell r="M1987" t="str">
            <v>Dx</v>
          </cell>
          <cell r="N1987" t="str">
            <v>Exeter</v>
          </cell>
          <cell r="O1987" t="str">
            <v>Huron</v>
          </cell>
          <cell r="P1987" t="str">
            <v>Southwest</v>
          </cell>
        </row>
        <row r="1988">
          <cell r="C1988" t="str">
            <v>Ashreeni Power</v>
          </cell>
          <cell r="D1988" t="str">
            <v>1887204 ONTARIO INC.</v>
          </cell>
          <cell r="E1988" t="str">
            <v>CO</v>
          </cell>
          <cell r="F1988">
            <v>42070</v>
          </cell>
          <cell r="G1988">
            <v>42268</v>
          </cell>
          <cell r="H1988">
            <v>49374</v>
          </cell>
          <cell r="I1988" t="str">
            <v>19 years, 5 months, 13 days</v>
          </cell>
          <cell r="J1988" t="str">
            <v>Renewables</v>
          </cell>
          <cell r="K1988" t="str">
            <v>Solar (Rooftop)</v>
          </cell>
          <cell r="L1988" t="str">
            <v>Solar</v>
          </cell>
          <cell r="M1988" t="str">
            <v>Dx</v>
          </cell>
          <cell r="N1988" t="str">
            <v>Brantford</v>
          </cell>
          <cell r="O1988" t="str">
            <v>Brant</v>
          </cell>
          <cell r="P1988" t="str">
            <v>Southwest</v>
          </cell>
        </row>
        <row r="1989">
          <cell r="C1989" t="str">
            <v>Cubitt #1</v>
          </cell>
          <cell r="D1989" t="str">
            <v>SCCEC LP</v>
          </cell>
          <cell r="E1989" t="str">
            <v>CO</v>
          </cell>
          <cell r="F1989">
            <v>42097</v>
          </cell>
          <cell r="G1989">
            <v>42150</v>
          </cell>
          <cell r="H1989">
            <v>49401</v>
          </cell>
          <cell r="I1989" t="str">
            <v>19 years, 10 months, 7 days</v>
          </cell>
          <cell r="J1989" t="str">
            <v>Renewables</v>
          </cell>
          <cell r="K1989" t="str">
            <v>Solar (Rooftop)</v>
          </cell>
          <cell r="L1989" t="str">
            <v>Solar</v>
          </cell>
          <cell r="M1989" t="str">
            <v>Dx</v>
          </cell>
          <cell r="N1989" t="str">
            <v>Stayner</v>
          </cell>
          <cell r="O1989" t="str">
            <v>Simcoe</v>
          </cell>
          <cell r="P1989" t="str">
            <v>Southwest</v>
          </cell>
        </row>
        <row r="1990">
          <cell r="C1990" t="str">
            <v>B01-53 Empey</v>
          </cell>
          <cell r="D1990" t="str">
            <v>Solar Flow-Through Projects (2014 Subco F2) LTD.</v>
          </cell>
          <cell r="E1990" t="str">
            <v>CO</v>
          </cell>
          <cell r="F1990">
            <v>42095</v>
          </cell>
          <cell r="G1990">
            <v>42241</v>
          </cell>
          <cell r="H1990">
            <v>49399</v>
          </cell>
          <cell r="I1990" t="str">
            <v>19 years, 7 months, 6 days</v>
          </cell>
          <cell r="J1990" t="str">
            <v>Renewables</v>
          </cell>
          <cell r="K1990" t="str">
            <v>Solar (Rooftop)</v>
          </cell>
          <cell r="L1990" t="str">
            <v>Solar</v>
          </cell>
          <cell r="M1990" t="str">
            <v>Dx</v>
          </cell>
          <cell r="N1990" t="str">
            <v>Brantford</v>
          </cell>
          <cell r="O1990" t="str">
            <v>Brant</v>
          </cell>
          <cell r="P1990" t="str">
            <v>Southwest</v>
          </cell>
        </row>
        <row r="1991">
          <cell r="C1991" t="str">
            <v>135 W Beaver Creek Rd</v>
          </cell>
          <cell r="D1991" t="str">
            <v>2344215 Ontario Inc.</v>
          </cell>
          <cell r="E1991" t="str">
            <v>CO</v>
          </cell>
          <cell r="F1991">
            <v>42110</v>
          </cell>
          <cell r="G1991">
            <v>42271</v>
          </cell>
          <cell r="H1991">
            <v>49414</v>
          </cell>
          <cell r="I1991" t="str">
            <v>19 years, 6 months, 22 days</v>
          </cell>
          <cell r="J1991" t="str">
            <v>Renewables</v>
          </cell>
          <cell r="K1991" t="str">
            <v>Solar (Rooftop)</v>
          </cell>
          <cell r="L1991" t="str">
            <v>Solar</v>
          </cell>
          <cell r="M1991" t="str">
            <v>Dx</v>
          </cell>
          <cell r="N1991" t="str">
            <v>Richmond Hill</v>
          </cell>
          <cell r="O1991" t="str">
            <v>York</v>
          </cell>
          <cell r="P1991" t="str">
            <v>Toronto</v>
          </cell>
        </row>
        <row r="1992">
          <cell r="C1992" t="str">
            <v>164 Trowers Rd</v>
          </cell>
          <cell r="D1992" t="str">
            <v>2344215 Ontario Inc.</v>
          </cell>
          <cell r="E1992" t="str">
            <v>CO</v>
          </cell>
          <cell r="F1992">
            <v>42110</v>
          </cell>
          <cell r="G1992">
            <v>42251</v>
          </cell>
          <cell r="H1992">
            <v>49414</v>
          </cell>
          <cell r="I1992" t="str">
            <v>19 years, 7 months, 11 days</v>
          </cell>
          <cell r="J1992" t="str">
            <v>Renewables</v>
          </cell>
          <cell r="K1992" t="str">
            <v>Solar (Rooftop)</v>
          </cell>
          <cell r="L1992" t="str">
            <v>Solar</v>
          </cell>
          <cell r="M1992" t="str">
            <v>Dx</v>
          </cell>
          <cell r="N1992" t="str">
            <v>Woodbridge</v>
          </cell>
          <cell r="O1992" t="str">
            <v>York</v>
          </cell>
          <cell r="P1992" t="str">
            <v>Toronto</v>
          </cell>
        </row>
        <row r="1993">
          <cell r="C1993" t="str">
            <v>Combined 40kW</v>
          </cell>
          <cell r="D1993" t="str">
            <v>Budd Solar Solutions Inc.</v>
          </cell>
          <cell r="E1993" t="str">
            <v>CO</v>
          </cell>
          <cell r="F1993">
            <v>42439</v>
          </cell>
          <cell r="G1993">
            <v>42667</v>
          </cell>
          <cell r="H1993">
            <v>49743</v>
          </cell>
          <cell r="I1993" t="str">
            <v>19 years, 4 months, 14 days</v>
          </cell>
          <cell r="J1993" t="str">
            <v>Renewables</v>
          </cell>
          <cell r="K1993" t="str">
            <v>Solar (Rooftop)</v>
          </cell>
          <cell r="L1993" t="str">
            <v>Solar</v>
          </cell>
          <cell r="M1993" t="str">
            <v>Dx</v>
          </cell>
          <cell r="N1993" t="str">
            <v>Strathroy</v>
          </cell>
          <cell r="O1993" t="str">
            <v>Middlesex</v>
          </cell>
          <cell r="P1993" t="str">
            <v>West</v>
          </cell>
        </row>
        <row r="1994">
          <cell r="C1994" t="str">
            <v>Joseph Howe Sr PS</v>
          </cell>
          <cell r="D1994" t="str">
            <v>TSPS (Portfolio 1) Limited Partnership</v>
          </cell>
          <cell r="E1994" t="str">
            <v>CO</v>
          </cell>
          <cell r="F1994">
            <v>42602</v>
          </cell>
          <cell r="G1994">
            <v>42157</v>
          </cell>
          <cell r="H1994">
            <v>49461</v>
          </cell>
          <cell r="I1994" t="str">
            <v>19 years, 11 months, 30 days</v>
          </cell>
          <cell r="J1994" t="str">
            <v>Renewables</v>
          </cell>
          <cell r="K1994" t="str">
            <v>Solar (Rooftop)</v>
          </cell>
          <cell r="L1994" t="str">
            <v>Solar</v>
          </cell>
          <cell r="M1994" t="str">
            <v>Dx</v>
          </cell>
          <cell r="N1994" t="str">
            <v>Toronto</v>
          </cell>
          <cell r="O1994" t="str">
            <v>Toronto</v>
          </cell>
          <cell r="P1994" t="str">
            <v>Toronto</v>
          </cell>
        </row>
        <row r="1995">
          <cell r="C1995" t="str">
            <v>Scheel-001</v>
          </cell>
          <cell r="D1995" t="str">
            <v>Community Solar Assets 5 Limited</v>
          </cell>
          <cell r="E1995" t="str">
            <v>CO</v>
          </cell>
          <cell r="F1995">
            <v>42609</v>
          </cell>
          <cell r="G1995">
            <v>42723</v>
          </cell>
          <cell r="H1995">
            <v>49913</v>
          </cell>
          <cell r="I1995" t="str">
            <v>19 years, 8 months, 7 days</v>
          </cell>
          <cell r="J1995" t="str">
            <v>Renewables</v>
          </cell>
          <cell r="K1995" t="str">
            <v>Solar (Ground Mounted)</v>
          </cell>
          <cell r="L1995" t="str">
            <v>Solar</v>
          </cell>
          <cell r="M1995" t="str">
            <v>Dx</v>
          </cell>
          <cell r="N1995" t="str">
            <v>Braeside</v>
          </cell>
          <cell r="O1995" t="str">
            <v>Renfrew</v>
          </cell>
          <cell r="P1995" t="str">
            <v>East</v>
          </cell>
        </row>
        <row r="1996">
          <cell r="C1996" t="str">
            <v>Endura Energy - 40 Holtby</v>
          </cell>
          <cell r="D1996" t="str">
            <v>Community Solar Assets 2 Limited</v>
          </cell>
          <cell r="E1996" t="str">
            <v>CO</v>
          </cell>
          <cell r="F1996">
            <v>42056</v>
          </cell>
          <cell r="G1996">
            <v>41914</v>
          </cell>
          <cell r="H1996">
            <v>49218</v>
          </cell>
          <cell r="I1996" t="str">
            <v>19 years, 11 months, 29 days</v>
          </cell>
          <cell r="J1996" t="str">
            <v>Renewables</v>
          </cell>
          <cell r="K1996" t="str">
            <v>Solar (Rooftop)</v>
          </cell>
          <cell r="L1996" t="str">
            <v>Solar</v>
          </cell>
          <cell r="M1996" t="str">
            <v>Dx</v>
          </cell>
          <cell r="N1996" t="str">
            <v>Brampton</v>
          </cell>
          <cell r="O1996" t="str">
            <v>Peel</v>
          </cell>
          <cell r="P1996" t="str">
            <v>Toronto</v>
          </cell>
        </row>
        <row r="1997">
          <cell r="C1997" t="str">
            <v>Ledbury Park E &amp; MS</v>
          </cell>
          <cell r="D1997" t="str">
            <v>TSPS (Portfolio 2) Limited Partnership</v>
          </cell>
          <cell r="E1997" t="str">
            <v>CO</v>
          </cell>
          <cell r="F1997">
            <v>42602</v>
          </cell>
          <cell r="G1997">
            <v>42373</v>
          </cell>
          <cell r="H1997">
            <v>49677</v>
          </cell>
          <cell r="I1997" t="str">
            <v>19 years, 11 months, 30 days</v>
          </cell>
          <cell r="J1997" t="str">
            <v>Renewables</v>
          </cell>
          <cell r="K1997" t="str">
            <v>Solar (Rooftop)</v>
          </cell>
          <cell r="L1997" t="str">
            <v>Solar</v>
          </cell>
          <cell r="M1997" t="str">
            <v>Dx</v>
          </cell>
          <cell r="N1997" t="str">
            <v>Toronto</v>
          </cell>
          <cell r="O1997" t="str">
            <v>Toronto</v>
          </cell>
          <cell r="P1997" t="str">
            <v>Toronto</v>
          </cell>
        </row>
        <row r="1998">
          <cell r="C1998" t="str">
            <v>2010-159-01</v>
          </cell>
          <cell r="D1998" t="str">
            <v>The Corporation of the City of Windsor</v>
          </cell>
          <cell r="E1998" t="str">
            <v>CO</v>
          </cell>
          <cell r="F1998">
            <v>42054</v>
          </cell>
          <cell r="G1998">
            <v>42090</v>
          </cell>
          <cell r="H1998">
            <v>49358</v>
          </cell>
          <cell r="I1998" t="str">
            <v>19 years, 10 months, 22 days</v>
          </cell>
          <cell r="J1998" t="str">
            <v>Renewables</v>
          </cell>
          <cell r="K1998" t="str">
            <v>Solar (Rooftop)</v>
          </cell>
          <cell r="L1998" t="str">
            <v>Solar</v>
          </cell>
          <cell r="M1998" t="str">
            <v>Dx</v>
          </cell>
          <cell r="N1998" t="str">
            <v>Windsor</v>
          </cell>
          <cell r="O1998" t="str">
            <v>Essex</v>
          </cell>
          <cell r="P1998" t="str">
            <v>West</v>
          </cell>
        </row>
        <row r="1999">
          <cell r="C1999" t="str">
            <v>Minten Solar #4</v>
          </cell>
          <cell r="D1999" t="str">
            <v>Minten SFN Limited Partnership</v>
          </cell>
          <cell r="E1999" t="str">
            <v>CO</v>
          </cell>
          <cell r="F1999">
            <v>42112</v>
          </cell>
          <cell r="G1999">
            <v>42293</v>
          </cell>
          <cell r="H1999">
            <v>49416</v>
          </cell>
          <cell r="I1999" t="str">
            <v>19 years, 6 months, 1 days</v>
          </cell>
          <cell r="J1999" t="str">
            <v>Renewables</v>
          </cell>
          <cell r="K1999" t="str">
            <v>Solar (Rooftop)</v>
          </cell>
          <cell r="L1999" t="str">
            <v>Solar</v>
          </cell>
          <cell r="M1999" t="str">
            <v>Dx</v>
          </cell>
          <cell r="N1999" t="str">
            <v>Watford</v>
          </cell>
          <cell r="O1999" t="str">
            <v>Lambton</v>
          </cell>
          <cell r="P1999" t="str">
            <v>West</v>
          </cell>
        </row>
        <row r="2000">
          <cell r="C2000" t="str">
            <v>Almaguin Highlands Secondary School</v>
          </cell>
          <cell r="D2000" t="str">
            <v>Near North District School Board</v>
          </cell>
          <cell r="E2000" t="str">
            <v>CO</v>
          </cell>
          <cell r="F2000">
            <v>42097</v>
          </cell>
          <cell r="G2000">
            <v>42277</v>
          </cell>
          <cell r="H2000">
            <v>49401</v>
          </cell>
          <cell r="I2000" t="str">
            <v>19 years, 6 months, 3 days</v>
          </cell>
          <cell r="J2000" t="str">
            <v>Renewables</v>
          </cell>
          <cell r="K2000" t="str">
            <v>Solar (Rooftop)</v>
          </cell>
          <cell r="L2000" t="str">
            <v>Solar</v>
          </cell>
          <cell r="M2000" t="str">
            <v>Dx</v>
          </cell>
          <cell r="N2000" t="str">
            <v>South River</v>
          </cell>
          <cell r="O2000" t="str">
            <v>Parry Sound</v>
          </cell>
          <cell r="P2000" t="str">
            <v>Essa</v>
          </cell>
        </row>
        <row r="2001">
          <cell r="C2001" t="str">
            <v>2010-041-03</v>
          </cell>
          <cell r="D2001" t="str">
            <v>Potentia Solar 14 Limited Partnership</v>
          </cell>
          <cell r="E2001" t="str">
            <v>CO</v>
          </cell>
          <cell r="F2001">
            <v>42112</v>
          </cell>
          <cell r="G2001">
            <v>41996</v>
          </cell>
          <cell r="H2001">
            <v>49300</v>
          </cell>
          <cell r="I2001" t="str">
            <v>19 years, 11 months, 29 days</v>
          </cell>
          <cell r="J2001" t="str">
            <v>Renewables</v>
          </cell>
          <cell r="K2001" t="str">
            <v>Solar (Rooftop)</v>
          </cell>
          <cell r="L2001" t="str">
            <v>Solar</v>
          </cell>
          <cell r="M2001" t="str">
            <v>Dx</v>
          </cell>
          <cell r="N2001" t="str">
            <v>Windsor</v>
          </cell>
          <cell r="O2001" t="str">
            <v>Essex</v>
          </cell>
          <cell r="P2001" t="str">
            <v>West</v>
          </cell>
        </row>
        <row r="2002">
          <cell r="C2002" t="str">
            <v>West Rouge Jr PS</v>
          </cell>
          <cell r="D2002" t="str">
            <v>TSPS (Portfolio 2) Limited Partnership</v>
          </cell>
          <cell r="E2002" t="str">
            <v>CO</v>
          </cell>
          <cell r="F2002">
            <v>42611</v>
          </cell>
          <cell r="G2002">
            <v>42478</v>
          </cell>
          <cell r="H2002">
            <v>49782</v>
          </cell>
          <cell r="I2002" t="str">
            <v>19 years, 11 months, 30 days</v>
          </cell>
          <cell r="J2002" t="str">
            <v>Renewables</v>
          </cell>
          <cell r="K2002" t="str">
            <v>Solar (Rooftop)</v>
          </cell>
          <cell r="L2002" t="str">
            <v>Solar</v>
          </cell>
          <cell r="M2002" t="str">
            <v>Dx</v>
          </cell>
          <cell r="N2002" t="str">
            <v>Toronto</v>
          </cell>
          <cell r="O2002" t="str">
            <v>Toronto</v>
          </cell>
          <cell r="P2002" t="str">
            <v>Toronto</v>
          </cell>
        </row>
        <row r="2003">
          <cell r="C2003" t="str">
            <v>Regent Heights Jr PS</v>
          </cell>
          <cell r="D2003" t="str">
            <v>TSPS (Portfolio 2) Limited Partnership</v>
          </cell>
          <cell r="E2003" t="str">
            <v>CO</v>
          </cell>
          <cell r="F2003">
            <v>42609</v>
          </cell>
          <cell r="G2003">
            <v>42703</v>
          </cell>
          <cell r="H2003">
            <v>49913</v>
          </cell>
          <cell r="I2003" t="str">
            <v>19 years, 8 months, 28 days</v>
          </cell>
          <cell r="J2003" t="str">
            <v>Renewables</v>
          </cell>
          <cell r="K2003" t="str">
            <v>Solar (Rooftop)</v>
          </cell>
          <cell r="L2003" t="str">
            <v>Solar</v>
          </cell>
          <cell r="M2003" t="str">
            <v>Dx</v>
          </cell>
          <cell r="N2003" t="str">
            <v>Toronto</v>
          </cell>
          <cell r="O2003" t="str">
            <v>Toronto</v>
          </cell>
          <cell r="P2003" t="str">
            <v>Toronto</v>
          </cell>
        </row>
        <row r="2004">
          <cell r="C2004" t="str">
            <v>Ernest PS</v>
          </cell>
          <cell r="D2004" t="str">
            <v>TSPS (Portfolio 1) Limited Partnership</v>
          </cell>
          <cell r="E2004" t="str">
            <v>CO</v>
          </cell>
          <cell r="F2004">
            <v>42588</v>
          </cell>
          <cell r="G2004">
            <v>42290</v>
          </cell>
          <cell r="H2004">
            <v>49594</v>
          </cell>
          <cell r="I2004" t="str">
            <v>19 years, 11 months, 29 days</v>
          </cell>
          <cell r="J2004" t="str">
            <v>Renewables</v>
          </cell>
          <cell r="K2004" t="str">
            <v>Solar (Rooftop)</v>
          </cell>
          <cell r="L2004" t="str">
            <v>Solar</v>
          </cell>
          <cell r="M2004" t="str">
            <v>Dx</v>
          </cell>
          <cell r="N2004" t="str">
            <v>Toronto</v>
          </cell>
          <cell r="O2004" t="str">
            <v>Toronto</v>
          </cell>
          <cell r="P2004" t="str">
            <v>Toronto</v>
          </cell>
        </row>
        <row r="2005">
          <cell r="C2005" t="str">
            <v>St Charles Foodmarket Rooftop Solar PV</v>
          </cell>
          <cell r="D2005" t="str">
            <v>Younglong Trading Limited</v>
          </cell>
          <cell r="E2005" t="str">
            <v>CO</v>
          </cell>
          <cell r="F2005">
            <v>42104</v>
          </cell>
          <cell r="G2005">
            <v>42194</v>
          </cell>
          <cell r="H2005">
            <v>49408</v>
          </cell>
          <cell r="I2005" t="str">
            <v>19 years, 9 months, 0 days</v>
          </cell>
          <cell r="J2005" t="str">
            <v>Renewables</v>
          </cell>
          <cell r="K2005" t="str">
            <v>Solar (Rooftop)</v>
          </cell>
          <cell r="L2005" t="str">
            <v>Solar</v>
          </cell>
          <cell r="M2005" t="str">
            <v>Dx</v>
          </cell>
          <cell r="N2005" t="str">
            <v>St. Charles</v>
          </cell>
          <cell r="O2005" t="str">
            <v>Sudbury</v>
          </cell>
          <cell r="P2005" t="str">
            <v>Northeast</v>
          </cell>
        </row>
        <row r="2006">
          <cell r="C2006" t="str">
            <v>AGRIS Solar (Chamberlain/Marter)</v>
          </cell>
          <cell r="D2006" t="str">
            <v>PRI Solar Gardens LP</v>
          </cell>
          <cell r="E2006" t="str">
            <v>CO</v>
          </cell>
          <cell r="F2006">
            <v>42761</v>
          </cell>
          <cell r="G2006">
            <v>42334</v>
          </cell>
          <cell r="H2006">
            <v>49638</v>
          </cell>
          <cell r="I2006" t="str">
            <v>19 years, 11 months, 30 days</v>
          </cell>
          <cell r="J2006" t="str">
            <v>Renewables</v>
          </cell>
          <cell r="K2006" t="str">
            <v>Solar (Ground Mounted)</v>
          </cell>
          <cell r="L2006" t="str">
            <v>Solar</v>
          </cell>
          <cell r="M2006" t="str">
            <v>Dx</v>
          </cell>
          <cell r="N2006" t="str">
            <v>Englehart</v>
          </cell>
          <cell r="O2006" t="str">
            <v>Timiskaming</v>
          </cell>
          <cell r="P2006" t="str">
            <v>Northeast</v>
          </cell>
        </row>
        <row r="2007">
          <cell r="C2007" t="str">
            <v>Knob Hill PS</v>
          </cell>
          <cell r="D2007" t="str">
            <v>TSPS (Portfolio 1) Limited Partnership</v>
          </cell>
          <cell r="E2007" t="str">
            <v>CO</v>
          </cell>
          <cell r="F2007">
            <v>42611</v>
          </cell>
          <cell r="G2007">
            <v>41988</v>
          </cell>
          <cell r="H2007">
            <v>49292</v>
          </cell>
          <cell r="I2007" t="str">
            <v>19 years, 11 months, 29 days</v>
          </cell>
          <cell r="J2007" t="str">
            <v>Renewables</v>
          </cell>
          <cell r="K2007" t="str">
            <v>Solar (Rooftop)</v>
          </cell>
          <cell r="L2007" t="str">
            <v>Solar</v>
          </cell>
          <cell r="M2007" t="str">
            <v>Dx</v>
          </cell>
          <cell r="N2007" t="str">
            <v>Toronto</v>
          </cell>
          <cell r="O2007" t="str">
            <v>Toronto</v>
          </cell>
          <cell r="P2007" t="str">
            <v>Toronto</v>
          </cell>
        </row>
        <row r="2008">
          <cell r="C2008" t="str">
            <v>A_1203Equestrian</v>
          </cell>
          <cell r="D2008" t="str">
            <v>2343461 Ontario Inc.</v>
          </cell>
          <cell r="E2008" t="str">
            <v>CO</v>
          </cell>
          <cell r="F2008">
            <v>42097</v>
          </cell>
          <cell r="G2008">
            <v>42236</v>
          </cell>
          <cell r="H2008">
            <v>49401</v>
          </cell>
          <cell r="I2008" t="str">
            <v>19 years, 7 months, 13 days</v>
          </cell>
          <cell r="J2008" t="str">
            <v>Renewables</v>
          </cell>
          <cell r="K2008" t="str">
            <v>Solar (Rooftop)</v>
          </cell>
          <cell r="L2008" t="str">
            <v>Solar</v>
          </cell>
          <cell r="M2008" t="str">
            <v>Dx</v>
          </cell>
          <cell r="N2008" t="str">
            <v>Oakville</v>
          </cell>
          <cell r="O2008" t="str">
            <v>Halton</v>
          </cell>
          <cell r="P2008" t="str">
            <v>Southwest</v>
          </cell>
        </row>
        <row r="2009">
          <cell r="C2009" t="str">
            <v>Downsview SS</v>
          </cell>
          <cell r="D2009" t="str">
            <v>TSPS (Portfolio 2) Limited Partnership</v>
          </cell>
          <cell r="E2009" t="str">
            <v>CO</v>
          </cell>
          <cell r="F2009">
            <v>42588</v>
          </cell>
          <cell r="G2009">
            <v>42702</v>
          </cell>
          <cell r="H2009">
            <v>49892</v>
          </cell>
          <cell r="I2009" t="str">
            <v>19 years, 8 months, 8 days</v>
          </cell>
          <cell r="J2009" t="str">
            <v>Renewables</v>
          </cell>
          <cell r="K2009" t="str">
            <v>Solar (Rooftop)</v>
          </cell>
          <cell r="L2009" t="str">
            <v>Solar</v>
          </cell>
          <cell r="M2009" t="str">
            <v>Dx</v>
          </cell>
          <cell r="N2009" t="str">
            <v>Toronto</v>
          </cell>
          <cell r="O2009" t="str">
            <v>Toronto</v>
          </cell>
          <cell r="P2009" t="str">
            <v>Toronto</v>
          </cell>
        </row>
        <row r="2010">
          <cell r="C2010" t="str">
            <v>Dommelvalley Green Power - 20110613</v>
          </cell>
          <cell r="D2010" t="str">
            <v>DEFARIA HOLDINGS LTD.</v>
          </cell>
          <cell r="E2010" t="str">
            <v>CO</v>
          </cell>
          <cell r="F2010">
            <v>42070</v>
          </cell>
          <cell r="G2010">
            <v>42059</v>
          </cell>
          <cell r="H2010">
            <v>49363</v>
          </cell>
          <cell r="I2010" t="str">
            <v>19 years, 11 months, 30 days</v>
          </cell>
          <cell r="J2010" t="str">
            <v>Renewables</v>
          </cell>
          <cell r="K2010" t="str">
            <v>Solar (Rooftop)</v>
          </cell>
          <cell r="L2010" t="str">
            <v>Solar</v>
          </cell>
          <cell r="M2010" t="str">
            <v>Dx</v>
          </cell>
          <cell r="N2010" t="str">
            <v>Toronto</v>
          </cell>
          <cell r="O2010" t="str">
            <v>Toronto</v>
          </cell>
          <cell r="P2010" t="str">
            <v>Toronto</v>
          </cell>
        </row>
        <row r="2011">
          <cell r="C2011" t="str">
            <v>Sholdice Solar</v>
          </cell>
          <cell r="D2011" t="str">
            <v>Sun Saver 2 Limited</v>
          </cell>
          <cell r="E2011" t="str">
            <v>CO</v>
          </cell>
          <cell r="F2011">
            <v>42209</v>
          </cell>
          <cell r="G2011">
            <v>42206</v>
          </cell>
          <cell r="H2011">
            <v>49510</v>
          </cell>
          <cell r="I2011" t="str">
            <v>19 years, 11 months, 29 days</v>
          </cell>
          <cell r="J2011" t="str">
            <v>Renewables</v>
          </cell>
          <cell r="K2011" t="str">
            <v>Solar (Rooftop)</v>
          </cell>
          <cell r="L2011" t="str">
            <v>Solar</v>
          </cell>
          <cell r="M2011" t="str">
            <v>Dx</v>
          </cell>
          <cell r="N2011" t="str">
            <v>Brussels</v>
          </cell>
          <cell r="O2011" t="str">
            <v>Huron</v>
          </cell>
          <cell r="P2011" t="str">
            <v>Southwest</v>
          </cell>
        </row>
        <row r="2012">
          <cell r="C2012" t="str">
            <v>Canduct 250</v>
          </cell>
          <cell r="D2012" t="str">
            <v>M.Greaves Holdings Inc.</v>
          </cell>
          <cell r="E2012" t="str">
            <v>CO</v>
          </cell>
          <cell r="F2012">
            <v>42104</v>
          </cell>
          <cell r="G2012">
            <v>42129</v>
          </cell>
          <cell r="H2012">
            <v>49408</v>
          </cell>
          <cell r="I2012" t="str">
            <v>19 years, 11 months, 4 days</v>
          </cell>
          <cell r="J2012" t="str">
            <v>Renewables</v>
          </cell>
          <cell r="K2012" t="str">
            <v>Solar (Rooftop)</v>
          </cell>
          <cell r="L2012" t="str">
            <v>Solar</v>
          </cell>
          <cell r="M2012" t="str">
            <v>Dx</v>
          </cell>
          <cell r="N2012" t="str">
            <v>London</v>
          </cell>
          <cell r="O2012" t="str">
            <v>Middlesex</v>
          </cell>
          <cell r="P2012" t="str">
            <v>West</v>
          </cell>
        </row>
        <row r="2013">
          <cell r="C2013" t="str">
            <v>Kingslake PS</v>
          </cell>
          <cell r="D2013" t="str">
            <v>TSPS (Portfolio 1) Limited Partnership</v>
          </cell>
          <cell r="E2013" t="str">
            <v>CO</v>
          </cell>
          <cell r="F2013">
            <v>42602</v>
          </cell>
          <cell r="G2013">
            <v>42157</v>
          </cell>
          <cell r="H2013">
            <v>49461</v>
          </cell>
          <cell r="I2013" t="str">
            <v>19 years, 11 months, 30 days</v>
          </cell>
          <cell r="J2013" t="str">
            <v>Renewables</v>
          </cell>
          <cell r="K2013" t="str">
            <v>Solar (Rooftop)</v>
          </cell>
          <cell r="L2013" t="str">
            <v>Solar</v>
          </cell>
          <cell r="M2013" t="str">
            <v>Dx</v>
          </cell>
          <cell r="N2013" t="str">
            <v>Toronto</v>
          </cell>
          <cell r="O2013" t="str">
            <v>Toronto</v>
          </cell>
          <cell r="P2013" t="str">
            <v>Toronto</v>
          </cell>
        </row>
        <row r="2014">
          <cell r="C2014" t="str">
            <v>Cornell Jr PS</v>
          </cell>
          <cell r="D2014" t="str">
            <v>TSPS (Portfolio 2) Limited Partnership</v>
          </cell>
          <cell r="E2014" t="str">
            <v>CO</v>
          </cell>
          <cell r="F2014">
            <v>42583</v>
          </cell>
          <cell r="G2014">
            <v>42361</v>
          </cell>
          <cell r="H2014">
            <v>49665</v>
          </cell>
          <cell r="I2014" t="str">
            <v>19 years, 11 months, 29 days</v>
          </cell>
          <cell r="J2014" t="str">
            <v>Renewables</v>
          </cell>
          <cell r="K2014" t="str">
            <v>Solar (Rooftop)</v>
          </cell>
          <cell r="L2014" t="str">
            <v>Solar</v>
          </cell>
          <cell r="M2014" t="str">
            <v>Dx</v>
          </cell>
          <cell r="N2014" t="str">
            <v>Toronto</v>
          </cell>
          <cell r="O2014" t="str">
            <v>Toronto</v>
          </cell>
          <cell r="P2014" t="str">
            <v>Toronto</v>
          </cell>
        </row>
        <row r="2015">
          <cell r="C2015" t="str">
            <v>Gateway PS</v>
          </cell>
          <cell r="D2015" t="str">
            <v>TSPS (Portfolio 1) Limited Partnership</v>
          </cell>
          <cell r="E2015" t="str">
            <v>CO</v>
          </cell>
          <cell r="F2015">
            <v>42590</v>
          </cell>
          <cell r="G2015">
            <v>42002</v>
          </cell>
          <cell r="H2015">
            <v>49306</v>
          </cell>
          <cell r="I2015" t="str">
            <v>19 years, 11 months, 29 days</v>
          </cell>
          <cell r="J2015" t="str">
            <v>Renewables</v>
          </cell>
          <cell r="K2015" t="str">
            <v>Solar (Rooftop)</v>
          </cell>
          <cell r="L2015" t="str">
            <v>Solar</v>
          </cell>
          <cell r="M2015" t="str">
            <v>Dx</v>
          </cell>
          <cell r="N2015" t="str">
            <v>Toronto</v>
          </cell>
          <cell r="O2015" t="str">
            <v>Toronto</v>
          </cell>
          <cell r="P2015" t="str">
            <v>Toronto</v>
          </cell>
        </row>
        <row r="2016">
          <cell r="C2016" t="str">
            <v>Cubitt #2</v>
          </cell>
          <cell r="D2016" t="str">
            <v>SCCEC LP</v>
          </cell>
          <cell r="E2016" t="str">
            <v>CO</v>
          </cell>
          <cell r="F2016">
            <v>42097</v>
          </cell>
          <cell r="G2016">
            <v>42114</v>
          </cell>
          <cell r="H2016">
            <v>49401</v>
          </cell>
          <cell r="I2016" t="str">
            <v>19 years, 11 months, 13 days</v>
          </cell>
          <cell r="J2016" t="str">
            <v>Renewables</v>
          </cell>
          <cell r="K2016" t="str">
            <v>Solar (Rooftop)</v>
          </cell>
          <cell r="L2016" t="str">
            <v>Solar</v>
          </cell>
          <cell r="M2016" t="str">
            <v>Dx</v>
          </cell>
          <cell r="N2016" t="str">
            <v>Stayner</v>
          </cell>
          <cell r="O2016" t="str">
            <v>Simcoe</v>
          </cell>
          <cell r="P2016" t="str">
            <v>Southwest</v>
          </cell>
        </row>
        <row r="2017">
          <cell r="C2017" t="str">
            <v>Sentinel Solar Park</v>
          </cell>
          <cell r="D2017" t="str">
            <v>WC Enerco Inc.</v>
          </cell>
          <cell r="E2017" t="str">
            <v>CO</v>
          </cell>
          <cell r="F2017">
            <v>42761</v>
          </cell>
          <cell r="G2017">
            <v>42893</v>
          </cell>
          <cell r="H2017">
            <v>50065</v>
          </cell>
          <cell r="I2017" t="str">
            <v>19 years, 7 months, 18 days</v>
          </cell>
          <cell r="J2017" t="str">
            <v>Renewables</v>
          </cell>
          <cell r="K2017" t="str">
            <v>Solar (Ground Mounted)</v>
          </cell>
          <cell r="L2017" t="str">
            <v>Solar</v>
          </cell>
          <cell r="M2017" t="str">
            <v>Dx</v>
          </cell>
          <cell r="N2017" t="str">
            <v>Napanee</v>
          </cell>
          <cell r="O2017" t="str">
            <v>Hastings</v>
          </cell>
          <cell r="P2017" t="str">
            <v>East</v>
          </cell>
        </row>
        <row r="2018">
          <cell r="C2018" t="str">
            <v>New Lowell Central PS</v>
          </cell>
          <cell r="D2018" t="str">
            <v>Potentia Solar 5 Limited Partnership</v>
          </cell>
          <cell r="E2018" t="str">
            <v>CO</v>
          </cell>
          <cell r="F2018">
            <v>42063</v>
          </cell>
          <cell r="G2018">
            <v>42177</v>
          </cell>
          <cell r="H2018">
            <v>49367</v>
          </cell>
          <cell r="I2018" t="str">
            <v>19 years, 8 months, 5 days</v>
          </cell>
          <cell r="J2018" t="str">
            <v>Renewables</v>
          </cell>
          <cell r="K2018" t="str">
            <v>Solar (Rooftop)</v>
          </cell>
          <cell r="L2018" t="str">
            <v>Solar</v>
          </cell>
          <cell r="M2018" t="str">
            <v>Dx</v>
          </cell>
          <cell r="N2018" t="str">
            <v>New Lowell</v>
          </cell>
          <cell r="O2018" t="str">
            <v>Simcoe</v>
          </cell>
          <cell r="P2018" t="str">
            <v>Southwest</v>
          </cell>
        </row>
        <row r="2019">
          <cell r="C2019" t="str">
            <v>DCAFS Roof</v>
          </cell>
          <cell r="D2019" t="str">
            <v>Children's Aid Society for the County of Dufferin</v>
          </cell>
          <cell r="E2019" t="str">
            <v>CO</v>
          </cell>
          <cell r="F2019">
            <v>42112</v>
          </cell>
          <cell r="G2019">
            <v>42054</v>
          </cell>
          <cell r="H2019">
            <v>49358</v>
          </cell>
          <cell r="I2019" t="str">
            <v>19 years, 11 months, 30 days</v>
          </cell>
          <cell r="J2019" t="str">
            <v>Renewables</v>
          </cell>
          <cell r="K2019" t="str">
            <v>Solar (Rooftop)</v>
          </cell>
          <cell r="L2019" t="str">
            <v>Solar</v>
          </cell>
          <cell r="M2019" t="str">
            <v>Dx</v>
          </cell>
          <cell r="N2019" t="str">
            <v>Orangeville</v>
          </cell>
          <cell r="O2019" t="str">
            <v>Dufferin</v>
          </cell>
          <cell r="P2019" t="str">
            <v>Southwest</v>
          </cell>
        </row>
        <row r="2020">
          <cell r="C2020" t="str">
            <v>Brant Business Park: BGI Building</v>
          </cell>
          <cell r="D2020" t="str">
            <v>Corporation of the County of Brant; Six Nations of the Grand River; 2325705 Ontario Inc.</v>
          </cell>
          <cell r="E2020" t="str">
            <v>CO</v>
          </cell>
          <cell r="F2020">
            <v>42102</v>
          </cell>
          <cell r="G2020">
            <v>42069</v>
          </cell>
          <cell r="H2020">
            <v>49373</v>
          </cell>
          <cell r="I2020" t="str">
            <v>19 years, 11 months, 27 days</v>
          </cell>
          <cell r="J2020" t="str">
            <v>Renewables</v>
          </cell>
          <cell r="K2020" t="str">
            <v>Solar (Rooftop)</v>
          </cell>
          <cell r="L2020" t="str">
            <v>Solar</v>
          </cell>
          <cell r="M2020" t="str">
            <v>Dx</v>
          </cell>
          <cell r="N2020" t="str">
            <v>Paris</v>
          </cell>
          <cell r="O2020" t="str">
            <v>Brant</v>
          </cell>
          <cell r="P2020" t="str">
            <v>Southwest</v>
          </cell>
        </row>
        <row r="2021">
          <cell r="C2021" t="str">
            <v>Montrose Jr PS</v>
          </cell>
          <cell r="D2021" t="str">
            <v>TSPS (Portfolio 2) Limited Partnership</v>
          </cell>
          <cell r="E2021" t="str">
            <v>CO</v>
          </cell>
          <cell r="F2021">
            <v>42604</v>
          </cell>
          <cell r="G2021">
            <v>42703</v>
          </cell>
          <cell r="H2021">
            <v>49908</v>
          </cell>
          <cell r="I2021" t="str">
            <v>19 years, 8 months, 23 days</v>
          </cell>
          <cell r="J2021" t="str">
            <v>Renewables</v>
          </cell>
          <cell r="K2021" t="str">
            <v>Solar (Rooftop)</v>
          </cell>
          <cell r="L2021" t="str">
            <v>Solar</v>
          </cell>
          <cell r="M2021" t="str">
            <v>Dx</v>
          </cell>
          <cell r="N2021" t="str">
            <v>Toronto</v>
          </cell>
          <cell r="O2021" t="str">
            <v>Toronto</v>
          </cell>
          <cell r="P2021" t="str">
            <v>Toronto</v>
          </cell>
        </row>
        <row r="2022">
          <cell r="C2022" t="str">
            <v>Factory Roof</v>
          </cell>
          <cell r="D2022" t="str">
            <v>Braids and Laces Limited</v>
          </cell>
          <cell r="E2022" t="str">
            <v>CO</v>
          </cell>
          <cell r="F2022">
            <v>42054</v>
          </cell>
          <cell r="G2022">
            <v>42086</v>
          </cell>
          <cell r="H2022">
            <v>49358</v>
          </cell>
          <cell r="I2022" t="str">
            <v>19 years, 10 months, 26 days</v>
          </cell>
          <cell r="J2022" t="str">
            <v>Renewables</v>
          </cell>
          <cell r="K2022" t="str">
            <v>Solar (Rooftop)</v>
          </cell>
          <cell r="L2022" t="str">
            <v>Solar</v>
          </cell>
          <cell r="M2022" t="str">
            <v>Dx</v>
          </cell>
          <cell r="N2022" t="str">
            <v>Cannington</v>
          </cell>
          <cell r="O2022" t="str">
            <v>Durham</v>
          </cell>
          <cell r="P2022" t="str">
            <v>Essa</v>
          </cell>
        </row>
        <row r="2023">
          <cell r="C2023" t="str">
            <v>Hollycrest MS</v>
          </cell>
          <cell r="D2023" t="str">
            <v>TSPS (Portfolio 2) Limited Partnership</v>
          </cell>
          <cell r="E2023" t="str">
            <v>CO</v>
          </cell>
          <cell r="F2023">
            <v>42597</v>
          </cell>
          <cell r="G2023">
            <v>42636</v>
          </cell>
          <cell r="H2023">
            <v>49901</v>
          </cell>
          <cell r="I2023" t="str">
            <v>19 years, 10 months, 22 days</v>
          </cell>
          <cell r="J2023" t="str">
            <v>Renewables</v>
          </cell>
          <cell r="K2023" t="str">
            <v>Solar (Rooftop)</v>
          </cell>
          <cell r="L2023" t="str">
            <v>Solar</v>
          </cell>
          <cell r="M2023" t="str">
            <v>Dx</v>
          </cell>
          <cell r="N2023" t="str">
            <v>Toronto</v>
          </cell>
          <cell r="O2023" t="str">
            <v>Toronto</v>
          </cell>
          <cell r="P2023" t="str">
            <v>Toronto</v>
          </cell>
        </row>
        <row r="2024">
          <cell r="C2024" t="str">
            <v>Sprucecourt Jr PS</v>
          </cell>
          <cell r="D2024" t="str">
            <v>TSPS (Portfolio 2) Limited Partnership</v>
          </cell>
          <cell r="E2024" t="str">
            <v>CO</v>
          </cell>
          <cell r="F2024">
            <v>42611</v>
          </cell>
          <cell r="G2024">
            <v>42704</v>
          </cell>
          <cell r="H2024">
            <v>49915</v>
          </cell>
          <cell r="I2024" t="str">
            <v>19 years, 8 months, 29 days</v>
          </cell>
          <cell r="J2024" t="str">
            <v>Renewables</v>
          </cell>
          <cell r="K2024" t="str">
            <v>Solar (Rooftop)</v>
          </cell>
          <cell r="L2024" t="str">
            <v>Solar</v>
          </cell>
          <cell r="M2024" t="str">
            <v>Dx</v>
          </cell>
          <cell r="N2024" t="str">
            <v>Toronto</v>
          </cell>
          <cell r="O2024" t="str">
            <v>Toronto</v>
          </cell>
          <cell r="P2024" t="str">
            <v>Toronto</v>
          </cell>
        </row>
        <row r="2025">
          <cell r="C2025" t="str">
            <v>Daystrom PS</v>
          </cell>
          <cell r="D2025" t="str">
            <v>TSPS (Portfolio 1) Limited Partnership</v>
          </cell>
          <cell r="E2025" t="str">
            <v>CO</v>
          </cell>
          <cell r="F2025">
            <v>42583</v>
          </cell>
          <cell r="G2025">
            <v>42096</v>
          </cell>
          <cell r="H2025">
            <v>49400</v>
          </cell>
          <cell r="I2025" t="str">
            <v>19 years, 11 months, 30 days</v>
          </cell>
          <cell r="J2025" t="str">
            <v>Renewables</v>
          </cell>
          <cell r="K2025" t="str">
            <v>Solar (Rooftop)</v>
          </cell>
          <cell r="L2025" t="str">
            <v>Solar</v>
          </cell>
          <cell r="M2025" t="str">
            <v>Dx</v>
          </cell>
          <cell r="N2025" t="str">
            <v>Toronto</v>
          </cell>
          <cell r="O2025" t="str">
            <v>Toronto</v>
          </cell>
          <cell r="P2025" t="str">
            <v>Toronto</v>
          </cell>
        </row>
        <row r="2026">
          <cell r="C2026" t="str">
            <v>Yorkview PS</v>
          </cell>
          <cell r="D2026" t="str">
            <v>TSPS (Portfolio 1) Limited Partnership</v>
          </cell>
          <cell r="E2026" t="str">
            <v>CO</v>
          </cell>
          <cell r="F2026">
            <v>42616</v>
          </cell>
          <cell r="G2026">
            <v>42361</v>
          </cell>
          <cell r="H2026">
            <v>49665</v>
          </cell>
          <cell r="I2026" t="str">
            <v>19 years, 11 months, 29 days</v>
          </cell>
          <cell r="J2026" t="str">
            <v>Renewables</v>
          </cell>
          <cell r="K2026" t="str">
            <v>Solar (Rooftop)</v>
          </cell>
          <cell r="L2026" t="str">
            <v>Solar</v>
          </cell>
          <cell r="M2026" t="str">
            <v>Dx</v>
          </cell>
          <cell r="N2026" t="str">
            <v>Toronto</v>
          </cell>
          <cell r="O2026" t="str">
            <v>Toronto</v>
          </cell>
          <cell r="P2026" t="str">
            <v>Toronto</v>
          </cell>
        </row>
        <row r="2027">
          <cell r="C2027" t="str">
            <v>Lynnwood Heights Jr PS</v>
          </cell>
          <cell r="D2027" t="str">
            <v>TSPS (Portfolio 2) Limited Partnership</v>
          </cell>
          <cell r="E2027" t="str">
            <v>CO</v>
          </cell>
          <cell r="F2027">
            <v>42602</v>
          </cell>
          <cell r="G2027">
            <v>42689</v>
          </cell>
          <cell r="H2027">
            <v>49906</v>
          </cell>
          <cell r="I2027" t="str">
            <v>19 years, 9 months, 4 days</v>
          </cell>
          <cell r="J2027" t="str">
            <v>Renewables</v>
          </cell>
          <cell r="K2027" t="str">
            <v>Solar (Rooftop)</v>
          </cell>
          <cell r="L2027" t="str">
            <v>Solar</v>
          </cell>
          <cell r="M2027" t="str">
            <v>Dx</v>
          </cell>
          <cell r="N2027" t="str">
            <v>Toronto</v>
          </cell>
          <cell r="O2027" t="str">
            <v>Toronto</v>
          </cell>
          <cell r="P2027" t="str">
            <v>Toronto</v>
          </cell>
        </row>
        <row r="2028">
          <cell r="C2028" t="str">
            <v>Mary Shadd PS</v>
          </cell>
          <cell r="D2028" t="str">
            <v>TSPS (Portfolio 1) Limited Partnership</v>
          </cell>
          <cell r="E2028" t="str">
            <v>CO</v>
          </cell>
          <cell r="F2028">
            <v>42604</v>
          </cell>
          <cell r="G2028">
            <v>42024</v>
          </cell>
          <cell r="H2028">
            <v>49328</v>
          </cell>
          <cell r="I2028" t="str">
            <v>19 years, 11 months, 30 days</v>
          </cell>
          <cell r="J2028" t="str">
            <v>Renewables</v>
          </cell>
          <cell r="K2028" t="str">
            <v>Solar (Rooftop)</v>
          </cell>
          <cell r="L2028" t="str">
            <v>Solar</v>
          </cell>
          <cell r="M2028" t="str">
            <v>Dx</v>
          </cell>
          <cell r="N2028" t="str">
            <v>Toronto</v>
          </cell>
          <cell r="O2028" t="str">
            <v>Toronto</v>
          </cell>
          <cell r="P2028" t="str">
            <v>Toronto</v>
          </cell>
        </row>
        <row r="2029">
          <cell r="C2029" t="str">
            <v>Park Lawn JMS</v>
          </cell>
          <cell r="D2029" t="str">
            <v>TSPS (Portfolio 2) Limited Partnership</v>
          </cell>
          <cell r="E2029" t="str">
            <v>CO</v>
          </cell>
          <cell r="F2029">
            <v>42604</v>
          </cell>
          <cell r="G2029">
            <v>42702</v>
          </cell>
          <cell r="H2029">
            <v>49908</v>
          </cell>
          <cell r="I2029" t="str">
            <v>19 years, 8 months, 24 days</v>
          </cell>
          <cell r="J2029" t="str">
            <v>Renewables</v>
          </cell>
          <cell r="K2029" t="str">
            <v>Solar (Rooftop)</v>
          </cell>
          <cell r="L2029" t="str">
            <v>Solar</v>
          </cell>
          <cell r="M2029" t="str">
            <v>Dx</v>
          </cell>
          <cell r="N2029" t="str">
            <v>Toronto</v>
          </cell>
          <cell r="O2029" t="str">
            <v>Toronto</v>
          </cell>
          <cell r="P2029" t="str">
            <v>Toronto</v>
          </cell>
        </row>
        <row r="2030">
          <cell r="C2030" t="str">
            <v>NFN LC Health Center</v>
          </cell>
          <cell r="D2030" t="str">
            <v>NFN Solar LP</v>
          </cell>
          <cell r="E2030" t="str">
            <v>CO</v>
          </cell>
          <cell r="F2030">
            <v>42054</v>
          </cell>
          <cell r="G2030">
            <v>42094</v>
          </cell>
          <cell r="H2030">
            <v>49358</v>
          </cell>
          <cell r="I2030" t="str">
            <v>19 years, 10 months, 18 days</v>
          </cell>
          <cell r="J2030" t="str">
            <v>Renewables</v>
          </cell>
          <cell r="K2030" t="str">
            <v>Solar (Rooftop)</v>
          </cell>
          <cell r="L2030" t="str">
            <v>Solar</v>
          </cell>
          <cell r="M2030" t="str">
            <v>Dx</v>
          </cell>
          <cell r="N2030" t="str">
            <v>Sturgeon Falls</v>
          </cell>
          <cell r="O2030" t="str">
            <v>Nipissing</v>
          </cell>
          <cell r="P2030" t="str">
            <v>Northeast</v>
          </cell>
        </row>
        <row r="2031">
          <cell r="C2031" t="str">
            <v>OSP-BRU-Foreman</v>
          </cell>
          <cell r="D2031" t="str">
            <v>Lizton Acres Ltd.</v>
          </cell>
          <cell r="E2031" t="str">
            <v>CO</v>
          </cell>
          <cell r="F2031">
            <v>42075</v>
          </cell>
          <cell r="G2031">
            <v>42254</v>
          </cell>
          <cell r="H2031">
            <v>49379</v>
          </cell>
          <cell r="I2031" t="str">
            <v>19 years, 6 months, 4 days</v>
          </cell>
          <cell r="J2031" t="str">
            <v>Renewables</v>
          </cell>
          <cell r="K2031" t="str">
            <v>Solar (Rooftop)</v>
          </cell>
          <cell r="L2031" t="str">
            <v>Solar</v>
          </cell>
          <cell r="M2031" t="str">
            <v>Dx</v>
          </cell>
          <cell r="N2031" t="str">
            <v>Cambridge</v>
          </cell>
          <cell r="O2031" t="str">
            <v>Waterloo</v>
          </cell>
          <cell r="P2031" t="str">
            <v>Southwest</v>
          </cell>
        </row>
        <row r="2032">
          <cell r="C2032" t="str">
            <v>Ray Twinney Recreation Complex</v>
          </cell>
          <cell r="D2032" t="str">
            <v>The Corporation of the Town of Newmarket</v>
          </cell>
          <cell r="E2032" t="str">
            <v>CO</v>
          </cell>
          <cell r="F2032">
            <v>42104</v>
          </cell>
          <cell r="G2032">
            <v>41893</v>
          </cell>
          <cell r="H2032">
            <v>49197</v>
          </cell>
          <cell r="I2032" t="str">
            <v>19 years, 11 months, 30 days</v>
          </cell>
          <cell r="J2032" t="str">
            <v>Renewables</v>
          </cell>
          <cell r="K2032" t="str">
            <v>Solar (Rooftop)</v>
          </cell>
          <cell r="L2032" t="str">
            <v>Solar</v>
          </cell>
          <cell r="M2032" t="str">
            <v>Dx</v>
          </cell>
          <cell r="N2032" t="str">
            <v>Newmarket</v>
          </cell>
          <cell r="O2032" t="str">
            <v>York</v>
          </cell>
          <cell r="P2032" t="str">
            <v>Essa</v>
          </cell>
        </row>
        <row r="2033">
          <cell r="C2033" t="str">
            <v>David Lewis PS</v>
          </cell>
          <cell r="D2033" t="str">
            <v>TSPS (Portfolio 2) Limited Partnership</v>
          </cell>
          <cell r="E2033" t="str">
            <v>CO</v>
          </cell>
          <cell r="F2033">
            <v>42583</v>
          </cell>
          <cell r="G2033">
            <v>42361</v>
          </cell>
          <cell r="H2033">
            <v>49665</v>
          </cell>
          <cell r="I2033" t="str">
            <v>19 years, 11 months, 29 days</v>
          </cell>
          <cell r="J2033" t="str">
            <v>Renewables</v>
          </cell>
          <cell r="K2033" t="str">
            <v>Solar (Rooftop)</v>
          </cell>
          <cell r="L2033" t="str">
            <v>Solar</v>
          </cell>
          <cell r="M2033" t="str">
            <v>Dx</v>
          </cell>
          <cell r="N2033" t="str">
            <v>Toronto</v>
          </cell>
          <cell r="O2033" t="str">
            <v>Toronto</v>
          </cell>
          <cell r="P2033" t="str">
            <v>Toronto</v>
          </cell>
        </row>
        <row r="2034">
          <cell r="C2034" t="str">
            <v>Enviro Park Lane Rooftop</v>
          </cell>
          <cell r="D2034" t="str">
            <v>Nissa Corporation</v>
          </cell>
          <cell r="E2034" t="str">
            <v>CO</v>
          </cell>
          <cell r="F2034">
            <v>42054</v>
          </cell>
          <cell r="G2034">
            <v>42241</v>
          </cell>
          <cell r="H2034">
            <v>49358</v>
          </cell>
          <cell r="I2034" t="str">
            <v>19 years, 5 months, 24 days</v>
          </cell>
          <cell r="J2034" t="str">
            <v>Renewables</v>
          </cell>
          <cell r="K2034" t="str">
            <v>Solar (Rooftop)</v>
          </cell>
          <cell r="L2034" t="str">
            <v>Solar</v>
          </cell>
          <cell r="M2034" t="str">
            <v>Dx</v>
          </cell>
          <cell r="N2034" t="str">
            <v>Napanee</v>
          </cell>
          <cell r="O2034" t="str">
            <v>Hastings</v>
          </cell>
          <cell r="P2034" t="str">
            <v>East</v>
          </cell>
        </row>
        <row r="2035">
          <cell r="C2035" t="str">
            <v>George Syme Community School</v>
          </cell>
          <cell r="D2035" t="str">
            <v>TSPS (Portfolio 1) Limited Partnership</v>
          </cell>
          <cell r="E2035" t="str">
            <v>CO</v>
          </cell>
          <cell r="F2035">
            <v>42597</v>
          </cell>
          <cell r="G2035">
            <v>42013</v>
          </cell>
          <cell r="H2035">
            <v>49317</v>
          </cell>
          <cell r="I2035" t="str">
            <v>19 years, 11 months, 30 days</v>
          </cell>
          <cell r="J2035" t="str">
            <v>Renewables</v>
          </cell>
          <cell r="K2035" t="str">
            <v>Solar (Rooftop)</v>
          </cell>
          <cell r="L2035" t="str">
            <v>Solar</v>
          </cell>
          <cell r="M2035" t="str">
            <v>Dx</v>
          </cell>
          <cell r="N2035" t="str">
            <v>Toronto</v>
          </cell>
          <cell r="O2035" t="str">
            <v>Toronto</v>
          </cell>
          <cell r="P2035" t="str">
            <v>Toronto</v>
          </cell>
        </row>
        <row r="2036">
          <cell r="C2036" t="str">
            <v>Kaiser Lake Farms 2</v>
          </cell>
          <cell r="D2036" t="str">
            <v>Great West Energy Limited Partnership</v>
          </cell>
          <cell r="E2036" t="str">
            <v>CO</v>
          </cell>
          <cell r="F2036">
            <v>42117</v>
          </cell>
          <cell r="G2036">
            <v>42334</v>
          </cell>
          <cell r="H2036">
            <v>49421</v>
          </cell>
          <cell r="I2036" t="str">
            <v>19 years, 4 months, 27 days</v>
          </cell>
          <cell r="J2036" t="str">
            <v>Renewables</v>
          </cell>
          <cell r="K2036" t="str">
            <v>Solar (Rooftop)</v>
          </cell>
          <cell r="L2036" t="str">
            <v>Solar</v>
          </cell>
          <cell r="M2036" t="str">
            <v>Dx</v>
          </cell>
          <cell r="N2036" t="str">
            <v>Napanee</v>
          </cell>
          <cell r="O2036" t="str">
            <v>Hastings</v>
          </cell>
          <cell r="P2036" t="str">
            <v>East</v>
          </cell>
        </row>
        <row r="2037">
          <cell r="C2037" t="str">
            <v>Clinton Street Jr PS</v>
          </cell>
          <cell r="D2037" t="str">
            <v>TSPS (Portfolio 1) Limited Partnership</v>
          </cell>
          <cell r="E2037" t="str">
            <v>CO</v>
          </cell>
          <cell r="F2037">
            <v>42583</v>
          </cell>
          <cell r="G2037">
            <v>42149</v>
          </cell>
          <cell r="H2037">
            <v>49453</v>
          </cell>
          <cell r="I2037" t="str">
            <v>19 years, 11 months, 29 days</v>
          </cell>
          <cell r="J2037" t="str">
            <v>Renewables</v>
          </cell>
          <cell r="K2037" t="str">
            <v>Solar (Rooftop)</v>
          </cell>
          <cell r="L2037" t="str">
            <v>Solar</v>
          </cell>
          <cell r="M2037" t="str">
            <v>Dx</v>
          </cell>
          <cell r="N2037" t="str">
            <v>Toronto</v>
          </cell>
          <cell r="O2037" t="str">
            <v>Toronto</v>
          </cell>
          <cell r="P2037" t="str">
            <v>Toronto</v>
          </cell>
        </row>
        <row r="2038">
          <cell r="C2038" t="str">
            <v>Barnfield Point Recreation Centre</v>
          </cell>
          <cell r="D2038" t="str">
            <v>Orillia Power Generation Corporation</v>
          </cell>
          <cell r="E2038" t="str">
            <v>CO</v>
          </cell>
          <cell r="F2038">
            <v>42054</v>
          </cell>
          <cell r="G2038">
            <v>41939</v>
          </cell>
          <cell r="H2038">
            <v>49243</v>
          </cell>
          <cell r="I2038" t="str">
            <v>19 years, 11 months, 29 days</v>
          </cell>
          <cell r="J2038" t="str">
            <v>Renewables</v>
          </cell>
          <cell r="K2038" t="str">
            <v>Solar (Rooftop)</v>
          </cell>
          <cell r="L2038" t="str">
            <v>Solar</v>
          </cell>
          <cell r="M2038" t="str">
            <v>Dx</v>
          </cell>
          <cell r="N2038" t="str">
            <v>Orillia</v>
          </cell>
          <cell r="O2038" t="str">
            <v>Simcoe</v>
          </cell>
          <cell r="P2038" t="str">
            <v>Essa</v>
          </cell>
        </row>
        <row r="2039">
          <cell r="C2039" t="str">
            <v>Iroquois Jr PS</v>
          </cell>
          <cell r="D2039" t="str">
            <v>TSPS (Portfolio 2) Limited Partnership</v>
          </cell>
          <cell r="E2039" t="str">
            <v>CO</v>
          </cell>
          <cell r="F2039">
            <v>42597</v>
          </cell>
          <cell r="G2039">
            <v>42222</v>
          </cell>
          <cell r="H2039">
            <v>49526</v>
          </cell>
          <cell r="I2039" t="str">
            <v>19 years, 11 months, 30 days</v>
          </cell>
          <cell r="J2039" t="str">
            <v>Renewables</v>
          </cell>
          <cell r="K2039" t="str">
            <v>Solar (Rooftop)</v>
          </cell>
          <cell r="L2039" t="str">
            <v>Solar</v>
          </cell>
          <cell r="M2039" t="str">
            <v>Dx</v>
          </cell>
          <cell r="N2039" t="str">
            <v>Toronto</v>
          </cell>
          <cell r="O2039" t="str">
            <v>Toronto</v>
          </cell>
          <cell r="P2039" t="str">
            <v>Toronto</v>
          </cell>
        </row>
        <row r="2040">
          <cell r="C2040" t="str">
            <v>90 Princess St.</v>
          </cell>
          <cell r="D2040" t="str">
            <v>SE7 2013 LP</v>
          </cell>
          <cell r="E2040" t="str">
            <v>CO</v>
          </cell>
          <cell r="F2040">
            <v>42061</v>
          </cell>
          <cell r="G2040">
            <v>42080</v>
          </cell>
          <cell r="H2040">
            <v>49365</v>
          </cell>
          <cell r="I2040" t="str">
            <v>19 years, 11 months, 8 days</v>
          </cell>
          <cell r="J2040" t="str">
            <v>Renewables</v>
          </cell>
          <cell r="K2040" t="str">
            <v>Solar (Rooftop)</v>
          </cell>
          <cell r="L2040" t="str">
            <v>Solar</v>
          </cell>
          <cell r="M2040" t="str">
            <v>Dx</v>
          </cell>
          <cell r="N2040" t="str">
            <v>Cobourg</v>
          </cell>
          <cell r="O2040" t="str">
            <v>Northumberland</v>
          </cell>
          <cell r="P2040" t="str">
            <v>East</v>
          </cell>
        </row>
        <row r="2041">
          <cell r="C2041" t="str">
            <v>Rooftop FIT - 9 Malone</v>
          </cell>
          <cell r="D2041" t="str">
            <v>JPRG Holdings Inc.</v>
          </cell>
          <cell r="E2041" t="str">
            <v>CO</v>
          </cell>
          <cell r="F2041">
            <v>42054</v>
          </cell>
          <cell r="G2041">
            <v>42233</v>
          </cell>
          <cell r="H2041">
            <v>49358</v>
          </cell>
          <cell r="I2041" t="str">
            <v>19 years, 6 months, 1 days</v>
          </cell>
          <cell r="J2041" t="str">
            <v>Renewables</v>
          </cell>
          <cell r="K2041" t="str">
            <v>Solar (Rooftop)</v>
          </cell>
          <cell r="L2041" t="str">
            <v>Solar</v>
          </cell>
          <cell r="M2041" t="str">
            <v>Dx</v>
          </cell>
          <cell r="N2041" t="str">
            <v>Jacksons Point</v>
          </cell>
          <cell r="O2041" t="str">
            <v>York</v>
          </cell>
          <cell r="P2041" t="str">
            <v>Essa</v>
          </cell>
        </row>
        <row r="2042">
          <cell r="C2042" t="str">
            <v>Collingwood CI</v>
          </cell>
          <cell r="D2042" t="str">
            <v>Potentia Solar 5 Limited Partnership</v>
          </cell>
          <cell r="E2042" t="str">
            <v>CO</v>
          </cell>
          <cell r="F2042">
            <v>42063</v>
          </cell>
          <cell r="G2042">
            <v>42205</v>
          </cell>
          <cell r="H2042">
            <v>49367</v>
          </cell>
          <cell r="I2042" t="str">
            <v>19 years, 7 months, 7 days</v>
          </cell>
          <cell r="J2042" t="str">
            <v>Renewables</v>
          </cell>
          <cell r="K2042" t="str">
            <v>Solar (Rooftop)</v>
          </cell>
          <cell r="L2042" t="str">
            <v>Solar</v>
          </cell>
          <cell r="M2042" t="str">
            <v>Dx</v>
          </cell>
          <cell r="N2042" t="str">
            <v>Collingwood</v>
          </cell>
          <cell r="O2042" t="str">
            <v>Simcoe</v>
          </cell>
          <cell r="P2042" t="str">
            <v>Southwest</v>
          </cell>
        </row>
        <row r="2043">
          <cell r="C2043" t="str">
            <v>Collin's Court Rooftop</v>
          </cell>
          <cell r="D2043" t="str">
            <v>1178572 Ontario Inc.</v>
          </cell>
          <cell r="E2043" t="str">
            <v>CO</v>
          </cell>
          <cell r="F2043">
            <v>42075</v>
          </cell>
          <cell r="G2043">
            <v>42165</v>
          </cell>
          <cell r="H2043">
            <v>49379</v>
          </cell>
          <cell r="I2043" t="str">
            <v>19 years, 9 months, 1 days</v>
          </cell>
          <cell r="J2043" t="str">
            <v>Renewables</v>
          </cell>
          <cell r="K2043" t="str">
            <v>Solar (Rooftop)</v>
          </cell>
          <cell r="L2043" t="str">
            <v>Solar</v>
          </cell>
          <cell r="M2043" t="str">
            <v>Dx</v>
          </cell>
          <cell r="N2043" t="str">
            <v>Napanee</v>
          </cell>
          <cell r="O2043" t="str">
            <v>Hastings</v>
          </cell>
          <cell r="P2043" t="str">
            <v>East</v>
          </cell>
        </row>
        <row r="2044">
          <cell r="C2044" t="str">
            <v>GROUP 5</v>
          </cell>
          <cell r="D2044" t="str">
            <v>2159155 ONTARIO LTD.</v>
          </cell>
          <cell r="E2044" t="str">
            <v>CO</v>
          </cell>
          <cell r="F2044">
            <v>42151</v>
          </cell>
          <cell r="G2044">
            <v>42038</v>
          </cell>
          <cell r="H2044">
            <v>49342</v>
          </cell>
          <cell r="I2044" t="str">
            <v>19 years, 11 months, 30 days</v>
          </cell>
          <cell r="J2044" t="str">
            <v>Renewables</v>
          </cell>
          <cell r="K2044" t="str">
            <v>Solar (Rooftop)</v>
          </cell>
          <cell r="L2044" t="str">
            <v>Solar</v>
          </cell>
          <cell r="M2044" t="str">
            <v>Dx</v>
          </cell>
          <cell r="N2044" t="str">
            <v>Windsor</v>
          </cell>
          <cell r="O2044" t="str">
            <v>Essex</v>
          </cell>
          <cell r="P2044" t="str">
            <v>West</v>
          </cell>
        </row>
        <row r="2045">
          <cell r="C2045" t="str">
            <v>Fred C. Cook ES</v>
          </cell>
          <cell r="D2045" t="str">
            <v>Potentia Solar 5 Limited Partnership</v>
          </cell>
          <cell r="E2045" t="str">
            <v>CO</v>
          </cell>
          <cell r="F2045">
            <v>42110</v>
          </cell>
          <cell r="G2045">
            <v>42151</v>
          </cell>
          <cell r="H2045">
            <v>49414</v>
          </cell>
          <cell r="I2045" t="str">
            <v>19 years, 10 months, 19 days</v>
          </cell>
          <cell r="J2045" t="str">
            <v>Renewables</v>
          </cell>
          <cell r="K2045" t="str">
            <v>Solar (Rooftop)</v>
          </cell>
          <cell r="L2045" t="str">
            <v>Solar</v>
          </cell>
          <cell r="M2045" t="str">
            <v>Dx</v>
          </cell>
          <cell r="N2045" t="str">
            <v>Bradford</v>
          </cell>
          <cell r="O2045" t="str">
            <v>Simcoe</v>
          </cell>
          <cell r="P2045" t="str">
            <v>Essa</v>
          </cell>
        </row>
        <row r="2046">
          <cell r="C2046" t="str">
            <v>RS Windsor</v>
          </cell>
          <cell r="D2046" t="str">
            <v>Nautilus Eagle Lake Solar I Limited Partnership</v>
          </cell>
          <cell r="E2046" t="str">
            <v>CO</v>
          </cell>
          <cell r="F2046">
            <v>42089</v>
          </cell>
          <cell r="G2046">
            <v>42216</v>
          </cell>
          <cell r="H2046">
            <v>49393</v>
          </cell>
          <cell r="I2046" t="str">
            <v>19 years, 7 months, 22 days</v>
          </cell>
          <cell r="J2046" t="str">
            <v>Renewables</v>
          </cell>
          <cell r="K2046" t="str">
            <v>Solar (Rooftop)</v>
          </cell>
          <cell r="L2046" t="str">
            <v>Solar</v>
          </cell>
          <cell r="M2046" t="str">
            <v>Dx</v>
          </cell>
          <cell r="N2046" t="str">
            <v>Windsor</v>
          </cell>
          <cell r="O2046" t="str">
            <v>Essex</v>
          </cell>
          <cell r="P2046" t="str">
            <v>West</v>
          </cell>
        </row>
        <row r="2047">
          <cell r="C2047" t="str">
            <v>Wandering Spirit School</v>
          </cell>
          <cell r="D2047" t="str">
            <v>TSPS (Portfolio 2) Limited Partnership</v>
          </cell>
          <cell r="E2047" t="str">
            <v>CO</v>
          </cell>
          <cell r="F2047">
            <v>42588</v>
          </cell>
          <cell r="G2047">
            <v>42286</v>
          </cell>
          <cell r="H2047">
            <v>49590</v>
          </cell>
          <cell r="I2047" t="str">
            <v>19 years, 11 months, 29 days</v>
          </cell>
          <cell r="J2047" t="str">
            <v>Renewables</v>
          </cell>
          <cell r="K2047" t="str">
            <v>Solar (Rooftop)</v>
          </cell>
          <cell r="L2047" t="str">
            <v>Solar</v>
          </cell>
          <cell r="M2047" t="str">
            <v>Dx</v>
          </cell>
          <cell r="N2047" t="str">
            <v>Toronto</v>
          </cell>
          <cell r="O2047" t="str">
            <v>Toronto</v>
          </cell>
          <cell r="P2047" t="str">
            <v>Toronto</v>
          </cell>
        </row>
        <row r="2048">
          <cell r="C2048" t="str">
            <v>Orr Lakes Stables</v>
          </cell>
          <cell r="D2048" t="str">
            <v>5868 Orr Lake Limited Partnership</v>
          </cell>
          <cell r="E2048" t="str">
            <v>CO</v>
          </cell>
          <cell r="F2048">
            <v>42110</v>
          </cell>
          <cell r="G2048">
            <v>42306</v>
          </cell>
          <cell r="H2048">
            <v>49414</v>
          </cell>
          <cell r="I2048" t="str">
            <v>19 years, 5 months, 17 days</v>
          </cell>
          <cell r="J2048" t="str">
            <v>Renewables</v>
          </cell>
          <cell r="K2048" t="str">
            <v>Solar (Rooftop)</v>
          </cell>
          <cell r="L2048" t="str">
            <v>Solar</v>
          </cell>
          <cell r="M2048" t="str">
            <v>Dx</v>
          </cell>
          <cell r="N2048" t="str">
            <v>Elmvale</v>
          </cell>
          <cell r="O2048" t="str">
            <v>Simcoe</v>
          </cell>
          <cell r="P2048" t="str">
            <v>Essa</v>
          </cell>
        </row>
        <row r="2049">
          <cell r="C2049" t="str">
            <v>Tom Longboat Jr PS</v>
          </cell>
          <cell r="D2049" t="str">
            <v>TSPS (Portfolio 2) Limited Partnership</v>
          </cell>
          <cell r="E2049" t="str">
            <v>CO</v>
          </cell>
          <cell r="F2049">
            <v>42611</v>
          </cell>
          <cell r="G2049">
            <v>42282</v>
          </cell>
          <cell r="H2049">
            <v>49586</v>
          </cell>
          <cell r="I2049" t="str">
            <v>19 years, 11 months, 29 days</v>
          </cell>
          <cell r="J2049" t="str">
            <v>Renewables</v>
          </cell>
          <cell r="K2049" t="str">
            <v>Solar (Rooftop)</v>
          </cell>
          <cell r="L2049" t="str">
            <v>Solar</v>
          </cell>
          <cell r="M2049" t="str">
            <v>Dx</v>
          </cell>
          <cell r="N2049" t="str">
            <v>Toronto</v>
          </cell>
          <cell r="O2049" t="str">
            <v>Toronto</v>
          </cell>
          <cell r="P2049" t="str">
            <v>Toronto</v>
          </cell>
        </row>
        <row r="2050">
          <cell r="C2050" t="str">
            <v>Norampac Vaughan Solar</v>
          </cell>
          <cell r="D2050" t="str">
            <v>SWITCH POWER ONTARIO SOLAR OPERATING CORPORATION</v>
          </cell>
          <cell r="E2050" t="str">
            <v>CO</v>
          </cell>
          <cell r="F2050">
            <v>42112</v>
          </cell>
          <cell r="G2050">
            <v>42293</v>
          </cell>
          <cell r="H2050">
            <v>49416</v>
          </cell>
          <cell r="I2050" t="str">
            <v>19 years, 6 months, 1 days</v>
          </cell>
          <cell r="J2050" t="str">
            <v>Renewables</v>
          </cell>
          <cell r="K2050" t="str">
            <v>Solar (Rooftop)</v>
          </cell>
          <cell r="L2050" t="str">
            <v>Solar</v>
          </cell>
          <cell r="M2050" t="str">
            <v>Dx</v>
          </cell>
          <cell r="N2050" t="str">
            <v>Concord</v>
          </cell>
          <cell r="O2050" t="str">
            <v>York</v>
          </cell>
          <cell r="P2050" t="str">
            <v>Toronto</v>
          </cell>
        </row>
        <row r="2051">
          <cell r="C2051" t="str">
            <v>Oneida Business Park</v>
          </cell>
          <cell r="D2051" t="str">
            <v>Corporation of the County of Brant and Six Nations of the Grand River Joint Venture</v>
          </cell>
          <cell r="E2051" t="str">
            <v>CO</v>
          </cell>
          <cell r="F2051">
            <v>42102</v>
          </cell>
          <cell r="G2051">
            <v>42258</v>
          </cell>
          <cell r="H2051">
            <v>49406</v>
          </cell>
          <cell r="I2051" t="str">
            <v>19 years, 6 months, 27 days</v>
          </cell>
          <cell r="J2051" t="str">
            <v>Renewables</v>
          </cell>
          <cell r="K2051" t="str">
            <v>Solar (Rooftop)</v>
          </cell>
          <cell r="L2051" t="str">
            <v>Solar</v>
          </cell>
          <cell r="M2051" t="str">
            <v>Dx</v>
          </cell>
          <cell r="N2051" t="str">
            <v>Port Rowan</v>
          </cell>
          <cell r="O2051" t="str">
            <v>Norfolk</v>
          </cell>
          <cell r="P2051" t="str">
            <v>Southwest</v>
          </cell>
        </row>
        <row r="2052">
          <cell r="C2052" t="str">
            <v>257 Coleman St - Belleville</v>
          </cell>
          <cell r="D2052" t="str">
            <v>G. T. Lanning Limited and its wholly owned subsidiary, 1178244 Ontario Inc.</v>
          </cell>
          <cell r="E2052" t="str">
            <v>CO</v>
          </cell>
          <cell r="F2052">
            <v>42075</v>
          </cell>
          <cell r="G2052">
            <v>41933</v>
          </cell>
          <cell r="H2052">
            <v>49237</v>
          </cell>
          <cell r="I2052" t="str">
            <v>19 years, 11 months, 29 days</v>
          </cell>
          <cell r="J2052" t="str">
            <v>Renewables</v>
          </cell>
          <cell r="K2052" t="str">
            <v>Solar (Rooftop)</v>
          </cell>
          <cell r="L2052" t="str">
            <v>Solar</v>
          </cell>
          <cell r="M2052" t="str">
            <v>Dx</v>
          </cell>
          <cell r="N2052" t="str">
            <v>Belleville</v>
          </cell>
          <cell r="O2052" t="str">
            <v>Hastings</v>
          </cell>
          <cell r="P2052" t="str">
            <v>East</v>
          </cell>
        </row>
        <row r="2053">
          <cell r="C2053" t="str">
            <v>Keeling Place</v>
          </cell>
          <cell r="D2053" t="str">
            <v>2671718 Ontario Inc.</v>
          </cell>
          <cell r="E2053" t="str">
            <v>CO</v>
          </cell>
          <cell r="F2053">
            <v>42104</v>
          </cell>
          <cell r="G2053">
            <v>41970</v>
          </cell>
          <cell r="H2053">
            <v>49274</v>
          </cell>
          <cell r="I2053" t="str">
            <v>19 years, 11 months, 30 days</v>
          </cell>
          <cell r="J2053" t="str">
            <v>Renewables</v>
          </cell>
          <cell r="K2053" t="str">
            <v>Solar (Rooftop)</v>
          </cell>
          <cell r="L2053" t="str">
            <v>Solar</v>
          </cell>
          <cell r="M2053" t="str">
            <v>Dx</v>
          </cell>
          <cell r="N2053" t="str">
            <v>Astorville</v>
          </cell>
          <cell r="O2053" t="str">
            <v>Nipissing</v>
          </cell>
          <cell r="P2053" t="str">
            <v>Northeast</v>
          </cell>
        </row>
        <row r="2054">
          <cell r="C2054" t="str">
            <v>LON-15700 Robins Hill</v>
          </cell>
          <cell r="D2054" t="str">
            <v>Métis Nation of Ontario - BrightRoof Solar LP</v>
          </cell>
          <cell r="E2054" t="str">
            <v>CO</v>
          </cell>
          <cell r="F2054">
            <v>42112</v>
          </cell>
          <cell r="G2054">
            <v>42082</v>
          </cell>
          <cell r="H2054">
            <v>49386</v>
          </cell>
          <cell r="I2054" t="str">
            <v>19 years, 11 months, 27 days</v>
          </cell>
          <cell r="J2054" t="str">
            <v>Renewables</v>
          </cell>
          <cell r="K2054" t="str">
            <v>Solar (Rooftop)</v>
          </cell>
          <cell r="L2054" t="str">
            <v>Solar</v>
          </cell>
          <cell r="M2054" t="str">
            <v>Dx</v>
          </cell>
          <cell r="N2054" t="str">
            <v>London</v>
          </cell>
          <cell r="O2054" t="str">
            <v>Middlesex</v>
          </cell>
          <cell r="P2054" t="str">
            <v>West</v>
          </cell>
        </row>
        <row r="2055">
          <cell r="C2055" t="str">
            <v>Strachan Farm #1</v>
          </cell>
          <cell r="D2055" t="str">
            <v>SCCEC LP</v>
          </cell>
          <cell r="E2055" t="str">
            <v>CO</v>
          </cell>
          <cell r="F2055">
            <v>42097</v>
          </cell>
          <cell r="G2055">
            <v>42103</v>
          </cell>
          <cell r="H2055">
            <v>49401</v>
          </cell>
          <cell r="I2055" t="str">
            <v>19 years, 11 months, 24 days</v>
          </cell>
          <cell r="J2055" t="str">
            <v>Renewables</v>
          </cell>
          <cell r="K2055" t="str">
            <v>Solar (Rooftop)</v>
          </cell>
          <cell r="L2055" t="str">
            <v>Solar</v>
          </cell>
          <cell r="M2055" t="str">
            <v>Dx</v>
          </cell>
          <cell r="N2055" t="str">
            <v>Shanty Bay</v>
          </cell>
          <cell r="O2055" t="str">
            <v>Simcoe</v>
          </cell>
          <cell r="P2055" t="str">
            <v>Essa</v>
          </cell>
        </row>
        <row r="2056">
          <cell r="C2056" t="str">
            <v>LON-539 First</v>
          </cell>
          <cell r="D2056" t="str">
            <v>Métis Nation of Ontario - BrightRoof Solar LP</v>
          </cell>
          <cell r="E2056" t="str">
            <v>CO</v>
          </cell>
          <cell r="F2056">
            <v>42102</v>
          </cell>
          <cell r="G2056">
            <v>41968</v>
          </cell>
          <cell r="H2056">
            <v>49272</v>
          </cell>
          <cell r="I2056" t="str">
            <v>19 years, 11 months, 30 days</v>
          </cell>
          <cell r="J2056" t="str">
            <v>Renewables</v>
          </cell>
          <cell r="K2056" t="str">
            <v>Solar (Rooftop)</v>
          </cell>
          <cell r="L2056" t="str">
            <v>Solar</v>
          </cell>
          <cell r="M2056" t="str">
            <v>Dx</v>
          </cell>
          <cell r="N2056" t="str">
            <v>London</v>
          </cell>
          <cell r="O2056" t="str">
            <v>Middlesex</v>
          </cell>
          <cell r="P2056" t="str">
            <v>West</v>
          </cell>
        </row>
        <row r="2057">
          <cell r="C2057" t="str">
            <v>Cobalt - Lagoon 1</v>
          </cell>
          <cell r="D2057" t="str">
            <v>Solaire Cobalt Solar Inc.</v>
          </cell>
          <cell r="E2057" t="str">
            <v>CO</v>
          </cell>
          <cell r="F2057">
            <v>42602</v>
          </cell>
          <cell r="G2057">
            <v>43105</v>
          </cell>
          <cell r="H2057">
            <v>49906</v>
          </cell>
          <cell r="I2057" t="str">
            <v>18 years, 7 months, 14 days</v>
          </cell>
          <cell r="J2057" t="str">
            <v>Renewables</v>
          </cell>
          <cell r="K2057" t="str">
            <v>Solar (Ground Mounted)</v>
          </cell>
          <cell r="L2057" t="str">
            <v>Solar</v>
          </cell>
          <cell r="M2057" t="str">
            <v>Dx</v>
          </cell>
          <cell r="N2057" t="str">
            <v>Fauquier</v>
          </cell>
          <cell r="O2057" t="str">
            <v>Cochrane</v>
          </cell>
          <cell r="P2057" t="str">
            <v>Northeast</v>
          </cell>
        </row>
        <row r="2058">
          <cell r="C2058" t="str">
            <v>Minten Solar</v>
          </cell>
          <cell r="D2058" t="str">
            <v>7550 LaSalle Limited Partnership</v>
          </cell>
          <cell r="E2058" t="str">
            <v>CO</v>
          </cell>
          <cell r="F2058">
            <v>42110</v>
          </cell>
          <cell r="G2058">
            <v>42293</v>
          </cell>
          <cell r="H2058">
            <v>49414</v>
          </cell>
          <cell r="I2058" t="str">
            <v>19 years, 5 months, 30 days</v>
          </cell>
          <cell r="J2058" t="str">
            <v>Renewables</v>
          </cell>
          <cell r="K2058" t="str">
            <v>Solar (Rooftop)</v>
          </cell>
          <cell r="L2058" t="str">
            <v>Solar</v>
          </cell>
          <cell r="M2058" t="str">
            <v>Dx</v>
          </cell>
          <cell r="N2058" t="str">
            <v>Watford</v>
          </cell>
          <cell r="O2058" t="str">
            <v>Lambton</v>
          </cell>
          <cell r="P2058" t="str">
            <v>West</v>
          </cell>
        </row>
        <row r="2059">
          <cell r="C2059" t="str">
            <v>Henry Ivits</v>
          </cell>
          <cell r="D2059" t="str">
            <v>SCCEC LP</v>
          </cell>
          <cell r="E2059" t="str">
            <v>CO</v>
          </cell>
          <cell r="F2059">
            <v>42095</v>
          </cell>
          <cell r="G2059">
            <v>42102</v>
          </cell>
          <cell r="H2059">
            <v>49399</v>
          </cell>
          <cell r="I2059" t="str">
            <v>19 years, 11 months, 23 days</v>
          </cell>
          <cell r="J2059" t="str">
            <v>Renewables</v>
          </cell>
          <cell r="K2059" t="str">
            <v>Solar (Rooftop)</v>
          </cell>
          <cell r="L2059" t="str">
            <v>Solar</v>
          </cell>
          <cell r="M2059" t="str">
            <v>Dx</v>
          </cell>
          <cell r="N2059" t="str">
            <v>New Lowell</v>
          </cell>
          <cell r="O2059" t="str">
            <v>Simcoe</v>
          </cell>
          <cell r="P2059" t="str">
            <v>Southwest</v>
          </cell>
        </row>
        <row r="2060">
          <cell r="C2060" t="str">
            <v>Nantyr Shores</v>
          </cell>
          <cell r="D2060" t="str">
            <v>Potentia Solar 5 Limited Partnership</v>
          </cell>
          <cell r="E2060" t="str">
            <v>CO</v>
          </cell>
          <cell r="F2060">
            <v>42097</v>
          </cell>
          <cell r="G2060">
            <v>42275</v>
          </cell>
          <cell r="H2060">
            <v>49401</v>
          </cell>
          <cell r="I2060" t="str">
            <v>19 years, 6 months, 5 days</v>
          </cell>
          <cell r="J2060" t="str">
            <v>Renewables</v>
          </cell>
          <cell r="K2060" t="str">
            <v>Solar (Rooftop)</v>
          </cell>
          <cell r="L2060" t="str">
            <v>Solar</v>
          </cell>
          <cell r="M2060" t="str">
            <v>Dx</v>
          </cell>
          <cell r="N2060" t="str">
            <v>Innisfil</v>
          </cell>
          <cell r="O2060" t="str">
            <v>Simcoe</v>
          </cell>
          <cell r="P2060" t="str">
            <v>Southwest</v>
          </cell>
        </row>
        <row r="2061">
          <cell r="C2061" t="str">
            <v>RBraatBailiebor05</v>
          </cell>
          <cell r="D2061" t="str">
            <v>Rudolf C. Braat, Kimberley D. Heise Braat</v>
          </cell>
          <cell r="E2061" t="str">
            <v>CO</v>
          </cell>
          <cell r="F2061">
            <v>42102</v>
          </cell>
          <cell r="G2061">
            <v>42076</v>
          </cell>
          <cell r="H2061">
            <v>49380</v>
          </cell>
          <cell r="I2061" t="str">
            <v>19 years, 11 months, 27 days</v>
          </cell>
          <cell r="J2061" t="str">
            <v>Renewables</v>
          </cell>
          <cell r="K2061" t="str">
            <v>Solar (Rooftop)</v>
          </cell>
          <cell r="L2061" t="str">
            <v>Solar</v>
          </cell>
          <cell r="M2061" t="str">
            <v>Dx</v>
          </cell>
          <cell r="N2061" t="str">
            <v>Bailieboro</v>
          </cell>
          <cell r="O2061" t="str">
            <v>Peterborough</v>
          </cell>
          <cell r="P2061" t="str">
            <v>East</v>
          </cell>
        </row>
        <row r="2062">
          <cell r="C2062" t="str">
            <v>Norway Jr PS</v>
          </cell>
          <cell r="D2062" t="str">
            <v>TSPS (Portfolio 1) Limited Partnership</v>
          </cell>
          <cell r="E2062" t="str">
            <v>CO</v>
          </cell>
          <cell r="F2062">
            <v>42604</v>
          </cell>
          <cell r="G2062">
            <v>41907</v>
          </cell>
          <cell r="H2062">
            <v>49211</v>
          </cell>
          <cell r="I2062" t="str">
            <v>19 years, 11 months, 30 days</v>
          </cell>
          <cell r="J2062" t="str">
            <v>Renewables</v>
          </cell>
          <cell r="K2062" t="str">
            <v>Solar (Rooftop)</v>
          </cell>
          <cell r="L2062" t="str">
            <v>Solar</v>
          </cell>
          <cell r="M2062" t="str">
            <v>Dx</v>
          </cell>
          <cell r="N2062" t="str">
            <v>Toronto</v>
          </cell>
          <cell r="O2062" t="str">
            <v>Toronto</v>
          </cell>
          <cell r="P2062" t="str">
            <v>Toronto</v>
          </cell>
        </row>
        <row r="2063">
          <cell r="C2063" t="str">
            <v>Kaiser Lake Farms 1</v>
          </cell>
          <cell r="D2063" t="str">
            <v>Great West Energy Limited Partnership</v>
          </cell>
          <cell r="E2063" t="str">
            <v>CO</v>
          </cell>
          <cell r="F2063">
            <v>42117</v>
          </cell>
          <cell r="G2063">
            <v>42335</v>
          </cell>
          <cell r="H2063">
            <v>49421</v>
          </cell>
          <cell r="I2063" t="str">
            <v>19 years, 4 months, 26 days</v>
          </cell>
          <cell r="J2063" t="str">
            <v>Renewables</v>
          </cell>
          <cell r="K2063" t="str">
            <v>Solar (Rooftop)</v>
          </cell>
          <cell r="L2063" t="str">
            <v>Solar</v>
          </cell>
          <cell r="M2063" t="str">
            <v>Dx</v>
          </cell>
          <cell r="N2063" t="str">
            <v>Napanee</v>
          </cell>
          <cell r="O2063" t="str">
            <v>Hastings</v>
          </cell>
          <cell r="P2063" t="str">
            <v>East</v>
          </cell>
        </row>
        <row r="2064">
          <cell r="C2064" t="str">
            <v>George Anderson PS</v>
          </cell>
          <cell r="D2064" t="str">
            <v>TSPS (Portfolio 2) Limited Partnership</v>
          </cell>
          <cell r="E2064" t="str">
            <v>CO</v>
          </cell>
          <cell r="F2064">
            <v>42597</v>
          </cell>
          <cell r="G2064">
            <v>42643</v>
          </cell>
          <cell r="H2064">
            <v>49901</v>
          </cell>
          <cell r="I2064" t="str">
            <v>19 years, 10 months, 15 days</v>
          </cell>
          <cell r="J2064" t="str">
            <v>Renewables</v>
          </cell>
          <cell r="K2064" t="str">
            <v>Solar (Rooftop)</v>
          </cell>
          <cell r="L2064" t="str">
            <v>Solar</v>
          </cell>
          <cell r="M2064" t="str">
            <v>Dx</v>
          </cell>
          <cell r="N2064" t="str">
            <v>Toronto</v>
          </cell>
          <cell r="O2064" t="str">
            <v>Toronto</v>
          </cell>
          <cell r="P2064" t="str">
            <v>Toronto</v>
          </cell>
        </row>
        <row r="2065">
          <cell r="C2065" t="str">
            <v>Colin Walker Farm #2</v>
          </cell>
          <cell r="D2065" t="str">
            <v>SCCEC LP</v>
          </cell>
          <cell r="E2065" t="str">
            <v>CO</v>
          </cell>
          <cell r="F2065">
            <v>42097</v>
          </cell>
          <cell r="G2065">
            <v>41992</v>
          </cell>
          <cell r="H2065">
            <v>49296</v>
          </cell>
          <cell r="I2065" t="str">
            <v>19 years, 11 months, 29 days</v>
          </cell>
          <cell r="J2065" t="str">
            <v>Renewables</v>
          </cell>
          <cell r="K2065" t="str">
            <v>Solar (Rooftop)</v>
          </cell>
          <cell r="L2065" t="str">
            <v>Solar</v>
          </cell>
          <cell r="M2065" t="str">
            <v>Dx</v>
          </cell>
          <cell r="N2065" t="str">
            <v>Stayner</v>
          </cell>
          <cell r="O2065" t="str">
            <v>Simcoe</v>
          </cell>
          <cell r="P2065" t="str">
            <v>Southwest</v>
          </cell>
        </row>
        <row r="2066">
          <cell r="C2066" t="str">
            <v>Education Centre &amp; Maintenance Building</v>
          </cell>
          <cell r="D2066" t="str">
            <v>Potentia Solar 5 Limited Partnership</v>
          </cell>
          <cell r="E2066" t="str">
            <v>CO</v>
          </cell>
          <cell r="F2066">
            <v>42075</v>
          </cell>
          <cell r="G2066">
            <v>42247</v>
          </cell>
          <cell r="H2066">
            <v>49379</v>
          </cell>
          <cell r="I2066" t="str">
            <v>19 years, 6 months, 8 days</v>
          </cell>
          <cell r="J2066" t="str">
            <v>Renewables</v>
          </cell>
          <cell r="K2066" t="str">
            <v>Solar (Rooftop)</v>
          </cell>
          <cell r="L2066" t="str">
            <v>Solar</v>
          </cell>
          <cell r="M2066" t="str">
            <v>Dx</v>
          </cell>
          <cell r="N2066" t="str">
            <v>Midhurst</v>
          </cell>
          <cell r="O2066" t="str">
            <v>Simcoe</v>
          </cell>
          <cell r="P2066" t="str">
            <v>Essa</v>
          </cell>
        </row>
        <row r="2067">
          <cell r="C2067" t="str">
            <v>STT-43900 Talbot</v>
          </cell>
          <cell r="D2067" t="str">
            <v>Métis Nation of Ontario - BrightRoof Solar LP</v>
          </cell>
          <cell r="E2067" t="str">
            <v>CO</v>
          </cell>
          <cell r="F2067">
            <v>42102</v>
          </cell>
          <cell r="G2067">
            <v>42023</v>
          </cell>
          <cell r="H2067">
            <v>49327</v>
          </cell>
          <cell r="I2067" t="str">
            <v>19 years, 11 months, 30 days</v>
          </cell>
          <cell r="J2067" t="str">
            <v>Renewables</v>
          </cell>
          <cell r="K2067" t="str">
            <v>Solar (Rooftop)</v>
          </cell>
          <cell r="L2067" t="str">
            <v>Solar</v>
          </cell>
          <cell r="M2067" t="str">
            <v>Dx</v>
          </cell>
          <cell r="N2067" t="str">
            <v>St. Thomas</v>
          </cell>
          <cell r="O2067" t="str">
            <v>Elgin</v>
          </cell>
          <cell r="P2067" t="str">
            <v>West</v>
          </cell>
        </row>
        <row r="2068">
          <cell r="C2068" t="str">
            <v>AGRIS Solar (West Nipissing #5)</v>
          </cell>
          <cell r="D2068" t="str">
            <v>AGRIS Solar Co-operative Inc.</v>
          </cell>
          <cell r="E2068" t="str">
            <v>CO</v>
          </cell>
          <cell r="F2068">
            <v>42757</v>
          </cell>
          <cell r="G2068">
            <v>42754</v>
          </cell>
          <cell r="H2068">
            <v>50058</v>
          </cell>
          <cell r="I2068" t="str">
            <v>19 years, 11 months, 30 days</v>
          </cell>
          <cell r="J2068" t="str">
            <v>Renewables</v>
          </cell>
          <cell r="K2068" t="str">
            <v>Solar (Rooftop)</v>
          </cell>
          <cell r="L2068" t="str">
            <v>Solar</v>
          </cell>
          <cell r="M2068" t="str">
            <v>Dx</v>
          </cell>
          <cell r="N2068" t="str">
            <v>Sturgeon Falls</v>
          </cell>
          <cell r="O2068" t="str">
            <v>Nipissing</v>
          </cell>
          <cell r="P2068" t="str">
            <v>Northeast</v>
          </cell>
        </row>
        <row r="2069">
          <cell r="C2069" t="str">
            <v>111 Van Kirk</v>
          </cell>
          <cell r="D2069" t="str">
            <v>Trec SolarShare Co-operative (No. 1) Inc. and 1477400 Ontario Limited, as joint venturers, c.o.b...</v>
          </cell>
          <cell r="E2069" t="str">
            <v>CO</v>
          </cell>
          <cell r="F2069">
            <v>42056</v>
          </cell>
          <cell r="G2069">
            <v>42152</v>
          </cell>
          <cell r="H2069">
            <v>49360</v>
          </cell>
          <cell r="I2069" t="str">
            <v>19 years, 8 months, 23 days</v>
          </cell>
          <cell r="J2069" t="str">
            <v>Renewables</v>
          </cell>
          <cell r="K2069" t="str">
            <v>Solar (Rooftop)</v>
          </cell>
          <cell r="L2069" t="str">
            <v>Solar</v>
          </cell>
          <cell r="M2069" t="str">
            <v>Dx</v>
          </cell>
          <cell r="N2069" t="str">
            <v>Brampton</v>
          </cell>
          <cell r="O2069" t="str">
            <v>Peel</v>
          </cell>
          <cell r="P2069" t="str">
            <v>Toronto</v>
          </cell>
        </row>
        <row r="2070">
          <cell r="C2070" t="str">
            <v>Mill Valley JS</v>
          </cell>
          <cell r="D2070" t="str">
            <v>TSPS (Portfolio 2) Limited Partnership</v>
          </cell>
          <cell r="E2070" t="str">
            <v>CO</v>
          </cell>
          <cell r="F2070">
            <v>42604</v>
          </cell>
          <cell r="G2070">
            <v>42671</v>
          </cell>
          <cell r="H2070">
            <v>49908</v>
          </cell>
          <cell r="I2070" t="str">
            <v>19 years, 9 months, 24 days</v>
          </cell>
          <cell r="J2070" t="str">
            <v>Renewables</v>
          </cell>
          <cell r="K2070" t="str">
            <v>Solar (Rooftop)</v>
          </cell>
          <cell r="L2070" t="str">
            <v>Solar</v>
          </cell>
          <cell r="M2070" t="str">
            <v>Dx</v>
          </cell>
          <cell r="N2070" t="str">
            <v>Toronto</v>
          </cell>
          <cell r="O2070" t="str">
            <v>Toronto</v>
          </cell>
          <cell r="P2070" t="str">
            <v>Toronto</v>
          </cell>
        </row>
        <row r="2071">
          <cell r="C2071" t="str">
            <v>GM Building</v>
          </cell>
          <cell r="D2071" t="str">
            <v>Hensall District Cooperative Inc.</v>
          </cell>
          <cell r="E2071" t="str">
            <v>CO</v>
          </cell>
          <cell r="F2071">
            <v>42104</v>
          </cell>
          <cell r="G2071">
            <v>42061</v>
          </cell>
          <cell r="H2071">
            <v>49365</v>
          </cell>
          <cell r="I2071" t="str">
            <v>19 years, 11 months, 30 days</v>
          </cell>
          <cell r="J2071" t="str">
            <v>Renewables</v>
          </cell>
          <cell r="K2071" t="str">
            <v>Solar (Rooftop)</v>
          </cell>
          <cell r="L2071" t="str">
            <v>Solar</v>
          </cell>
          <cell r="M2071" t="str">
            <v>Dx</v>
          </cell>
          <cell r="N2071" t="str">
            <v>Hensall</v>
          </cell>
          <cell r="O2071" t="str">
            <v>Huron</v>
          </cell>
          <cell r="P2071" t="str">
            <v>Southwest</v>
          </cell>
        </row>
        <row r="2072">
          <cell r="C2072" t="str">
            <v>Kimberley Jr. PS</v>
          </cell>
          <cell r="D2072" t="str">
            <v>TSPS (Portfolio 2) Limited Partnership</v>
          </cell>
          <cell r="E2072" t="str">
            <v>CO</v>
          </cell>
          <cell r="F2072">
            <v>42616</v>
          </cell>
          <cell r="G2072">
            <v>42334</v>
          </cell>
          <cell r="H2072">
            <v>49638</v>
          </cell>
          <cell r="I2072" t="str">
            <v>19 years, 11 months, 30 days</v>
          </cell>
          <cell r="J2072" t="str">
            <v>Renewables</v>
          </cell>
          <cell r="K2072" t="str">
            <v>Solar (Rooftop)</v>
          </cell>
          <cell r="L2072" t="str">
            <v>Solar</v>
          </cell>
          <cell r="M2072" t="str">
            <v>Dx</v>
          </cell>
          <cell r="N2072" t="str">
            <v>Toronto</v>
          </cell>
          <cell r="O2072" t="str">
            <v>Toronto</v>
          </cell>
          <cell r="P2072" t="str">
            <v>Toronto</v>
          </cell>
        </row>
        <row r="2073">
          <cell r="C2073" t="str">
            <v>Heather Heights Jr PS</v>
          </cell>
          <cell r="D2073" t="str">
            <v>TSPS (Portfolio 1) Limited Partnership</v>
          </cell>
          <cell r="E2073" t="str">
            <v>CO</v>
          </cell>
          <cell r="F2073">
            <v>42597</v>
          </cell>
          <cell r="G2073">
            <v>42333</v>
          </cell>
          <cell r="H2073">
            <v>49637</v>
          </cell>
          <cell r="I2073" t="str">
            <v>19 years, 11 months, 30 days</v>
          </cell>
          <cell r="J2073" t="str">
            <v>Renewables</v>
          </cell>
          <cell r="K2073" t="str">
            <v>Solar (Rooftop)</v>
          </cell>
          <cell r="L2073" t="str">
            <v>Solar</v>
          </cell>
          <cell r="M2073" t="str">
            <v>Dx</v>
          </cell>
          <cell r="N2073" t="str">
            <v>Toronto</v>
          </cell>
          <cell r="O2073" t="str">
            <v>Toronto</v>
          </cell>
          <cell r="P2073" t="str">
            <v>Toronto</v>
          </cell>
        </row>
        <row r="2074">
          <cell r="C2074" t="str">
            <v>Stanton Farms Biogas (Ilderton Road)</v>
          </cell>
          <cell r="D2074" t="str">
            <v>Stanton Bros. Limited</v>
          </cell>
          <cell r="E2074" t="str">
            <v>CO</v>
          </cell>
          <cell r="F2074">
            <v>42652</v>
          </cell>
          <cell r="G2074">
            <v>43199</v>
          </cell>
          <cell r="H2074">
            <v>49956</v>
          </cell>
          <cell r="I2074" t="str">
            <v>18 years, 5 months, 29 days</v>
          </cell>
          <cell r="J2074" t="str">
            <v>Renewables</v>
          </cell>
          <cell r="K2074" t="str">
            <v>Bioenergy</v>
          </cell>
          <cell r="L2074" t="str">
            <v>Biogas (On-Farm)</v>
          </cell>
          <cell r="M2074" t="str">
            <v>Dx</v>
          </cell>
          <cell r="N2074" t="str">
            <v>Ilderton</v>
          </cell>
          <cell r="O2074" t="str">
            <v>Middlesex</v>
          </cell>
          <cell r="P2074" t="str">
            <v>West</v>
          </cell>
        </row>
        <row r="2075">
          <cell r="C2075" t="str">
            <v>LON-15701 Robins Hill</v>
          </cell>
          <cell r="D2075" t="str">
            <v>Métis Nation of Ontario - BrightRoof Solar LP</v>
          </cell>
          <cell r="E2075" t="str">
            <v>CO</v>
          </cell>
          <cell r="F2075">
            <v>42112</v>
          </cell>
          <cell r="G2075">
            <v>42082</v>
          </cell>
          <cell r="H2075">
            <v>49386</v>
          </cell>
          <cell r="I2075" t="str">
            <v>19 years, 11 months, 27 days</v>
          </cell>
          <cell r="J2075" t="str">
            <v>Renewables</v>
          </cell>
          <cell r="K2075" t="str">
            <v>Solar (Rooftop)</v>
          </cell>
          <cell r="L2075" t="str">
            <v>Solar</v>
          </cell>
          <cell r="M2075" t="str">
            <v>Dx</v>
          </cell>
          <cell r="N2075" t="str">
            <v>London</v>
          </cell>
          <cell r="O2075" t="str">
            <v>Middlesex</v>
          </cell>
          <cell r="P2075" t="str">
            <v>West</v>
          </cell>
        </row>
        <row r="2076">
          <cell r="C2076" t="str">
            <v>RS Leamington</v>
          </cell>
          <cell r="D2076" t="str">
            <v>Nautilus Eagle Lake Solar I Limited Partnership</v>
          </cell>
          <cell r="E2076" t="str">
            <v>CO</v>
          </cell>
          <cell r="F2076">
            <v>42089</v>
          </cell>
          <cell r="G2076">
            <v>42226</v>
          </cell>
          <cell r="H2076">
            <v>49393</v>
          </cell>
          <cell r="I2076" t="str">
            <v>19 years, 7 months, 15 days</v>
          </cell>
          <cell r="J2076" t="str">
            <v>Renewables</v>
          </cell>
          <cell r="K2076" t="str">
            <v>Solar (Rooftop)</v>
          </cell>
          <cell r="L2076" t="str">
            <v>Solar</v>
          </cell>
          <cell r="M2076" t="str">
            <v>Dx</v>
          </cell>
          <cell r="N2076" t="str">
            <v>Leamington</v>
          </cell>
          <cell r="O2076" t="str">
            <v>Essex</v>
          </cell>
          <cell r="P2076" t="str">
            <v>West</v>
          </cell>
        </row>
        <row r="2077">
          <cell r="C2077" t="str">
            <v>K04-61 Rayette</v>
          </cell>
          <cell r="D2077" t="str">
            <v>Kazani Holdings Inc.</v>
          </cell>
          <cell r="E2077" t="str">
            <v>CO</v>
          </cell>
          <cell r="F2077">
            <v>42089</v>
          </cell>
          <cell r="G2077">
            <v>42248</v>
          </cell>
          <cell r="H2077">
            <v>49393</v>
          </cell>
          <cell r="I2077" t="str">
            <v>19 years, 6 months, 24 days</v>
          </cell>
          <cell r="J2077" t="str">
            <v>Renewables</v>
          </cell>
          <cell r="K2077" t="str">
            <v>Solar (Rooftop)</v>
          </cell>
          <cell r="L2077" t="str">
            <v>Solar</v>
          </cell>
          <cell r="M2077" t="str">
            <v>Dx</v>
          </cell>
          <cell r="N2077" t="str">
            <v>Concord</v>
          </cell>
          <cell r="O2077" t="str">
            <v>York</v>
          </cell>
          <cell r="P2077" t="str">
            <v>Toronto</v>
          </cell>
        </row>
        <row r="2078">
          <cell r="C2078" t="str">
            <v>New Oakville Hospital - Parking Garage Solar</v>
          </cell>
          <cell r="D2078" t="str">
            <v>Halton Healthcare Services Corporation</v>
          </cell>
          <cell r="E2078" t="str">
            <v>CO</v>
          </cell>
          <cell r="F2078">
            <v>42133</v>
          </cell>
          <cell r="G2078">
            <v>42307</v>
          </cell>
          <cell r="H2078">
            <v>49437</v>
          </cell>
          <cell r="I2078" t="str">
            <v>19 years, 6 months, 8 days</v>
          </cell>
          <cell r="J2078" t="str">
            <v>Renewables</v>
          </cell>
          <cell r="K2078" t="str">
            <v>Solar (Rooftop)</v>
          </cell>
          <cell r="L2078" t="str">
            <v>Solar</v>
          </cell>
          <cell r="M2078" t="str">
            <v>Dx</v>
          </cell>
          <cell r="N2078" t="str">
            <v>Oakville</v>
          </cell>
          <cell r="O2078" t="str">
            <v>Halton</v>
          </cell>
          <cell r="P2078" t="str">
            <v>Southwest</v>
          </cell>
        </row>
        <row r="2079">
          <cell r="C2079" t="str">
            <v>Valleyfield JS</v>
          </cell>
          <cell r="D2079" t="str">
            <v>TSPS (Portfolio 2) Limited Partnership</v>
          </cell>
          <cell r="E2079" t="str">
            <v>CO</v>
          </cell>
          <cell r="F2079">
            <v>42611</v>
          </cell>
          <cell r="G2079">
            <v>42690</v>
          </cell>
          <cell r="H2079">
            <v>49915</v>
          </cell>
          <cell r="I2079" t="str">
            <v>19 years, 9 months, 12 days</v>
          </cell>
          <cell r="J2079" t="str">
            <v>Renewables</v>
          </cell>
          <cell r="K2079" t="str">
            <v>Solar (Rooftop)</v>
          </cell>
          <cell r="L2079" t="str">
            <v>Solar</v>
          </cell>
          <cell r="M2079" t="str">
            <v>Dx</v>
          </cell>
          <cell r="N2079" t="str">
            <v>Toronto</v>
          </cell>
          <cell r="O2079" t="str">
            <v>Toronto</v>
          </cell>
          <cell r="P2079" t="str">
            <v>Toronto</v>
          </cell>
        </row>
        <row r="2080">
          <cell r="C2080" t="str">
            <v>J&amp;R Cycle</v>
          </cell>
          <cell r="D2080" t="str">
            <v>SCCEC LP</v>
          </cell>
          <cell r="E2080" t="str">
            <v>CO</v>
          </cell>
          <cell r="F2080">
            <v>42095</v>
          </cell>
          <cell r="G2080">
            <v>42165</v>
          </cell>
          <cell r="H2080">
            <v>49399</v>
          </cell>
          <cell r="I2080" t="str">
            <v>19 years, 9 months, 21 days</v>
          </cell>
          <cell r="J2080" t="str">
            <v>Renewables</v>
          </cell>
          <cell r="K2080" t="str">
            <v>Solar (Rooftop)</v>
          </cell>
          <cell r="L2080" t="str">
            <v>Solar</v>
          </cell>
          <cell r="M2080" t="str">
            <v>Dx</v>
          </cell>
          <cell r="N2080" t="str">
            <v>Stayner</v>
          </cell>
          <cell r="O2080" t="str">
            <v>Simcoe</v>
          </cell>
          <cell r="P2080" t="str">
            <v>Southwest</v>
          </cell>
        </row>
        <row r="2081">
          <cell r="C2081" t="str">
            <v>OSP-WJV-Victoria</v>
          </cell>
          <cell r="D2081" t="str">
            <v>Wouter and Josephina Van Leeuwen</v>
          </cell>
          <cell r="E2081" t="str">
            <v>CO</v>
          </cell>
          <cell r="F2081">
            <v>42075</v>
          </cell>
          <cell r="G2081">
            <v>42257</v>
          </cell>
          <cell r="H2081">
            <v>49379</v>
          </cell>
          <cell r="I2081" t="str">
            <v>19 years, 6 months, 1 days</v>
          </cell>
          <cell r="J2081" t="str">
            <v>Renewables</v>
          </cell>
          <cell r="K2081" t="str">
            <v>Solar (Rooftop)</v>
          </cell>
          <cell r="L2081" t="str">
            <v>Solar</v>
          </cell>
          <cell r="M2081" t="str">
            <v>Dx</v>
          </cell>
          <cell r="N2081" t="str">
            <v>Ridgetown</v>
          </cell>
          <cell r="O2081" t="str">
            <v>Chatham-Kent</v>
          </cell>
          <cell r="P2081" t="str">
            <v>West</v>
          </cell>
        </row>
        <row r="2082">
          <cell r="C2082" t="str">
            <v>Old Muskoka - 100kW</v>
          </cell>
          <cell r="D2082" t="str">
            <v>COSOY Investments Limited</v>
          </cell>
          <cell r="E2082" t="str">
            <v>CO</v>
          </cell>
          <cell r="F2082">
            <v>42097</v>
          </cell>
          <cell r="G2082">
            <v>42107</v>
          </cell>
          <cell r="H2082">
            <v>49401</v>
          </cell>
          <cell r="I2082" t="str">
            <v>19 years, 11 months, 20 days</v>
          </cell>
          <cell r="J2082" t="str">
            <v>Renewables</v>
          </cell>
          <cell r="K2082" t="str">
            <v>Solar (Rooftop)</v>
          </cell>
          <cell r="L2082" t="str">
            <v>Solar</v>
          </cell>
          <cell r="M2082" t="str">
            <v>Dx</v>
          </cell>
          <cell r="N2082" t="str">
            <v>Orillia</v>
          </cell>
          <cell r="O2082" t="str">
            <v>Simcoe</v>
          </cell>
          <cell r="P2082" t="str">
            <v>Essa</v>
          </cell>
        </row>
        <row r="2083">
          <cell r="C2083" t="str">
            <v>2010-041-02</v>
          </cell>
          <cell r="D2083" t="str">
            <v>OYA Energy Fund LP</v>
          </cell>
          <cell r="E2083" t="str">
            <v>CO</v>
          </cell>
          <cell r="F2083">
            <v>42112</v>
          </cell>
          <cell r="G2083">
            <v>42052</v>
          </cell>
          <cell r="H2083">
            <v>49356</v>
          </cell>
          <cell r="I2083" t="str">
            <v>19 years, 11 months, 30 days</v>
          </cell>
          <cell r="J2083" t="str">
            <v>Renewables</v>
          </cell>
          <cell r="K2083" t="str">
            <v>Solar (Rooftop)</v>
          </cell>
          <cell r="L2083" t="str">
            <v>Solar</v>
          </cell>
          <cell r="M2083" t="str">
            <v>Dx</v>
          </cell>
          <cell r="N2083" t="str">
            <v>Windsor</v>
          </cell>
          <cell r="O2083" t="str">
            <v>Essex</v>
          </cell>
          <cell r="P2083" t="str">
            <v>West</v>
          </cell>
        </row>
        <row r="2084">
          <cell r="C2084" t="str">
            <v>St. Nicholas Catholic Elementary School</v>
          </cell>
          <cell r="D2084" t="str">
            <v>Potentia Solar 6 Limited Partnership</v>
          </cell>
          <cell r="E2084" t="str">
            <v>CO</v>
          </cell>
          <cell r="F2084">
            <v>42097</v>
          </cell>
          <cell r="G2084">
            <v>42228</v>
          </cell>
          <cell r="H2084">
            <v>49401</v>
          </cell>
          <cell r="I2084" t="str">
            <v>19 years, 7 months, 21 days</v>
          </cell>
          <cell r="J2084" t="str">
            <v>Renewables</v>
          </cell>
          <cell r="K2084" t="str">
            <v>Solar (Rooftop)</v>
          </cell>
          <cell r="L2084" t="str">
            <v>Solar</v>
          </cell>
          <cell r="M2084" t="str">
            <v>Dx</v>
          </cell>
          <cell r="N2084" t="str">
            <v>Waterloo</v>
          </cell>
          <cell r="O2084" t="str">
            <v>Waterloo</v>
          </cell>
          <cell r="P2084" t="str">
            <v>Southwest</v>
          </cell>
        </row>
        <row r="2085">
          <cell r="C2085" t="str">
            <v>St. David Catholic High School</v>
          </cell>
          <cell r="D2085" t="str">
            <v>Potentia Solar 6 Limited Partnership</v>
          </cell>
          <cell r="E2085" t="str">
            <v>CO</v>
          </cell>
          <cell r="F2085">
            <v>42097</v>
          </cell>
          <cell r="G2085">
            <v>42262</v>
          </cell>
          <cell r="H2085">
            <v>49401</v>
          </cell>
          <cell r="I2085" t="str">
            <v>19 years, 6 months, 18 days</v>
          </cell>
          <cell r="J2085" t="str">
            <v>Renewables</v>
          </cell>
          <cell r="K2085" t="str">
            <v>Solar (Rooftop)</v>
          </cell>
          <cell r="L2085" t="str">
            <v>Solar</v>
          </cell>
          <cell r="M2085" t="str">
            <v>Dx</v>
          </cell>
          <cell r="N2085" t="str">
            <v>Waterloo</v>
          </cell>
          <cell r="O2085" t="str">
            <v>Waterloo</v>
          </cell>
          <cell r="P2085" t="str">
            <v>Southwest</v>
          </cell>
        </row>
        <row r="2086">
          <cell r="C2086" t="str">
            <v>Ravensview</v>
          </cell>
          <cell r="D2086" t="str">
            <v>The Corporation of the City of Kingston</v>
          </cell>
          <cell r="E2086" t="str">
            <v>CO</v>
          </cell>
          <cell r="F2086">
            <v>42084</v>
          </cell>
          <cell r="G2086">
            <v>42240</v>
          </cell>
          <cell r="H2086">
            <v>49388</v>
          </cell>
          <cell r="I2086" t="str">
            <v>19 years, 6 months, 24 days</v>
          </cell>
          <cell r="J2086" t="str">
            <v>Renewables</v>
          </cell>
          <cell r="K2086" t="str">
            <v>Solar (Rooftop)</v>
          </cell>
          <cell r="L2086" t="str">
            <v>Solar</v>
          </cell>
          <cell r="M2086" t="str">
            <v>Dx</v>
          </cell>
          <cell r="N2086" t="str">
            <v>Kingston</v>
          </cell>
          <cell r="O2086" t="str">
            <v>Frontenac</v>
          </cell>
          <cell r="P2086" t="str">
            <v>East</v>
          </cell>
        </row>
        <row r="2087">
          <cell r="C2087" t="str">
            <v>St Margaret's PS</v>
          </cell>
          <cell r="D2087" t="str">
            <v>TSPS (Portfolio 2) Limited Partnership</v>
          </cell>
          <cell r="E2087" t="str">
            <v>CO</v>
          </cell>
          <cell r="F2087">
            <v>42611</v>
          </cell>
          <cell r="G2087">
            <v>42338</v>
          </cell>
          <cell r="H2087">
            <v>49642</v>
          </cell>
          <cell r="I2087" t="str">
            <v>19 years, 11 months, 30 days</v>
          </cell>
          <cell r="J2087" t="str">
            <v>Renewables</v>
          </cell>
          <cell r="K2087" t="str">
            <v>Solar (Rooftop)</v>
          </cell>
          <cell r="L2087" t="str">
            <v>Solar</v>
          </cell>
          <cell r="M2087" t="str">
            <v>Dx</v>
          </cell>
          <cell r="N2087" t="str">
            <v>Toronto</v>
          </cell>
          <cell r="O2087" t="str">
            <v>Toronto</v>
          </cell>
          <cell r="P2087" t="str">
            <v>Toronto</v>
          </cell>
        </row>
        <row r="2088">
          <cell r="C2088" t="str">
            <v>1353676 Ontario Limited</v>
          </cell>
          <cell r="D2088" t="str">
            <v>1353676 Ontario Ltd.</v>
          </cell>
          <cell r="E2088" t="str">
            <v>CO</v>
          </cell>
          <cell r="F2088">
            <v>42104</v>
          </cell>
          <cell r="G2088">
            <v>42212</v>
          </cell>
          <cell r="H2088">
            <v>49408</v>
          </cell>
          <cell r="I2088" t="str">
            <v>19 years, 8 months, 13 days</v>
          </cell>
          <cell r="J2088" t="str">
            <v>Renewables</v>
          </cell>
          <cell r="K2088" t="str">
            <v>Solar (Rooftop)</v>
          </cell>
          <cell r="L2088" t="str">
            <v>Solar</v>
          </cell>
          <cell r="M2088" t="str">
            <v>Dx</v>
          </cell>
          <cell r="N2088" t="str">
            <v>Moorefield</v>
          </cell>
          <cell r="O2088" t="str">
            <v>Wellington</v>
          </cell>
          <cell r="P2088" t="str">
            <v>Southwest</v>
          </cell>
        </row>
        <row r="2089">
          <cell r="C2089" t="str">
            <v>Eekshinesolar</v>
          </cell>
          <cell r="D2089" t="str">
            <v>William Joseph Eek and Avia Freda Eek</v>
          </cell>
          <cell r="E2089" t="str">
            <v>CO</v>
          </cell>
          <cell r="F2089">
            <v>42070</v>
          </cell>
          <cell r="G2089">
            <v>42249</v>
          </cell>
          <cell r="H2089">
            <v>49374</v>
          </cell>
          <cell r="I2089" t="str">
            <v>19 years, 6 months, 4 days</v>
          </cell>
          <cell r="J2089" t="str">
            <v>Renewables</v>
          </cell>
          <cell r="K2089" t="str">
            <v>Solar (Rooftop)</v>
          </cell>
          <cell r="L2089" t="str">
            <v>Solar</v>
          </cell>
          <cell r="M2089" t="str">
            <v>Dx</v>
          </cell>
          <cell r="N2089" t="str">
            <v>Newmarket</v>
          </cell>
          <cell r="O2089" t="str">
            <v>York</v>
          </cell>
          <cell r="P2089" t="str">
            <v>Essa</v>
          </cell>
        </row>
        <row r="2090">
          <cell r="C2090" t="str">
            <v>Derrydown PS</v>
          </cell>
          <cell r="D2090" t="str">
            <v>TSPS (Portfolio 1) Limited Partnership</v>
          </cell>
          <cell r="E2090" t="str">
            <v>CO</v>
          </cell>
          <cell r="F2090">
            <v>42588</v>
          </cell>
          <cell r="G2090">
            <v>42185</v>
          </cell>
          <cell r="H2090">
            <v>49489</v>
          </cell>
          <cell r="I2090" t="str">
            <v>19 years, 11 months, 30 days</v>
          </cell>
          <cell r="J2090" t="str">
            <v>Renewables</v>
          </cell>
          <cell r="K2090" t="str">
            <v>Solar (Rooftop)</v>
          </cell>
          <cell r="L2090" t="str">
            <v>Solar</v>
          </cell>
          <cell r="M2090" t="str">
            <v>Dx</v>
          </cell>
          <cell r="N2090" t="str">
            <v>Toronto</v>
          </cell>
          <cell r="O2090" t="str">
            <v>Toronto</v>
          </cell>
          <cell r="P2090" t="str">
            <v>Toronto</v>
          </cell>
        </row>
        <row r="2091">
          <cell r="C2091" t="str">
            <v>Grey Owl Jr PS</v>
          </cell>
          <cell r="D2091" t="str">
            <v>TSPS (Portfolio 1) Limited Partnership</v>
          </cell>
          <cell r="E2091" t="str">
            <v>CO</v>
          </cell>
          <cell r="F2091">
            <v>42597</v>
          </cell>
          <cell r="G2091">
            <v>42003</v>
          </cell>
          <cell r="H2091">
            <v>49307</v>
          </cell>
          <cell r="I2091" t="str">
            <v>19 years, 11 months, 29 days</v>
          </cell>
          <cell r="J2091" t="str">
            <v>Renewables</v>
          </cell>
          <cell r="K2091" t="str">
            <v>Solar (Rooftop)</v>
          </cell>
          <cell r="L2091" t="str">
            <v>Solar</v>
          </cell>
          <cell r="M2091" t="str">
            <v>Dx</v>
          </cell>
          <cell r="N2091" t="str">
            <v>Toronto</v>
          </cell>
          <cell r="O2091" t="str">
            <v>Toronto</v>
          </cell>
          <cell r="P2091" t="str">
            <v>Toronto</v>
          </cell>
        </row>
        <row r="2092">
          <cell r="C2092" t="str">
            <v>224 7th Ave, Hanover</v>
          </cell>
          <cell r="D2092" t="str">
            <v>Solartek Green Earth Rooftop LP</v>
          </cell>
          <cell r="E2092" t="str">
            <v>CO</v>
          </cell>
          <cell r="F2092">
            <v>42117</v>
          </cell>
          <cell r="G2092">
            <v>42286</v>
          </cell>
          <cell r="H2092">
            <v>49421</v>
          </cell>
          <cell r="I2092" t="str">
            <v>19 years, 6 months, 13 days</v>
          </cell>
          <cell r="J2092" t="str">
            <v>Renewables</v>
          </cell>
          <cell r="K2092" t="str">
            <v>Solar (Rooftop)</v>
          </cell>
          <cell r="L2092" t="str">
            <v>Solar</v>
          </cell>
          <cell r="M2092" t="str">
            <v>Dx</v>
          </cell>
          <cell r="N2092" t="str">
            <v>Hanover</v>
          </cell>
          <cell r="O2092" t="str">
            <v>Grey</v>
          </cell>
          <cell r="P2092" t="str">
            <v>Southwest</v>
          </cell>
        </row>
        <row r="2093">
          <cell r="C2093" t="str">
            <v>Newtonbrook SS</v>
          </cell>
          <cell r="D2093" t="str">
            <v>TSPS (Portfolio 1) Limited Partnership</v>
          </cell>
          <cell r="E2093" t="str">
            <v>CO</v>
          </cell>
          <cell r="F2093">
            <v>42604</v>
          </cell>
          <cell r="G2093">
            <v>42185</v>
          </cell>
          <cell r="H2093">
            <v>49489</v>
          </cell>
          <cell r="I2093" t="str">
            <v>19 years, 11 months, 30 days</v>
          </cell>
          <cell r="J2093" t="str">
            <v>Renewables</v>
          </cell>
          <cell r="K2093" t="str">
            <v>Solar (Rooftop)</v>
          </cell>
          <cell r="L2093" t="str">
            <v>Solar</v>
          </cell>
          <cell r="M2093" t="str">
            <v>Dx</v>
          </cell>
          <cell r="N2093" t="str">
            <v>Toronto</v>
          </cell>
          <cell r="O2093" t="str">
            <v>Toronto</v>
          </cell>
          <cell r="P2093" t="str">
            <v>Toronto</v>
          </cell>
        </row>
        <row r="2094">
          <cell r="C2094" t="str">
            <v>YCDSB - Divine Mercy</v>
          </cell>
          <cell r="D2094" t="str">
            <v>Potentia Solar 7 Limited Partnership</v>
          </cell>
          <cell r="E2094" t="str">
            <v>CO</v>
          </cell>
          <cell r="F2094">
            <v>42068</v>
          </cell>
          <cell r="G2094">
            <v>42158</v>
          </cell>
          <cell r="H2094">
            <v>49372</v>
          </cell>
          <cell r="I2094" t="str">
            <v>19 years, 9 months, 1 days</v>
          </cell>
          <cell r="J2094" t="str">
            <v>Renewables</v>
          </cell>
          <cell r="K2094" t="str">
            <v>Solar (Rooftop)</v>
          </cell>
          <cell r="L2094" t="str">
            <v>Solar</v>
          </cell>
          <cell r="M2094" t="str">
            <v>Dx</v>
          </cell>
          <cell r="N2094" t="str">
            <v>Vaughan</v>
          </cell>
          <cell r="O2094" t="str">
            <v>York</v>
          </cell>
          <cell r="P2094" t="str">
            <v>Toronto</v>
          </cell>
        </row>
        <row r="2095">
          <cell r="C2095" t="str">
            <v>50-54 Wingold Avenue RT</v>
          </cell>
          <cell r="D2095" t="str">
            <v>Tenedos GP 1 Ltd.</v>
          </cell>
          <cell r="E2095" t="str">
            <v>CO</v>
          </cell>
          <cell r="F2095">
            <v>42112</v>
          </cell>
          <cell r="G2095">
            <v>42111</v>
          </cell>
          <cell r="H2095">
            <v>49415</v>
          </cell>
          <cell r="I2095" t="str">
            <v>19 years, 11 months, 30 days</v>
          </cell>
          <cell r="J2095" t="str">
            <v>Renewables</v>
          </cell>
          <cell r="K2095" t="str">
            <v>Solar (Rooftop)</v>
          </cell>
          <cell r="L2095" t="str">
            <v>Solar</v>
          </cell>
          <cell r="M2095" t="str">
            <v>Dx</v>
          </cell>
          <cell r="N2095" t="str">
            <v>Toronto</v>
          </cell>
          <cell r="O2095" t="str">
            <v>Toronto</v>
          </cell>
          <cell r="P2095" t="str">
            <v>Toronto</v>
          </cell>
        </row>
        <row r="2096">
          <cell r="C2096" t="str">
            <v>YCDSB - St. Emily</v>
          </cell>
          <cell r="D2096" t="str">
            <v>Potentia Solar 7 Limited Partnership</v>
          </cell>
          <cell r="E2096" t="str">
            <v>CO</v>
          </cell>
          <cell r="F2096">
            <v>42068</v>
          </cell>
          <cell r="G2096">
            <v>41996</v>
          </cell>
          <cell r="H2096">
            <v>49300</v>
          </cell>
          <cell r="I2096" t="str">
            <v>19 years, 11 months, 29 days</v>
          </cell>
          <cell r="J2096" t="str">
            <v>Renewables</v>
          </cell>
          <cell r="K2096" t="str">
            <v>Solar (Rooftop)</v>
          </cell>
          <cell r="L2096" t="str">
            <v>Solar</v>
          </cell>
          <cell r="M2096" t="str">
            <v>Dx</v>
          </cell>
          <cell r="N2096" t="str">
            <v>Woodbridge</v>
          </cell>
          <cell r="O2096" t="str">
            <v>York</v>
          </cell>
          <cell r="P2096" t="str">
            <v>Toronto</v>
          </cell>
        </row>
        <row r="2097">
          <cell r="C2097" t="str">
            <v>Elliott</v>
          </cell>
          <cell r="D2097" t="str">
            <v>Hay Bay Solar LP</v>
          </cell>
          <cell r="E2097" t="str">
            <v>CO</v>
          </cell>
          <cell r="F2097">
            <v>42117</v>
          </cell>
          <cell r="G2097">
            <v>42335</v>
          </cell>
          <cell r="H2097">
            <v>49421</v>
          </cell>
          <cell r="I2097" t="str">
            <v>19 years, 4 months, 26 days</v>
          </cell>
          <cell r="J2097" t="str">
            <v>Renewables</v>
          </cell>
          <cell r="K2097" t="str">
            <v>Solar (Rooftop)</v>
          </cell>
          <cell r="L2097" t="str">
            <v>Solar</v>
          </cell>
          <cell r="M2097" t="str">
            <v>Dx</v>
          </cell>
          <cell r="N2097" t="str">
            <v>Napanee</v>
          </cell>
          <cell r="O2097" t="str">
            <v>Hastings</v>
          </cell>
          <cell r="P2097" t="str">
            <v>East</v>
          </cell>
        </row>
        <row r="2098">
          <cell r="C2098" t="str">
            <v>Norseman JMS</v>
          </cell>
          <cell r="D2098" t="str">
            <v>TSPS (Portfolio 1) Limited Partnership</v>
          </cell>
          <cell r="E2098" t="str">
            <v>CO</v>
          </cell>
          <cell r="F2098">
            <v>42604</v>
          </cell>
          <cell r="G2098">
            <v>42185</v>
          </cell>
          <cell r="H2098">
            <v>49489</v>
          </cell>
          <cell r="I2098" t="str">
            <v>19 years, 11 months, 30 days</v>
          </cell>
          <cell r="J2098" t="str">
            <v>Renewables</v>
          </cell>
          <cell r="K2098" t="str">
            <v>Solar (Rooftop)</v>
          </cell>
          <cell r="L2098" t="str">
            <v>Solar</v>
          </cell>
          <cell r="M2098" t="str">
            <v>Dx</v>
          </cell>
          <cell r="N2098" t="str">
            <v>Toronto</v>
          </cell>
          <cell r="O2098" t="str">
            <v>Toronto</v>
          </cell>
          <cell r="P2098" t="str">
            <v>Toronto</v>
          </cell>
        </row>
        <row r="2099">
          <cell r="C2099" t="str">
            <v>Weber Solar</v>
          </cell>
          <cell r="D2099" t="str">
            <v>SunSaver 2 Limited</v>
          </cell>
          <cell r="E2099" t="str">
            <v>CO</v>
          </cell>
          <cell r="F2099">
            <v>42110</v>
          </cell>
          <cell r="G2099">
            <v>42206</v>
          </cell>
          <cell r="H2099">
            <v>49414</v>
          </cell>
          <cell r="I2099" t="str">
            <v>19 years, 8 months, 25 days</v>
          </cell>
          <cell r="J2099" t="str">
            <v>Renewables</v>
          </cell>
          <cell r="K2099" t="str">
            <v>Solar (Rooftop)</v>
          </cell>
          <cell r="L2099" t="str">
            <v>Solar</v>
          </cell>
          <cell r="M2099" t="str">
            <v>Dx</v>
          </cell>
          <cell r="N2099" t="str">
            <v>Kincardine</v>
          </cell>
          <cell r="O2099" t="str">
            <v>Bruce</v>
          </cell>
          <cell r="P2099" t="str">
            <v>Bruce</v>
          </cell>
        </row>
        <row r="2100">
          <cell r="C2100" t="str">
            <v>Teletech</v>
          </cell>
          <cell r="D2100" t="str">
            <v>Orillia Power Generation Corporation</v>
          </cell>
          <cell r="E2100" t="str">
            <v>CO</v>
          </cell>
          <cell r="F2100">
            <v>42054</v>
          </cell>
          <cell r="G2100">
            <v>42081</v>
          </cell>
          <cell r="H2100">
            <v>49358</v>
          </cell>
          <cell r="I2100" t="str">
            <v>19 years, 11 months, 0 days</v>
          </cell>
          <cell r="J2100" t="str">
            <v>Renewables</v>
          </cell>
          <cell r="K2100" t="str">
            <v>Solar (Rooftop)</v>
          </cell>
          <cell r="L2100" t="str">
            <v>Solar</v>
          </cell>
          <cell r="M2100" t="str">
            <v>Dx</v>
          </cell>
          <cell r="N2100" t="str">
            <v>Orillia</v>
          </cell>
          <cell r="O2100" t="str">
            <v>Simcoe</v>
          </cell>
          <cell r="P2100" t="str">
            <v>Essa</v>
          </cell>
        </row>
        <row r="2101">
          <cell r="C2101" t="str">
            <v>197ChristensenBrid15</v>
          </cell>
          <cell r="D2101" t="str">
            <v>Remy Peeters</v>
          </cell>
          <cell r="E2101" t="str">
            <v>CO</v>
          </cell>
          <cell r="F2101">
            <v>42102</v>
          </cell>
          <cell r="G2101">
            <v>42117</v>
          </cell>
          <cell r="H2101">
            <v>49406</v>
          </cell>
          <cell r="I2101" t="str">
            <v>19 years, 11 months, 15 days</v>
          </cell>
          <cell r="J2101" t="str">
            <v>Renewables</v>
          </cell>
          <cell r="K2101" t="str">
            <v>Solar (Rooftop)</v>
          </cell>
          <cell r="L2101" t="str">
            <v>Solar</v>
          </cell>
          <cell r="M2101" t="str">
            <v>Dx</v>
          </cell>
          <cell r="N2101" t="str">
            <v>Bridgenorth</v>
          </cell>
          <cell r="O2101" t="str">
            <v>Peterborough</v>
          </cell>
          <cell r="P2101" t="str">
            <v>East</v>
          </cell>
        </row>
        <row r="2102">
          <cell r="C2102" t="str">
            <v>Pierre Laporte MS</v>
          </cell>
          <cell r="D2102" t="str">
            <v>TSPS (Portfolio 1) Limited Partnership</v>
          </cell>
          <cell r="E2102" t="str">
            <v>CO</v>
          </cell>
          <cell r="F2102">
            <v>42604</v>
          </cell>
          <cell r="G2102">
            <v>42151</v>
          </cell>
          <cell r="H2102">
            <v>49455</v>
          </cell>
          <cell r="I2102" t="str">
            <v>19 years, 11 months, 29 days</v>
          </cell>
          <cell r="J2102" t="str">
            <v>Renewables</v>
          </cell>
          <cell r="K2102" t="str">
            <v>Solar (Rooftop)</v>
          </cell>
          <cell r="L2102" t="str">
            <v>Solar</v>
          </cell>
          <cell r="M2102" t="str">
            <v>Dx</v>
          </cell>
          <cell r="N2102" t="str">
            <v>Toronto</v>
          </cell>
          <cell r="O2102" t="str">
            <v>Toronto</v>
          </cell>
          <cell r="P2102" t="str">
            <v>Toronto</v>
          </cell>
        </row>
        <row r="2103">
          <cell r="C2103" t="str">
            <v>Trillium Sales Group</v>
          </cell>
          <cell r="D2103" t="str">
            <v>Solblack SFN Inc.</v>
          </cell>
          <cell r="E2103" t="str">
            <v>CO</v>
          </cell>
          <cell r="F2103">
            <v>42117</v>
          </cell>
          <cell r="G2103">
            <v>42298</v>
          </cell>
          <cell r="H2103">
            <v>49421</v>
          </cell>
          <cell r="I2103" t="str">
            <v>19 years, 6 months, 1 days</v>
          </cell>
          <cell r="J2103" t="str">
            <v>Renewables</v>
          </cell>
          <cell r="K2103" t="str">
            <v>Solar (Rooftop)</v>
          </cell>
          <cell r="L2103" t="str">
            <v>Solar</v>
          </cell>
          <cell r="M2103" t="str">
            <v>Dx</v>
          </cell>
          <cell r="N2103" t="str">
            <v>Toronto</v>
          </cell>
          <cell r="O2103" t="str">
            <v>Toronto</v>
          </cell>
          <cell r="P2103" t="str">
            <v>Toronto</v>
          </cell>
        </row>
        <row r="2104">
          <cell r="C2104" t="str">
            <v>Joyce PS</v>
          </cell>
          <cell r="D2104" t="str">
            <v>TSPS (Portfolio 2) Limited Partnership</v>
          </cell>
          <cell r="E2104" t="str">
            <v>CO</v>
          </cell>
          <cell r="F2104">
            <v>42602</v>
          </cell>
          <cell r="G2104">
            <v>42335</v>
          </cell>
          <cell r="H2104">
            <v>49639</v>
          </cell>
          <cell r="I2104" t="str">
            <v>19 years, 11 months, 30 days</v>
          </cell>
          <cell r="J2104" t="str">
            <v>Renewables</v>
          </cell>
          <cell r="K2104" t="str">
            <v>Solar (Rooftop)</v>
          </cell>
          <cell r="L2104" t="str">
            <v>Solar</v>
          </cell>
          <cell r="M2104" t="str">
            <v>Dx</v>
          </cell>
          <cell r="N2104" t="str">
            <v>Toronto</v>
          </cell>
          <cell r="O2104" t="str">
            <v>Toronto</v>
          </cell>
          <cell r="P2104" t="str">
            <v>Toronto</v>
          </cell>
        </row>
        <row r="2105">
          <cell r="C2105" t="str">
            <v>AGRIS Solar (Hillier)</v>
          </cell>
          <cell r="D2105" t="str">
            <v>AGRIS Solar Co-operative Inc.</v>
          </cell>
          <cell r="E2105" t="str">
            <v>CO</v>
          </cell>
          <cell r="F2105">
            <v>42715</v>
          </cell>
          <cell r="G2105">
            <v>42230</v>
          </cell>
          <cell r="H2105">
            <v>49534</v>
          </cell>
          <cell r="I2105" t="str">
            <v>19 years, 11 months, 30 days</v>
          </cell>
          <cell r="J2105" t="str">
            <v>Renewables</v>
          </cell>
          <cell r="K2105" t="str">
            <v>Solar (Ground Mounted)</v>
          </cell>
          <cell r="L2105" t="str">
            <v>Solar</v>
          </cell>
          <cell r="M2105" t="str">
            <v>Dx</v>
          </cell>
          <cell r="N2105" t="str">
            <v>Consecon</v>
          </cell>
          <cell r="O2105" t="str">
            <v>Prince Edward</v>
          </cell>
          <cell r="P2105" t="str">
            <v>East</v>
          </cell>
        </row>
        <row r="2106">
          <cell r="C2106" t="str">
            <v>St. Marcellinus</v>
          </cell>
          <cell r="D2106" t="str">
            <v>Dufferin-Peel Catholic District School Board</v>
          </cell>
          <cell r="E2106" t="str">
            <v>CO</v>
          </cell>
          <cell r="F2106">
            <v>42112</v>
          </cell>
          <cell r="G2106">
            <v>42094</v>
          </cell>
          <cell r="H2106">
            <v>49398</v>
          </cell>
          <cell r="I2106" t="str">
            <v>19 years, 11 months, 27 days</v>
          </cell>
          <cell r="J2106" t="str">
            <v>Renewables</v>
          </cell>
          <cell r="K2106" t="str">
            <v>Solar (Rooftop)</v>
          </cell>
          <cell r="L2106" t="str">
            <v>Solar</v>
          </cell>
          <cell r="M2106" t="str">
            <v>Dx</v>
          </cell>
          <cell r="N2106" t="str">
            <v>Mississauga</v>
          </cell>
          <cell r="O2106" t="str">
            <v>Peel</v>
          </cell>
          <cell r="P2106" t="str">
            <v>Toronto</v>
          </cell>
        </row>
        <row r="2107">
          <cell r="C2107" t="str">
            <v>Rotary Place</v>
          </cell>
          <cell r="D2107" t="str">
            <v>Orillia Power Generation Corporation</v>
          </cell>
          <cell r="E2107" t="str">
            <v>CO</v>
          </cell>
          <cell r="F2107">
            <v>42054</v>
          </cell>
          <cell r="G2107">
            <v>42048</v>
          </cell>
          <cell r="H2107">
            <v>49352</v>
          </cell>
          <cell r="I2107" t="str">
            <v>19 years, 11 months, 30 days</v>
          </cell>
          <cell r="J2107" t="str">
            <v>Renewables</v>
          </cell>
          <cell r="K2107" t="str">
            <v>Solar (Rooftop)</v>
          </cell>
          <cell r="L2107" t="str">
            <v>Solar</v>
          </cell>
          <cell r="M2107" t="str">
            <v>Dx</v>
          </cell>
          <cell r="N2107" t="str">
            <v>Orillia</v>
          </cell>
          <cell r="O2107" t="str">
            <v>Simcoe</v>
          </cell>
          <cell r="P2107" t="str">
            <v>Essa</v>
          </cell>
        </row>
        <row r="2108">
          <cell r="C2108" t="str">
            <v>Topcliff PS</v>
          </cell>
          <cell r="D2108" t="str">
            <v>TSPS (Portfolio 2) Limited Partnership</v>
          </cell>
          <cell r="E2108" t="str">
            <v>CO</v>
          </cell>
          <cell r="F2108">
            <v>42611</v>
          </cell>
          <cell r="G2108">
            <v>42622</v>
          </cell>
          <cell r="H2108">
            <v>49915</v>
          </cell>
          <cell r="I2108" t="str">
            <v>19 years, 11 months, 19 days</v>
          </cell>
          <cell r="J2108" t="str">
            <v>Renewables</v>
          </cell>
          <cell r="K2108" t="str">
            <v>Solar (Rooftop)</v>
          </cell>
          <cell r="L2108" t="str">
            <v>Solar</v>
          </cell>
          <cell r="M2108" t="str">
            <v>Dx</v>
          </cell>
          <cell r="N2108" t="str">
            <v>Toronto</v>
          </cell>
          <cell r="O2108" t="str">
            <v>Toronto</v>
          </cell>
          <cell r="P2108" t="str">
            <v>Toronto</v>
          </cell>
        </row>
        <row r="2109">
          <cell r="C2109" t="str">
            <v>Dean Solar</v>
          </cell>
          <cell r="D2109" t="str">
            <v>1847698 Ontario Inc.</v>
          </cell>
          <cell r="E2109" t="str">
            <v>CO</v>
          </cell>
          <cell r="F2109">
            <v>42167</v>
          </cell>
          <cell r="G2109">
            <v>42069</v>
          </cell>
          <cell r="H2109">
            <v>49373</v>
          </cell>
          <cell r="I2109" t="str">
            <v>19 years, 11 months, 27 days</v>
          </cell>
          <cell r="J2109" t="str">
            <v>Renewables</v>
          </cell>
          <cell r="K2109" t="str">
            <v>Solar (Rooftop)</v>
          </cell>
          <cell r="L2109" t="str">
            <v>Solar</v>
          </cell>
          <cell r="M2109" t="str">
            <v>Dx</v>
          </cell>
          <cell r="N2109" t="str">
            <v>Chatham</v>
          </cell>
          <cell r="O2109" t="str">
            <v>Chatham-Kent</v>
          </cell>
          <cell r="P2109" t="str">
            <v>West</v>
          </cell>
        </row>
        <row r="2110">
          <cell r="C2110" t="str">
            <v>VGN-130 Pennsylvania</v>
          </cell>
          <cell r="D2110" t="str">
            <v>Métis Nation of Ontario - BrightRoof Solar LP</v>
          </cell>
          <cell r="E2110" t="str">
            <v>CO</v>
          </cell>
          <cell r="F2110">
            <v>42075</v>
          </cell>
          <cell r="G2110">
            <v>42150</v>
          </cell>
          <cell r="H2110">
            <v>49379</v>
          </cell>
          <cell r="I2110" t="str">
            <v>19 years, 9 months, 13 days</v>
          </cell>
          <cell r="J2110" t="str">
            <v>Renewables</v>
          </cell>
          <cell r="K2110" t="str">
            <v>Solar (Rooftop)</v>
          </cell>
          <cell r="L2110" t="str">
            <v>Solar</v>
          </cell>
          <cell r="M2110" t="str">
            <v>Dx</v>
          </cell>
          <cell r="N2110" t="str">
            <v>Concord</v>
          </cell>
          <cell r="O2110" t="str">
            <v>York</v>
          </cell>
          <cell r="P2110" t="str">
            <v>Toronto</v>
          </cell>
        </row>
        <row r="2111">
          <cell r="C2111" t="str">
            <v>8681 Canyon Road - Non-Rooftop</v>
          </cell>
          <cell r="D2111" t="str">
            <v>Canyon Farm Inc.</v>
          </cell>
          <cell r="E2111" t="str">
            <v>CO</v>
          </cell>
          <cell r="F2111">
            <v>42987</v>
          </cell>
          <cell r="G2111">
            <v>42466</v>
          </cell>
          <cell r="H2111">
            <v>49770</v>
          </cell>
          <cell r="I2111" t="str">
            <v>19 years, 11 months, 30 days</v>
          </cell>
          <cell r="J2111" t="str">
            <v>Renewables</v>
          </cell>
          <cell r="K2111" t="str">
            <v>Solar (Ground Mounted)</v>
          </cell>
          <cell r="L2111" t="str">
            <v>Solar</v>
          </cell>
          <cell r="M2111" t="str">
            <v>Dx</v>
          </cell>
          <cell r="N2111" t="str">
            <v>Campbellville</v>
          </cell>
          <cell r="O2111" t="str">
            <v>Halton</v>
          </cell>
          <cell r="P2111" t="str">
            <v>Southwest</v>
          </cell>
        </row>
        <row r="2112">
          <cell r="C2112" t="str">
            <v>Samuel Hearne Middle School</v>
          </cell>
          <cell r="D2112" t="str">
            <v>TSPS (Portfolio 1) Limited Partnership</v>
          </cell>
          <cell r="E2112" t="str">
            <v>CO</v>
          </cell>
          <cell r="F2112">
            <v>42609</v>
          </cell>
          <cell r="G2112">
            <v>41918</v>
          </cell>
          <cell r="H2112">
            <v>49222</v>
          </cell>
          <cell r="I2112" t="str">
            <v>19 years, 11 months, 29 days</v>
          </cell>
          <cell r="J2112" t="str">
            <v>Renewables</v>
          </cell>
          <cell r="K2112" t="str">
            <v>Solar (Rooftop)</v>
          </cell>
          <cell r="L2112" t="str">
            <v>Solar</v>
          </cell>
          <cell r="M2112" t="str">
            <v>Dx</v>
          </cell>
          <cell r="N2112" t="str">
            <v>Toronto</v>
          </cell>
          <cell r="O2112" t="str">
            <v>Toronto</v>
          </cell>
          <cell r="P2112" t="str">
            <v>Toronto</v>
          </cell>
        </row>
        <row r="2113">
          <cell r="C2113" t="str">
            <v>PRO II Energy</v>
          </cell>
          <cell r="D2113" t="str">
            <v>CEW SIMCOE I</v>
          </cell>
          <cell r="E2113" t="str">
            <v>CO</v>
          </cell>
          <cell r="F2113">
            <v>42117</v>
          </cell>
          <cell r="G2113">
            <v>42279</v>
          </cell>
          <cell r="H2113">
            <v>49421</v>
          </cell>
          <cell r="I2113" t="str">
            <v>19 years, 6 months, 20 days</v>
          </cell>
          <cell r="J2113" t="str">
            <v>Renewables</v>
          </cell>
          <cell r="K2113" t="str">
            <v>Solar (Rooftop)</v>
          </cell>
          <cell r="L2113" t="str">
            <v>Solar</v>
          </cell>
          <cell r="M2113" t="str">
            <v>Dx</v>
          </cell>
          <cell r="N2113" t="str">
            <v>Zurich</v>
          </cell>
          <cell r="O2113" t="str">
            <v>Huron</v>
          </cell>
          <cell r="P2113" t="str">
            <v>Southwest</v>
          </cell>
        </row>
        <row r="2114">
          <cell r="C2114" t="str">
            <v>Cedar Drive Jr PS</v>
          </cell>
          <cell r="D2114" t="str">
            <v>TSPS (Portfolio 2) Limited Partnership</v>
          </cell>
          <cell r="E2114" t="str">
            <v>CO</v>
          </cell>
          <cell r="F2114">
            <v>42581</v>
          </cell>
          <cell r="G2114">
            <v>42331</v>
          </cell>
          <cell r="H2114">
            <v>49635</v>
          </cell>
          <cell r="I2114" t="str">
            <v>19 years, 11 months, 30 days</v>
          </cell>
          <cell r="J2114" t="str">
            <v>Renewables</v>
          </cell>
          <cell r="K2114" t="str">
            <v>Solar (Rooftop)</v>
          </cell>
          <cell r="L2114" t="str">
            <v>Solar</v>
          </cell>
          <cell r="M2114" t="str">
            <v>Dx</v>
          </cell>
          <cell r="N2114" t="str">
            <v>Toronto</v>
          </cell>
          <cell r="O2114" t="str">
            <v>Toronto</v>
          </cell>
          <cell r="P2114" t="str">
            <v>Toronto</v>
          </cell>
        </row>
        <row r="2115">
          <cell r="C2115" t="str">
            <v>23 Giroux</v>
          </cell>
          <cell r="D2115" t="str">
            <v>Rural Energy Limited Partnership</v>
          </cell>
          <cell r="E2115" t="str">
            <v>CO</v>
          </cell>
          <cell r="F2115">
            <v>42757</v>
          </cell>
          <cell r="G2115">
            <v>42486</v>
          </cell>
          <cell r="H2115">
            <v>49790</v>
          </cell>
          <cell r="I2115" t="str">
            <v>19 years, 11 months, 30 days</v>
          </cell>
          <cell r="J2115" t="str">
            <v>Renewables</v>
          </cell>
          <cell r="K2115" t="str">
            <v>Solar (Ground Mounted)</v>
          </cell>
          <cell r="L2115" t="str">
            <v>Solar</v>
          </cell>
          <cell r="M2115" t="str">
            <v>Dx</v>
          </cell>
          <cell r="N2115" t="str">
            <v>River Valley</v>
          </cell>
          <cell r="O2115" t="str">
            <v>Nipissing</v>
          </cell>
          <cell r="P2115" t="str">
            <v>Northeast</v>
          </cell>
        </row>
        <row r="2116">
          <cell r="C2116" t="str">
            <v>YCDSB - Prince of Peace</v>
          </cell>
          <cell r="D2116" t="str">
            <v>Potentia Solar 7 Limited Partnership</v>
          </cell>
          <cell r="E2116" t="str">
            <v>CO</v>
          </cell>
          <cell r="F2116">
            <v>42068</v>
          </cell>
          <cell r="G2116">
            <v>42194</v>
          </cell>
          <cell r="H2116">
            <v>49372</v>
          </cell>
          <cell r="I2116" t="str">
            <v>19 years, 7 months, 23 days</v>
          </cell>
          <cell r="J2116" t="str">
            <v>Renewables</v>
          </cell>
          <cell r="K2116" t="str">
            <v>Solar (Rooftop)</v>
          </cell>
          <cell r="L2116" t="str">
            <v>Solar</v>
          </cell>
          <cell r="M2116" t="str">
            <v>Dx</v>
          </cell>
          <cell r="N2116" t="str">
            <v>Keswick</v>
          </cell>
          <cell r="O2116" t="str">
            <v>York</v>
          </cell>
          <cell r="P2116" t="str">
            <v>Essa</v>
          </cell>
        </row>
        <row r="2117">
          <cell r="C2117" t="str">
            <v>5105 Tomken Road RT</v>
          </cell>
          <cell r="D2117" t="str">
            <v>JCM Solar GP1 Ltd.</v>
          </cell>
          <cell r="E2117" t="str">
            <v>CO</v>
          </cell>
          <cell r="F2117">
            <v>42112</v>
          </cell>
          <cell r="G2117">
            <v>42167</v>
          </cell>
          <cell r="H2117">
            <v>49416</v>
          </cell>
          <cell r="I2117" t="str">
            <v>19 years, 10 months, 5 days</v>
          </cell>
          <cell r="J2117" t="str">
            <v>Renewables</v>
          </cell>
          <cell r="K2117" t="str">
            <v>Solar (Rooftop)</v>
          </cell>
          <cell r="L2117" t="str">
            <v>Solar</v>
          </cell>
          <cell r="M2117" t="str">
            <v>Dx</v>
          </cell>
          <cell r="N2117" t="str">
            <v>Mississauga</v>
          </cell>
          <cell r="O2117" t="str">
            <v>Peel</v>
          </cell>
          <cell r="P2117" t="str">
            <v>Toronto</v>
          </cell>
        </row>
        <row r="2118">
          <cell r="C2118" t="str">
            <v>Willowdale Christian School Solar Project</v>
          </cell>
          <cell r="D2118" t="str">
            <v>Calvin Christian School Society</v>
          </cell>
          <cell r="E2118" t="str">
            <v>CO</v>
          </cell>
          <cell r="F2118">
            <v>42104</v>
          </cell>
          <cell r="G2118">
            <v>41974</v>
          </cell>
          <cell r="H2118">
            <v>49278</v>
          </cell>
          <cell r="I2118" t="str">
            <v>19 years, 11 months, 29 days</v>
          </cell>
          <cell r="J2118" t="str">
            <v>Renewables</v>
          </cell>
          <cell r="K2118" t="str">
            <v>Solar (Rooftop)</v>
          </cell>
          <cell r="L2118" t="str">
            <v>Solar</v>
          </cell>
          <cell r="M2118" t="str">
            <v>Dx</v>
          </cell>
          <cell r="N2118" t="str">
            <v>Toronto</v>
          </cell>
          <cell r="O2118" t="str">
            <v>Toronto</v>
          </cell>
          <cell r="P2118" t="str">
            <v>Toronto</v>
          </cell>
        </row>
        <row r="2119">
          <cell r="C2119" t="str">
            <v>Lambton-Kingsway JMS</v>
          </cell>
          <cell r="D2119" t="str">
            <v>TSPS (Portfolio 1) Limited Partnership</v>
          </cell>
          <cell r="E2119" t="str">
            <v>CO</v>
          </cell>
          <cell r="F2119">
            <v>42602</v>
          </cell>
          <cell r="G2119">
            <v>42446</v>
          </cell>
          <cell r="H2119">
            <v>49750</v>
          </cell>
          <cell r="I2119" t="str">
            <v>19 years, 11 months, 28 days</v>
          </cell>
          <cell r="J2119" t="str">
            <v>Renewables</v>
          </cell>
          <cell r="K2119" t="str">
            <v>Solar (Rooftop)</v>
          </cell>
          <cell r="L2119" t="str">
            <v>Solar</v>
          </cell>
          <cell r="M2119" t="str">
            <v>Dx</v>
          </cell>
          <cell r="N2119" t="str">
            <v>Toronto</v>
          </cell>
          <cell r="O2119" t="str">
            <v>Toronto</v>
          </cell>
          <cell r="P2119" t="str">
            <v>Toronto</v>
          </cell>
        </row>
        <row r="2120">
          <cell r="C2120" t="str">
            <v>Storage World Parkinson Road</v>
          </cell>
          <cell r="D2120" t="str">
            <v>Sequoyah Strategies Inc.</v>
          </cell>
          <cell r="E2120" t="str">
            <v>CO</v>
          </cell>
          <cell r="F2120">
            <v>42063</v>
          </cell>
          <cell r="G2120">
            <v>42067</v>
          </cell>
          <cell r="H2120">
            <v>49367</v>
          </cell>
          <cell r="I2120" t="str">
            <v>19 years, 11 months, 23 days</v>
          </cell>
          <cell r="J2120" t="str">
            <v>Renewables</v>
          </cell>
          <cell r="K2120" t="str">
            <v>Solar (Rooftop)</v>
          </cell>
          <cell r="L2120" t="str">
            <v>Solar</v>
          </cell>
          <cell r="M2120" t="str">
            <v>Dx</v>
          </cell>
          <cell r="N2120" t="str">
            <v>Woodstock</v>
          </cell>
          <cell r="O2120" t="str">
            <v>Oxford</v>
          </cell>
          <cell r="P2120" t="str">
            <v>Southwest</v>
          </cell>
        </row>
        <row r="2121">
          <cell r="C2121" t="str">
            <v>Seventh Street JS</v>
          </cell>
          <cell r="D2121" t="str">
            <v>TSPS (Portfolio 1) Limited Partnership</v>
          </cell>
          <cell r="E2121" t="str">
            <v>CO</v>
          </cell>
          <cell r="F2121">
            <v>42609</v>
          </cell>
          <cell r="G2121">
            <v>42695</v>
          </cell>
          <cell r="H2121">
            <v>49913</v>
          </cell>
          <cell r="I2121" t="str">
            <v>19 years, 9 months, 5 days</v>
          </cell>
          <cell r="J2121" t="str">
            <v>Renewables</v>
          </cell>
          <cell r="K2121" t="str">
            <v>Solar (Rooftop)</v>
          </cell>
          <cell r="L2121" t="str">
            <v>Solar</v>
          </cell>
          <cell r="M2121" t="str">
            <v>Dx</v>
          </cell>
          <cell r="N2121" t="str">
            <v>Toronto</v>
          </cell>
          <cell r="O2121" t="str">
            <v>Toronto</v>
          </cell>
          <cell r="P2121" t="str">
            <v>Toronto</v>
          </cell>
        </row>
        <row r="2122">
          <cell r="C2122" t="str">
            <v>John G Althouse MS</v>
          </cell>
          <cell r="D2122" t="str">
            <v>TSPS (Portfolio 2) Limited Partnership</v>
          </cell>
          <cell r="E2122" t="str">
            <v>CO</v>
          </cell>
          <cell r="F2122">
            <v>42597</v>
          </cell>
          <cell r="G2122">
            <v>42642</v>
          </cell>
          <cell r="H2122">
            <v>49901</v>
          </cell>
          <cell r="I2122" t="str">
            <v>19 years, 10 months, 16 days</v>
          </cell>
          <cell r="J2122" t="str">
            <v>Renewables</v>
          </cell>
          <cell r="K2122" t="str">
            <v>Solar (Rooftop)</v>
          </cell>
          <cell r="L2122" t="str">
            <v>Solar</v>
          </cell>
          <cell r="M2122" t="str">
            <v>Dx</v>
          </cell>
          <cell r="N2122" t="str">
            <v>Toronto</v>
          </cell>
          <cell r="O2122" t="str">
            <v>Toronto</v>
          </cell>
          <cell r="P2122" t="str">
            <v>Toronto</v>
          </cell>
        </row>
        <row r="2123">
          <cell r="C2123" t="str">
            <v>Minten Solar #1</v>
          </cell>
          <cell r="D2123" t="str">
            <v>Minten SFN Limited Partnership</v>
          </cell>
          <cell r="E2123" t="str">
            <v>CO</v>
          </cell>
          <cell r="F2123">
            <v>42112</v>
          </cell>
          <cell r="G2123">
            <v>42286</v>
          </cell>
          <cell r="H2123">
            <v>49416</v>
          </cell>
          <cell r="I2123" t="str">
            <v>19 years, 6 months, 8 days</v>
          </cell>
          <cell r="J2123" t="str">
            <v>Renewables</v>
          </cell>
          <cell r="K2123" t="str">
            <v>Solar (Rooftop)</v>
          </cell>
          <cell r="L2123" t="str">
            <v>Solar</v>
          </cell>
          <cell r="M2123" t="str">
            <v>Dx</v>
          </cell>
          <cell r="N2123" t="str">
            <v>Watford</v>
          </cell>
          <cell r="O2123" t="str">
            <v>Lambton</v>
          </cell>
          <cell r="P2123" t="str">
            <v>West</v>
          </cell>
        </row>
        <row r="2124">
          <cell r="C2124" t="str">
            <v>Niagara Street Junior PS</v>
          </cell>
          <cell r="D2124" t="str">
            <v>TSPS (Portfolio 2) Limited Partnership</v>
          </cell>
          <cell r="E2124" t="str">
            <v>CO</v>
          </cell>
          <cell r="F2124">
            <v>42604</v>
          </cell>
          <cell r="G2124">
            <v>42671</v>
          </cell>
          <cell r="H2124">
            <v>49908</v>
          </cell>
          <cell r="I2124" t="str">
            <v>19 years, 9 months, 24 days</v>
          </cell>
          <cell r="J2124" t="str">
            <v>Renewables</v>
          </cell>
          <cell r="K2124" t="str">
            <v>Solar (Rooftop)</v>
          </cell>
          <cell r="L2124" t="str">
            <v>Solar</v>
          </cell>
          <cell r="M2124" t="str">
            <v>Dx</v>
          </cell>
          <cell r="N2124" t="str">
            <v>Toronto</v>
          </cell>
          <cell r="O2124" t="str">
            <v>Toronto</v>
          </cell>
          <cell r="P2124" t="str">
            <v>Toronto</v>
          </cell>
        </row>
        <row r="2125">
          <cell r="C2125" t="str">
            <v>PNUC Renewable Energy Co-operative Inc.</v>
          </cell>
          <cell r="D2125" t="str">
            <v>PNUC Renewable Energy Co-operative Inc.</v>
          </cell>
          <cell r="E2125" t="str">
            <v>CO</v>
          </cell>
          <cell r="F2125">
            <v>42056</v>
          </cell>
          <cell r="G2125">
            <v>41986</v>
          </cell>
          <cell r="H2125">
            <v>49290</v>
          </cell>
          <cell r="I2125" t="str">
            <v>19 years, 11 months, 29 days</v>
          </cell>
          <cell r="J2125" t="str">
            <v>Renewables</v>
          </cell>
          <cell r="K2125" t="str">
            <v>Solar (Rooftop)</v>
          </cell>
          <cell r="L2125" t="str">
            <v>Solar</v>
          </cell>
          <cell r="M2125" t="str">
            <v>Dx</v>
          </cell>
          <cell r="N2125" t="str">
            <v>Burlington</v>
          </cell>
          <cell r="O2125" t="str">
            <v>Halton</v>
          </cell>
          <cell r="P2125" t="str">
            <v>Southwest</v>
          </cell>
        </row>
        <row r="2126">
          <cell r="C2126" t="str">
            <v>St. Benedict Catholic High School</v>
          </cell>
          <cell r="D2126" t="str">
            <v>Potentia Solar 6 Limited Partnership</v>
          </cell>
          <cell r="E2126" t="str">
            <v>CO</v>
          </cell>
          <cell r="F2126">
            <v>42102</v>
          </cell>
          <cell r="G2126">
            <v>42170</v>
          </cell>
          <cell r="H2126">
            <v>49406</v>
          </cell>
          <cell r="I2126" t="str">
            <v>19 years, 9 months, 23 days</v>
          </cell>
          <cell r="J2126" t="str">
            <v>Renewables</v>
          </cell>
          <cell r="K2126" t="str">
            <v>Solar (Rooftop)</v>
          </cell>
          <cell r="L2126" t="str">
            <v>Solar</v>
          </cell>
          <cell r="M2126" t="str">
            <v>Dx</v>
          </cell>
          <cell r="N2126" t="str">
            <v>Cambridge</v>
          </cell>
          <cell r="O2126" t="str">
            <v>Waterloo</v>
          </cell>
          <cell r="P2126" t="str">
            <v>Southwest</v>
          </cell>
        </row>
        <row r="2127">
          <cell r="C2127" t="str">
            <v>NFN Nbisiing Secondary School</v>
          </cell>
          <cell r="D2127" t="str">
            <v>NFN Solar LP</v>
          </cell>
          <cell r="E2127" t="str">
            <v>CO</v>
          </cell>
          <cell r="F2127">
            <v>42054</v>
          </cell>
          <cell r="G2127">
            <v>42117</v>
          </cell>
          <cell r="H2127">
            <v>49358</v>
          </cell>
          <cell r="I2127" t="str">
            <v>19 years, 9 months, 26 days</v>
          </cell>
          <cell r="J2127" t="str">
            <v>Renewables</v>
          </cell>
          <cell r="K2127" t="str">
            <v>Solar (Rooftop)</v>
          </cell>
          <cell r="L2127" t="str">
            <v>Solar</v>
          </cell>
          <cell r="M2127" t="str">
            <v>Dx</v>
          </cell>
          <cell r="N2127" t="str">
            <v>North Bay</v>
          </cell>
          <cell r="O2127" t="str">
            <v>Nipissing</v>
          </cell>
          <cell r="P2127" t="str">
            <v>Northeast</v>
          </cell>
        </row>
        <row r="2128">
          <cell r="C2128" t="str">
            <v>Northland 620</v>
          </cell>
          <cell r="D2128" t="str">
            <v>Fischer Canada Stainless Steel Tubing Inc.</v>
          </cell>
          <cell r="E2128" t="str">
            <v>CO</v>
          </cell>
          <cell r="F2128">
            <v>42075</v>
          </cell>
          <cell r="G2128">
            <v>42054</v>
          </cell>
          <cell r="H2128">
            <v>49358</v>
          </cell>
          <cell r="I2128" t="str">
            <v>19 years, 11 months, 30 days</v>
          </cell>
          <cell r="J2128" t="str">
            <v>Renewables</v>
          </cell>
          <cell r="K2128" t="str">
            <v>Solar (Rooftop)</v>
          </cell>
          <cell r="L2128" t="str">
            <v>Solar</v>
          </cell>
          <cell r="M2128" t="str">
            <v>Dx</v>
          </cell>
          <cell r="N2128" t="str">
            <v>Waterloo</v>
          </cell>
          <cell r="O2128" t="str">
            <v>Waterloo</v>
          </cell>
          <cell r="P2128" t="str">
            <v>Southwest</v>
          </cell>
        </row>
        <row r="2129">
          <cell r="C2129" t="str">
            <v>O'Neal Biogas 1</v>
          </cell>
          <cell r="D2129" t="str">
            <v>O'Neil Energy</v>
          </cell>
          <cell r="E2129" t="str">
            <v>CO</v>
          </cell>
          <cell r="F2129">
            <v>42623</v>
          </cell>
          <cell r="G2129">
            <v>42674</v>
          </cell>
          <cell r="H2129">
            <v>49927</v>
          </cell>
          <cell r="I2129" t="str">
            <v>19 years, 10 months, 9 days</v>
          </cell>
          <cell r="J2129" t="str">
            <v>Renewables</v>
          </cell>
          <cell r="K2129" t="str">
            <v>Bioenergy</v>
          </cell>
          <cell r="L2129" t="str">
            <v>Biogas (On-Farm)</v>
          </cell>
          <cell r="M2129" t="str">
            <v>Dx</v>
          </cell>
          <cell r="N2129" t="str">
            <v>Maidstone</v>
          </cell>
          <cell r="O2129" t="str">
            <v>Essex</v>
          </cell>
          <cell r="P2129" t="str">
            <v>West</v>
          </cell>
        </row>
        <row r="2130">
          <cell r="C2130" t="str">
            <v>Springvalley Farms (Elmvale) Limited</v>
          </cell>
          <cell r="D2130" t="str">
            <v>SCCEC LP</v>
          </cell>
          <cell r="E2130" t="str">
            <v>CO</v>
          </cell>
          <cell r="F2130">
            <v>42097</v>
          </cell>
          <cell r="G2130">
            <v>42149</v>
          </cell>
          <cell r="H2130">
            <v>49401</v>
          </cell>
          <cell r="I2130" t="str">
            <v>19 years, 10 months, 8 days</v>
          </cell>
          <cell r="J2130" t="str">
            <v>Renewables</v>
          </cell>
          <cell r="K2130" t="str">
            <v>Solar (Rooftop)</v>
          </cell>
          <cell r="L2130" t="str">
            <v>Solar</v>
          </cell>
          <cell r="M2130" t="str">
            <v>Dx</v>
          </cell>
          <cell r="N2130" t="str">
            <v>Tiny</v>
          </cell>
          <cell r="O2130" t="str">
            <v>Simcoe</v>
          </cell>
          <cell r="P2130" t="str">
            <v>Essa</v>
          </cell>
        </row>
        <row r="2131">
          <cell r="C2131" t="str">
            <v>NFN Seniors Home</v>
          </cell>
          <cell r="D2131" t="str">
            <v>NFN Solar LP</v>
          </cell>
          <cell r="E2131" t="str">
            <v>CO</v>
          </cell>
          <cell r="F2131">
            <v>42054</v>
          </cell>
          <cell r="G2131">
            <v>42094</v>
          </cell>
          <cell r="H2131">
            <v>49358</v>
          </cell>
          <cell r="I2131" t="str">
            <v>19 years, 10 months, 18 days</v>
          </cell>
          <cell r="J2131" t="str">
            <v>Renewables</v>
          </cell>
          <cell r="K2131" t="str">
            <v>Solar (Rooftop)</v>
          </cell>
          <cell r="L2131" t="str">
            <v>Solar</v>
          </cell>
          <cell r="M2131" t="str">
            <v>Dx</v>
          </cell>
          <cell r="N2131" t="str">
            <v>Sturgeon Falls</v>
          </cell>
          <cell r="O2131" t="str">
            <v>Nipissing</v>
          </cell>
          <cell r="P2131" t="str">
            <v>Northeast</v>
          </cell>
        </row>
        <row r="2132">
          <cell r="C2132" t="str">
            <v>Central Technical School</v>
          </cell>
          <cell r="D2132" t="str">
            <v>TSPS (Portfolio 1) Limited Partnership</v>
          </cell>
          <cell r="E2132" t="str">
            <v>CO</v>
          </cell>
          <cell r="F2132">
            <v>42583</v>
          </cell>
          <cell r="G2132">
            <v>42702</v>
          </cell>
          <cell r="H2132">
            <v>49887</v>
          </cell>
          <cell r="I2132" t="str">
            <v>19 years, 8 months, 3 days</v>
          </cell>
          <cell r="J2132" t="str">
            <v>Renewables</v>
          </cell>
          <cell r="K2132" t="str">
            <v>Solar (Rooftop)</v>
          </cell>
          <cell r="L2132" t="str">
            <v>Solar</v>
          </cell>
          <cell r="M2132" t="str">
            <v>Dx</v>
          </cell>
          <cell r="N2132" t="str">
            <v>Toronto</v>
          </cell>
          <cell r="O2132" t="str">
            <v>Toronto</v>
          </cell>
          <cell r="P2132" t="str">
            <v>Toronto</v>
          </cell>
        </row>
        <row r="2133">
          <cell r="C2133" t="str">
            <v>Icarus 220 Chatham</v>
          </cell>
          <cell r="D2133" t="str">
            <v>Icarus Whitesand Solar Limited Partnership</v>
          </cell>
          <cell r="E2133" t="str">
            <v>CO</v>
          </cell>
          <cell r="F2133">
            <v>42117</v>
          </cell>
          <cell r="G2133">
            <v>42297</v>
          </cell>
          <cell r="H2133">
            <v>49421</v>
          </cell>
          <cell r="I2133" t="str">
            <v>19 years, 6 months, 2 days</v>
          </cell>
          <cell r="J2133" t="str">
            <v>Renewables</v>
          </cell>
          <cell r="K2133" t="str">
            <v>Solar (Rooftop)</v>
          </cell>
          <cell r="L2133" t="str">
            <v>Solar</v>
          </cell>
          <cell r="M2133" t="str">
            <v>Dx</v>
          </cell>
          <cell r="N2133" t="str">
            <v>Chatham</v>
          </cell>
          <cell r="O2133" t="str">
            <v>Chatham-Kent</v>
          </cell>
          <cell r="P2133" t="str">
            <v>West</v>
          </cell>
        </row>
        <row r="2134">
          <cell r="C2134" t="str">
            <v>AGRIS Solar (Sophiasburgh - East)</v>
          </cell>
          <cell r="D2134" t="str">
            <v>AGRIS Solar Co-operative Inc.</v>
          </cell>
          <cell r="E2134" t="str">
            <v>CO</v>
          </cell>
          <cell r="F2134">
            <v>42761</v>
          </cell>
          <cell r="G2134">
            <v>42355</v>
          </cell>
          <cell r="H2134">
            <v>49659</v>
          </cell>
          <cell r="I2134" t="str">
            <v>19 years, 11 months, 29 days</v>
          </cell>
          <cell r="J2134" t="str">
            <v>Renewables</v>
          </cell>
          <cell r="K2134" t="str">
            <v>Solar (Ground Mounted)</v>
          </cell>
          <cell r="L2134" t="str">
            <v>Solar</v>
          </cell>
          <cell r="M2134" t="str">
            <v>Dx</v>
          </cell>
          <cell r="N2134" t="str">
            <v>Demorestville</v>
          </cell>
          <cell r="O2134" t="str">
            <v>Prince Edward</v>
          </cell>
          <cell r="P2134" t="str">
            <v>East</v>
          </cell>
        </row>
        <row r="2135">
          <cell r="C2135" t="str">
            <v>Highland JHS</v>
          </cell>
          <cell r="D2135" t="str">
            <v>TSPS (Portfolio 2) Limited Partnership</v>
          </cell>
          <cell r="E2135" t="str">
            <v>CO</v>
          </cell>
          <cell r="F2135">
            <v>42597</v>
          </cell>
          <cell r="G2135">
            <v>42601</v>
          </cell>
          <cell r="H2135">
            <v>49901</v>
          </cell>
          <cell r="I2135" t="str">
            <v>19 years, 11 months, 26 days</v>
          </cell>
          <cell r="J2135" t="str">
            <v>Renewables</v>
          </cell>
          <cell r="K2135" t="str">
            <v>Solar (Rooftop)</v>
          </cell>
          <cell r="L2135" t="str">
            <v>Solar</v>
          </cell>
          <cell r="M2135" t="str">
            <v>Dx</v>
          </cell>
          <cell r="N2135" t="str">
            <v>Toronto</v>
          </cell>
          <cell r="O2135" t="str">
            <v>Toronto</v>
          </cell>
          <cell r="P2135" t="str">
            <v>Toronto</v>
          </cell>
        </row>
        <row r="2136">
          <cell r="C2136" t="str">
            <v>YMCA Markham Rooftop Solar PV</v>
          </cell>
          <cell r="D2136" t="str">
            <v>YMCA of Greater Toronto</v>
          </cell>
          <cell r="E2136" t="str">
            <v>CO</v>
          </cell>
          <cell r="F2136">
            <v>42070</v>
          </cell>
          <cell r="G2136">
            <v>41936</v>
          </cell>
          <cell r="H2136">
            <v>49240</v>
          </cell>
          <cell r="I2136" t="str">
            <v>19 years, 11 months, 29 days</v>
          </cell>
          <cell r="J2136" t="str">
            <v>Renewables</v>
          </cell>
          <cell r="K2136" t="str">
            <v>Solar (Rooftop)</v>
          </cell>
          <cell r="L2136" t="str">
            <v>Solar</v>
          </cell>
          <cell r="M2136" t="str">
            <v>Dx</v>
          </cell>
          <cell r="N2136" t="str">
            <v>Markham</v>
          </cell>
          <cell r="O2136" t="str">
            <v>York</v>
          </cell>
          <cell r="P2136" t="str">
            <v>Toronto</v>
          </cell>
        </row>
        <row r="2137">
          <cell r="C2137" t="str">
            <v>Leader Resources Solar</v>
          </cell>
          <cell r="D2137" t="str">
            <v>2252112 Ontario Inc.</v>
          </cell>
          <cell r="E2137" t="str">
            <v>CO</v>
          </cell>
          <cell r="F2137">
            <v>42075</v>
          </cell>
          <cell r="G2137">
            <v>42046</v>
          </cell>
          <cell r="H2137">
            <v>49350</v>
          </cell>
          <cell r="I2137" t="str">
            <v>19 years, 11 months, 30 days</v>
          </cell>
          <cell r="J2137" t="str">
            <v>Renewables</v>
          </cell>
          <cell r="K2137" t="str">
            <v>Solar (Rooftop)</v>
          </cell>
          <cell r="L2137" t="str">
            <v>Solar</v>
          </cell>
          <cell r="M2137" t="str">
            <v>Dx</v>
          </cell>
          <cell r="N2137" t="str">
            <v>Kincardine</v>
          </cell>
          <cell r="O2137" t="str">
            <v>Bruce</v>
          </cell>
          <cell r="P2137" t="str">
            <v>Bruce</v>
          </cell>
        </row>
        <row r="2138">
          <cell r="C2138" t="str">
            <v>Elmlea JS</v>
          </cell>
          <cell r="D2138" t="str">
            <v>TSPS (Portfolio 2) Limited Partnership</v>
          </cell>
          <cell r="E2138" t="str">
            <v>CO</v>
          </cell>
          <cell r="F2138">
            <v>42588</v>
          </cell>
          <cell r="G2138">
            <v>42702</v>
          </cell>
          <cell r="H2138">
            <v>49892</v>
          </cell>
          <cell r="I2138" t="str">
            <v>19 years, 8 months, 8 days</v>
          </cell>
          <cell r="J2138" t="str">
            <v>Renewables</v>
          </cell>
          <cell r="K2138" t="str">
            <v>Solar (Rooftop)</v>
          </cell>
          <cell r="L2138" t="str">
            <v>Solar</v>
          </cell>
          <cell r="M2138" t="str">
            <v>Dx</v>
          </cell>
          <cell r="N2138" t="str">
            <v>Toronto</v>
          </cell>
          <cell r="O2138" t="str">
            <v>Toronto</v>
          </cell>
          <cell r="P2138" t="str">
            <v>Toronto</v>
          </cell>
        </row>
        <row r="2139">
          <cell r="C2139" t="str">
            <v>Cameron PS</v>
          </cell>
          <cell r="D2139" t="str">
            <v>TSPS (Portfolio 2) Limited Partnership</v>
          </cell>
          <cell r="E2139" t="str">
            <v>CO</v>
          </cell>
          <cell r="F2139">
            <v>42581</v>
          </cell>
          <cell r="G2139">
            <v>42517</v>
          </cell>
          <cell r="H2139">
            <v>49821</v>
          </cell>
          <cell r="I2139" t="str">
            <v>19 years, 11 months, 29 days</v>
          </cell>
          <cell r="J2139" t="str">
            <v>Renewables</v>
          </cell>
          <cell r="K2139" t="str">
            <v>Solar (Rooftop)</v>
          </cell>
          <cell r="L2139" t="str">
            <v>Solar</v>
          </cell>
          <cell r="M2139" t="str">
            <v>Dx</v>
          </cell>
          <cell r="N2139" t="str">
            <v>Toronto</v>
          </cell>
          <cell r="O2139" t="str">
            <v>Toronto</v>
          </cell>
          <cell r="P2139" t="str">
            <v>Toronto</v>
          </cell>
        </row>
        <row r="2140">
          <cell r="C2140" t="str">
            <v>John G Diefenbaker PS</v>
          </cell>
          <cell r="D2140" t="str">
            <v>TSPS (Portfolio 1) Limited Partnership</v>
          </cell>
          <cell r="E2140" t="str">
            <v>CO</v>
          </cell>
          <cell r="F2140">
            <v>42602</v>
          </cell>
          <cell r="G2140">
            <v>42139</v>
          </cell>
          <cell r="H2140">
            <v>49443</v>
          </cell>
          <cell r="I2140" t="str">
            <v>19 years, 11 months, 29 days</v>
          </cell>
          <cell r="J2140" t="str">
            <v>Renewables</v>
          </cell>
          <cell r="K2140" t="str">
            <v>Solar (Rooftop)</v>
          </cell>
          <cell r="L2140" t="str">
            <v>Solar</v>
          </cell>
          <cell r="M2140" t="str">
            <v>Dx</v>
          </cell>
          <cell r="N2140" t="str">
            <v>Toronto</v>
          </cell>
          <cell r="O2140" t="str">
            <v>Toronto</v>
          </cell>
          <cell r="P2140" t="str">
            <v>Toronto</v>
          </cell>
        </row>
        <row r="2141">
          <cell r="C2141" t="str">
            <v>Pride Bracebridge</v>
          </cell>
          <cell r="D2141" t="str">
            <v>Ottawa Renewable Energy Co-operative Inc.</v>
          </cell>
          <cell r="E2141" t="str">
            <v>CO</v>
          </cell>
          <cell r="F2141">
            <v>42070</v>
          </cell>
          <cell r="G2141">
            <v>42240</v>
          </cell>
          <cell r="H2141">
            <v>49374</v>
          </cell>
          <cell r="I2141" t="str">
            <v>19 years, 6 months, 10 days</v>
          </cell>
          <cell r="J2141" t="str">
            <v>Renewables</v>
          </cell>
          <cell r="K2141" t="str">
            <v>Solar (Rooftop)</v>
          </cell>
          <cell r="L2141" t="str">
            <v>Solar</v>
          </cell>
          <cell r="M2141" t="str">
            <v>Dx</v>
          </cell>
          <cell r="N2141" t="str">
            <v>Bracebridge</v>
          </cell>
          <cell r="O2141" t="str">
            <v>Muskoka</v>
          </cell>
          <cell r="P2141" t="str">
            <v>Essa</v>
          </cell>
        </row>
        <row r="2142">
          <cell r="C2142" t="str">
            <v>AGRIS Solar (LT 5 CON 4 HARLEY)</v>
          </cell>
          <cell r="D2142" t="str">
            <v>AGRIS Solar Co-operative Inc.</v>
          </cell>
          <cell r="E2142" t="str">
            <v>CO</v>
          </cell>
          <cell r="F2142">
            <v>42715</v>
          </cell>
          <cell r="G2142">
            <v>42122</v>
          </cell>
          <cell r="H2142">
            <v>49426</v>
          </cell>
          <cell r="I2142" t="str">
            <v>19 years, 11 months, 30 days</v>
          </cell>
          <cell r="J2142" t="str">
            <v>Renewables</v>
          </cell>
          <cell r="K2142" t="str">
            <v>Solar (Ground Mounted)</v>
          </cell>
          <cell r="L2142" t="str">
            <v>Solar</v>
          </cell>
          <cell r="M2142" t="str">
            <v>Dx</v>
          </cell>
          <cell r="N2142" t="str">
            <v>New Liskeard</v>
          </cell>
          <cell r="O2142" t="str">
            <v>Timiskaming</v>
          </cell>
          <cell r="P2142" t="str">
            <v>Northeast</v>
          </cell>
        </row>
        <row r="2143">
          <cell r="C2143" t="str">
            <v>Firgrove PS</v>
          </cell>
          <cell r="D2143" t="str">
            <v>TSPS (Portfolio 2) Limited Partnership</v>
          </cell>
          <cell r="E2143" t="str">
            <v>CO</v>
          </cell>
          <cell r="F2143">
            <v>42590</v>
          </cell>
          <cell r="G2143">
            <v>42695</v>
          </cell>
          <cell r="H2143">
            <v>49894</v>
          </cell>
          <cell r="I2143" t="str">
            <v>19 years, 8 months, 17 days</v>
          </cell>
          <cell r="J2143" t="str">
            <v>Renewables</v>
          </cell>
          <cell r="K2143" t="str">
            <v>Solar (Rooftop)</v>
          </cell>
          <cell r="L2143" t="str">
            <v>Solar</v>
          </cell>
          <cell r="M2143" t="str">
            <v>Dx</v>
          </cell>
          <cell r="N2143" t="str">
            <v>Toronto</v>
          </cell>
          <cell r="O2143" t="str">
            <v>Toronto</v>
          </cell>
          <cell r="P2143" t="str">
            <v>Toronto</v>
          </cell>
        </row>
        <row r="2144">
          <cell r="C2144" t="str">
            <v>GGELP_0012</v>
          </cell>
          <cell r="D2144" t="str">
            <v>Gengrowth Energy LP</v>
          </cell>
          <cell r="E2144" t="str">
            <v>CO</v>
          </cell>
          <cell r="F2144">
            <v>42658</v>
          </cell>
          <cell r="G2144">
            <v>42738</v>
          </cell>
          <cell r="H2144">
            <v>49962</v>
          </cell>
          <cell r="I2144" t="str">
            <v>19 years, 9 months, 11 days</v>
          </cell>
          <cell r="J2144" t="str">
            <v>Renewables</v>
          </cell>
          <cell r="K2144" t="str">
            <v>Solar (Ground Mounted)</v>
          </cell>
          <cell r="L2144" t="str">
            <v>Solar</v>
          </cell>
          <cell r="M2144" t="str">
            <v>Dx</v>
          </cell>
          <cell r="N2144" t="str">
            <v>Beaverton</v>
          </cell>
          <cell r="O2144" t="str">
            <v>Durham</v>
          </cell>
          <cell r="P2144" t="str">
            <v>Essa</v>
          </cell>
        </row>
        <row r="2145">
          <cell r="C2145" t="str">
            <v>St. Agnes Catholic Elementary School</v>
          </cell>
          <cell r="D2145" t="str">
            <v>Potentia Solar 6 Limited Partnership</v>
          </cell>
          <cell r="E2145" t="str">
            <v>CO</v>
          </cell>
          <cell r="F2145">
            <v>42097</v>
          </cell>
          <cell r="G2145">
            <v>42261</v>
          </cell>
          <cell r="H2145">
            <v>49401</v>
          </cell>
          <cell r="I2145" t="str">
            <v>19 years, 6 months, 19 days</v>
          </cell>
          <cell r="J2145" t="str">
            <v>Renewables</v>
          </cell>
          <cell r="K2145" t="str">
            <v>Solar (Rooftop)</v>
          </cell>
          <cell r="L2145" t="str">
            <v>Solar</v>
          </cell>
          <cell r="M2145" t="str">
            <v>Dx</v>
          </cell>
          <cell r="N2145" t="str">
            <v>Waterloo</v>
          </cell>
          <cell r="O2145" t="str">
            <v>Waterloo</v>
          </cell>
          <cell r="P2145" t="str">
            <v>Southwest</v>
          </cell>
        </row>
        <row r="2146">
          <cell r="C2146" t="str">
            <v>Mother Teresa Catholic Elementary School</v>
          </cell>
          <cell r="D2146" t="str">
            <v>Potentia Solar 6 Limited Partnership</v>
          </cell>
          <cell r="E2146" t="str">
            <v>CO</v>
          </cell>
          <cell r="F2146">
            <v>42102</v>
          </cell>
          <cell r="G2146">
            <v>42257</v>
          </cell>
          <cell r="H2146">
            <v>49406</v>
          </cell>
          <cell r="I2146" t="str">
            <v>19 years, 6 months, 28 days</v>
          </cell>
          <cell r="J2146" t="str">
            <v>Renewables</v>
          </cell>
          <cell r="K2146" t="str">
            <v>Solar (Rooftop)</v>
          </cell>
          <cell r="L2146" t="str">
            <v>Solar</v>
          </cell>
          <cell r="M2146" t="str">
            <v>Dx</v>
          </cell>
          <cell r="N2146" t="str">
            <v>Cambridge</v>
          </cell>
          <cell r="O2146" t="str">
            <v>Waterloo</v>
          </cell>
          <cell r="P2146" t="str">
            <v>Southwest</v>
          </cell>
        </row>
        <row r="2147">
          <cell r="C2147" t="str">
            <v>Blyth Farm Roof Solar</v>
          </cell>
          <cell r="D2147" t="str">
            <v>Dietmar Schroecker</v>
          </cell>
          <cell r="E2147" t="str">
            <v>CO</v>
          </cell>
          <cell r="F2147">
            <v>42075</v>
          </cell>
          <cell r="G2147">
            <v>42222</v>
          </cell>
          <cell r="H2147">
            <v>49379</v>
          </cell>
          <cell r="I2147" t="str">
            <v>19 years, 7 months, 5 days</v>
          </cell>
          <cell r="J2147" t="str">
            <v>Renewables</v>
          </cell>
          <cell r="K2147" t="str">
            <v>Solar (Rooftop)</v>
          </cell>
          <cell r="L2147" t="str">
            <v>Solar</v>
          </cell>
          <cell r="M2147" t="str">
            <v>Dx</v>
          </cell>
          <cell r="N2147" t="str">
            <v>Blyth</v>
          </cell>
          <cell r="O2147" t="str">
            <v>Huron</v>
          </cell>
          <cell r="P2147" t="str">
            <v>Southwest</v>
          </cell>
        </row>
        <row r="2148">
          <cell r="C2148" t="str">
            <v>Burrows Hall Jr PS</v>
          </cell>
          <cell r="D2148" t="str">
            <v>TSPS (Portfolio 1) Limited Partnership</v>
          </cell>
          <cell r="E2148" t="str">
            <v>CO</v>
          </cell>
          <cell r="F2148">
            <v>42581</v>
          </cell>
          <cell r="G2148">
            <v>42040</v>
          </cell>
          <cell r="H2148">
            <v>49344</v>
          </cell>
          <cell r="I2148" t="str">
            <v>19 years, 11 months, 30 days</v>
          </cell>
          <cell r="J2148" t="str">
            <v>Renewables</v>
          </cell>
          <cell r="K2148" t="str">
            <v>Solar (Rooftop)</v>
          </cell>
          <cell r="L2148" t="str">
            <v>Solar</v>
          </cell>
          <cell r="M2148" t="str">
            <v>Dx</v>
          </cell>
          <cell r="N2148" t="str">
            <v>Toronto</v>
          </cell>
          <cell r="O2148" t="str">
            <v>Toronto</v>
          </cell>
          <cell r="P2148" t="str">
            <v>Toronto</v>
          </cell>
        </row>
        <row r="2149">
          <cell r="C2149" t="str">
            <v>92 Airport Road RT</v>
          </cell>
          <cell r="D2149" t="str">
            <v>Tenedos GP 1 Ltd.</v>
          </cell>
          <cell r="E2149" t="str">
            <v>CO</v>
          </cell>
          <cell r="F2149">
            <v>42110</v>
          </cell>
          <cell r="G2149">
            <v>42237</v>
          </cell>
          <cell r="H2149">
            <v>49414</v>
          </cell>
          <cell r="I2149" t="str">
            <v>19 years, 7 months, 25 days</v>
          </cell>
          <cell r="J2149" t="str">
            <v>Renewables</v>
          </cell>
          <cell r="K2149" t="str">
            <v>Solar (Rooftop)</v>
          </cell>
          <cell r="L2149" t="str">
            <v>Solar</v>
          </cell>
          <cell r="M2149" t="str">
            <v>Dx</v>
          </cell>
          <cell r="N2149" t="str">
            <v>Parry Sound</v>
          </cell>
          <cell r="O2149" t="str">
            <v>Parry Sound</v>
          </cell>
          <cell r="P2149" t="str">
            <v>Essa</v>
          </cell>
        </row>
        <row r="2150">
          <cell r="C2150" t="str">
            <v>Galloway Road PS</v>
          </cell>
          <cell r="D2150" t="str">
            <v>TSPS (Portfolio 2) Limited Partnership</v>
          </cell>
          <cell r="E2150" t="str">
            <v>CO</v>
          </cell>
          <cell r="F2150">
            <v>42590</v>
          </cell>
          <cell r="G2150">
            <v>42368</v>
          </cell>
          <cell r="H2150">
            <v>49672</v>
          </cell>
          <cell r="I2150" t="str">
            <v>19 years, 11 months, 29 days</v>
          </cell>
          <cell r="J2150" t="str">
            <v>Renewables</v>
          </cell>
          <cell r="K2150" t="str">
            <v>Solar (Rooftop)</v>
          </cell>
          <cell r="L2150" t="str">
            <v>Solar</v>
          </cell>
          <cell r="M2150" t="str">
            <v>Dx</v>
          </cell>
          <cell r="N2150" t="str">
            <v>Toronto</v>
          </cell>
          <cell r="O2150" t="str">
            <v>Toronto</v>
          </cell>
          <cell r="P2150" t="str">
            <v>Toronto</v>
          </cell>
        </row>
        <row r="2151">
          <cell r="C2151" t="str">
            <v>Elia MS</v>
          </cell>
          <cell r="D2151" t="str">
            <v>TSPS (Portfolio 2) Limited Partnership</v>
          </cell>
          <cell r="E2151" t="str">
            <v>CO</v>
          </cell>
          <cell r="F2151">
            <v>42588</v>
          </cell>
          <cell r="G2151">
            <v>42608</v>
          </cell>
          <cell r="H2151">
            <v>49892</v>
          </cell>
          <cell r="I2151" t="str">
            <v>19 years, 11 months, 10 days</v>
          </cell>
          <cell r="J2151" t="str">
            <v>Renewables</v>
          </cell>
          <cell r="K2151" t="str">
            <v>Solar (Rooftop)</v>
          </cell>
          <cell r="L2151" t="str">
            <v>Solar</v>
          </cell>
          <cell r="M2151" t="str">
            <v>Dx</v>
          </cell>
          <cell r="N2151" t="str">
            <v>Toronto</v>
          </cell>
          <cell r="O2151" t="str">
            <v>Toronto</v>
          </cell>
          <cell r="P2151" t="str">
            <v>Toronto</v>
          </cell>
        </row>
        <row r="2152">
          <cell r="C2152" t="str">
            <v>Churchill Heights PS</v>
          </cell>
          <cell r="D2152" t="str">
            <v>TSPS (Portfolio 1) Limited Partnership</v>
          </cell>
          <cell r="E2152" t="str">
            <v>CO</v>
          </cell>
          <cell r="F2152">
            <v>42583</v>
          </cell>
          <cell r="G2152">
            <v>42003</v>
          </cell>
          <cell r="H2152">
            <v>49307</v>
          </cell>
          <cell r="I2152" t="str">
            <v>19 years, 11 months, 29 days</v>
          </cell>
          <cell r="J2152" t="str">
            <v>Renewables</v>
          </cell>
          <cell r="K2152" t="str">
            <v>Solar (Rooftop)</v>
          </cell>
          <cell r="L2152" t="str">
            <v>Solar</v>
          </cell>
          <cell r="M2152" t="str">
            <v>Dx</v>
          </cell>
          <cell r="N2152" t="str">
            <v>Toronto</v>
          </cell>
          <cell r="O2152" t="str">
            <v>Toronto</v>
          </cell>
          <cell r="P2152" t="str">
            <v>Toronto</v>
          </cell>
        </row>
        <row r="2153">
          <cell r="C2153" t="str">
            <v>A_1212_Selby_B</v>
          </cell>
          <cell r="D2153" t="str">
            <v>2343461 Ontario Inc.</v>
          </cell>
          <cell r="E2153" t="str">
            <v>CO</v>
          </cell>
          <cell r="F2153">
            <v>42097</v>
          </cell>
          <cell r="G2153">
            <v>42187</v>
          </cell>
          <cell r="H2153">
            <v>49401</v>
          </cell>
          <cell r="I2153" t="str">
            <v>19 years, 9 months, 0 days</v>
          </cell>
          <cell r="J2153" t="str">
            <v>Renewables</v>
          </cell>
          <cell r="K2153" t="str">
            <v>Solar (Rooftop)</v>
          </cell>
          <cell r="L2153" t="str">
            <v>Solar</v>
          </cell>
          <cell r="M2153" t="str">
            <v>Dx</v>
          </cell>
          <cell r="N2153" t="str">
            <v>Brampton</v>
          </cell>
          <cell r="O2153" t="str">
            <v>Peel</v>
          </cell>
          <cell r="P2153" t="str">
            <v>Toronto</v>
          </cell>
        </row>
        <row r="2154">
          <cell r="C2154" t="str">
            <v>YCDSB - Sir Richard Scott</v>
          </cell>
          <cell r="D2154" t="str">
            <v>Potentia Solar 7 Limited Partnership</v>
          </cell>
          <cell r="E2154" t="str">
            <v>CO</v>
          </cell>
          <cell r="F2154">
            <v>42075</v>
          </cell>
          <cell r="G2154">
            <v>41995</v>
          </cell>
          <cell r="H2154">
            <v>49299</v>
          </cell>
          <cell r="I2154" t="str">
            <v>19 years, 11 months, 29 days</v>
          </cell>
          <cell r="J2154" t="str">
            <v>Renewables</v>
          </cell>
          <cell r="K2154" t="str">
            <v>Solar (Rooftop)</v>
          </cell>
          <cell r="L2154" t="str">
            <v>Solar</v>
          </cell>
          <cell r="M2154" t="str">
            <v>Dx</v>
          </cell>
          <cell r="N2154" t="str">
            <v>Markham</v>
          </cell>
          <cell r="O2154" t="str">
            <v>York</v>
          </cell>
          <cell r="P2154" t="str">
            <v>Toronto</v>
          </cell>
        </row>
        <row r="2155">
          <cell r="C2155" t="str">
            <v>Greenholme JMS</v>
          </cell>
          <cell r="D2155" t="str">
            <v>TSPS (Portfolio 1) Limited Partnership</v>
          </cell>
          <cell r="E2155" t="str">
            <v>CO</v>
          </cell>
          <cell r="F2155">
            <v>42597</v>
          </cell>
          <cell r="G2155">
            <v>42185</v>
          </cell>
          <cell r="H2155">
            <v>49489</v>
          </cell>
          <cell r="I2155" t="str">
            <v>19 years, 11 months, 30 days</v>
          </cell>
          <cell r="J2155" t="str">
            <v>Renewables</v>
          </cell>
          <cell r="K2155" t="str">
            <v>Solar (Rooftop)</v>
          </cell>
          <cell r="L2155" t="str">
            <v>Solar</v>
          </cell>
          <cell r="M2155" t="str">
            <v>Dx</v>
          </cell>
          <cell r="N2155" t="str">
            <v>Toronto</v>
          </cell>
          <cell r="O2155" t="str">
            <v>Toronto</v>
          </cell>
          <cell r="P2155" t="str">
            <v>Toronto</v>
          </cell>
        </row>
        <row r="2156">
          <cell r="C2156" t="str">
            <v>Kennedy PS</v>
          </cell>
          <cell r="D2156" t="str">
            <v>TSPS (Portfolio 1) Limited Partnership</v>
          </cell>
          <cell r="E2156" t="str">
            <v>CO</v>
          </cell>
          <cell r="F2156">
            <v>42602</v>
          </cell>
          <cell r="G2156">
            <v>42033</v>
          </cell>
          <cell r="H2156">
            <v>49337</v>
          </cell>
          <cell r="I2156" t="str">
            <v>19 years, 11 months, 30 days</v>
          </cell>
          <cell r="J2156" t="str">
            <v>Renewables</v>
          </cell>
          <cell r="K2156" t="str">
            <v>Solar (Rooftop)</v>
          </cell>
          <cell r="L2156" t="str">
            <v>Solar</v>
          </cell>
          <cell r="M2156" t="str">
            <v>Dx</v>
          </cell>
          <cell r="N2156" t="str">
            <v>Toronto</v>
          </cell>
          <cell r="O2156" t="str">
            <v>Toronto</v>
          </cell>
          <cell r="P2156" t="str">
            <v>Toronto</v>
          </cell>
        </row>
        <row r="2157">
          <cell r="C2157" t="str">
            <v>Peterborough WWTP Biogas Project</v>
          </cell>
          <cell r="D2157" t="str">
            <v>Peterborough Utilities Inc.</v>
          </cell>
          <cell r="E2157" t="str">
            <v>CO</v>
          </cell>
          <cell r="F2157">
            <v>42602</v>
          </cell>
          <cell r="G2157">
            <v>42598</v>
          </cell>
          <cell r="H2157">
            <v>49902</v>
          </cell>
          <cell r="I2157" t="str">
            <v>19 years, 11 months, 30 days</v>
          </cell>
          <cell r="J2157" t="str">
            <v>Renewables</v>
          </cell>
          <cell r="K2157" t="str">
            <v>Bioenergy</v>
          </cell>
          <cell r="L2157" t="str">
            <v>Biogas</v>
          </cell>
          <cell r="M2157" t="str">
            <v>Dx</v>
          </cell>
          <cell r="N2157" t="str">
            <v>Peterborough</v>
          </cell>
          <cell r="O2157" t="str">
            <v>Peterborough</v>
          </cell>
          <cell r="P2157" t="str">
            <v>East</v>
          </cell>
        </row>
        <row r="2158">
          <cell r="C2158" t="str">
            <v>Sheppard PS</v>
          </cell>
          <cell r="D2158" t="str">
            <v>TSPS (Portfolio 2) Limited Partnership</v>
          </cell>
          <cell r="E2158" t="str">
            <v>CO</v>
          </cell>
          <cell r="F2158">
            <v>42609</v>
          </cell>
          <cell r="G2158">
            <v>42613</v>
          </cell>
          <cell r="H2158">
            <v>49913</v>
          </cell>
          <cell r="I2158" t="str">
            <v>19 years, 11 months, 26 days</v>
          </cell>
          <cell r="J2158" t="str">
            <v>Renewables</v>
          </cell>
          <cell r="K2158" t="str">
            <v>Solar (Rooftop)</v>
          </cell>
          <cell r="L2158" t="str">
            <v>Solar</v>
          </cell>
          <cell r="M2158" t="str">
            <v>Dx</v>
          </cell>
          <cell r="N2158" t="str">
            <v>Toronto</v>
          </cell>
          <cell r="O2158" t="str">
            <v>Toronto</v>
          </cell>
          <cell r="P2158" t="str">
            <v>Toronto</v>
          </cell>
        </row>
        <row r="2159">
          <cell r="C2159" t="str">
            <v>Barn\Shed Roof</v>
          </cell>
          <cell r="D2159" t="str">
            <v>SCCEC LP</v>
          </cell>
          <cell r="E2159" t="str">
            <v>CO</v>
          </cell>
          <cell r="F2159">
            <v>42056</v>
          </cell>
          <cell r="G2159">
            <v>42150</v>
          </cell>
          <cell r="H2159">
            <v>49360</v>
          </cell>
          <cell r="I2159" t="str">
            <v>19 years, 8 months, 25 days</v>
          </cell>
          <cell r="J2159" t="str">
            <v>Renewables</v>
          </cell>
          <cell r="K2159" t="str">
            <v>Solar (Rooftop)</v>
          </cell>
          <cell r="L2159" t="str">
            <v>Solar</v>
          </cell>
          <cell r="M2159" t="str">
            <v>Dx</v>
          </cell>
          <cell r="N2159" t="str">
            <v>Elmvale</v>
          </cell>
          <cell r="O2159" t="str">
            <v>Simcoe</v>
          </cell>
          <cell r="P2159" t="str">
            <v>Essa</v>
          </cell>
        </row>
        <row r="2160">
          <cell r="C2160" t="str">
            <v>196WestburneCo-op15</v>
          </cell>
          <cell r="D2160" t="str">
            <v>Neal Drive Solar LP</v>
          </cell>
          <cell r="E2160" t="str">
            <v>CO</v>
          </cell>
          <cell r="F2160">
            <v>42104</v>
          </cell>
          <cell r="G2160">
            <v>41893</v>
          </cell>
          <cell r="H2160">
            <v>49197</v>
          </cell>
          <cell r="I2160" t="str">
            <v>19 years, 11 months, 30 days</v>
          </cell>
          <cell r="J2160" t="str">
            <v>Renewables</v>
          </cell>
          <cell r="K2160" t="str">
            <v>Solar (Rooftop)</v>
          </cell>
          <cell r="L2160" t="str">
            <v>Solar</v>
          </cell>
          <cell r="M2160" t="str">
            <v>Dx</v>
          </cell>
          <cell r="N2160" t="str">
            <v>Peterborough</v>
          </cell>
          <cell r="O2160" t="str">
            <v>Peterborough</v>
          </cell>
          <cell r="P2160" t="str">
            <v>East</v>
          </cell>
        </row>
        <row r="2161">
          <cell r="C2161" t="str">
            <v>75 - Peter Ymeren Home Farm</v>
          </cell>
          <cell r="D2161" t="str">
            <v>SIF-AMBER PROJECTS LP</v>
          </cell>
          <cell r="E2161" t="str">
            <v>CO</v>
          </cell>
          <cell r="F2161">
            <v>42056</v>
          </cell>
          <cell r="G2161">
            <v>42234</v>
          </cell>
          <cell r="H2161">
            <v>49360</v>
          </cell>
          <cell r="I2161" t="str">
            <v>19 years, 6 months, 2 days</v>
          </cell>
          <cell r="J2161" t="str">
            <v>Renewables</v>
          </cell>
          <cell r="K2161" t="str">
            <v>Solar (Rooftop)</v>
          </cell>
          <cell r="L2161" t="str">
            <v>Solar</v>
          </cell>
          <cell r="M2161" t="str">
            <v>Dx</v>
          </cell>
          <cell r="N2161" t="str">
            <v>Aylmer</v>
          </cell>
          <cell r="O2161" t="str">
            <v>Elgin</v>
          </cell>
          <cell r="P2161" t="str">
            <v>West</v>
          </cell>
        </row>
        <row r="2162">
          <cell r="C2162" t="str">
            <v>Singhampton Cattle Company</v>
          </cell>
          <cell r="D2162" t="str">
            <v>SCCEC LP</v>
          </cell>
          <cell r="E2162" t="str">
            <v>CO</v>
          </cell>
          <cell r="F2162">
            <v>42097</v>
          </cell>
          <cell r="G2162">
            <v>42187</v>
          </cell>
          <cell r="H2162">
            <v>49401</v>
          </cell>
          <cell r="I2162" t="str">
            <v>19 years, 9 months, 0 days</v>
          </cell>
          <cell r="J2162" t="str">
            <v>Renewables</v>
          </cell>
          <cell r="K2162" t="str">
            <v>Solar (Rooftop)</v>
          </cell>
          <cell r="L2162" t="str">
            <v>Solar</v>
          </cell>
          <cell r="M2162" t="str">
            <v>Dx</v>
          </cell>
          <cell r="N2162" t="str">
            <v>Singhampton</v>
          </cell>
          <cell r="O2162" t="str">
            <v>Grey</v>
          </cell>
          <cell r="P2162" t="str">
            <v>Southwest</v>
          </cell>
        </row>
        <row r="2163">
          <cell r="C2163" t="str">
            <v>Harrison PS</v>
          </cell>
          <cell r="D2163" t="str">
            <v>TSPS (Portfolio 2) Limited Partnership</v>
          </cell>
          <cell r="E2163" t="str">
            <v>CO</v>
          </cell>
          <cell r="F2163">
            <v>42597</v>
          </cell>
          <cell r="G2163">
            <v>42703</v>
          </cell>
          <cell r="H2163">
            <v>49901</v>
          </cell>
          <cell r="I2163" t="str">
            <v>19 years, 8 months, 16 days</v>
          </cell>
          <cell r="J2163" t="str">
            <v>Renewables</v>
          </cell>
          <cell r="K2163" t="str">
            <v>Solar (Rooftop)</v>
          </cell>
          <cell r="L2163" t="str">
            <v>Solar</v>
          </cell>
          <cell r="M2163" t="str">
            <v>Dx</v>
          </cell>
          <cell r="N2163" t="str">
            <v>Toronto</v>
          </cell>
          <cell r="O2163" t="str">
            <v>Toronto</v>
          </cell>
          <cell r="P2163" t="str">
            <v>Toronto</v>
          </cell>
        </row>
        <row r="2164">
          <cell r="C2164" t="str">
            <v>Connell Distributing</v>
          </cell>
          <cell r="D2164" t="str">
            <v>SCCEC LP</v>
          </cell>
          <cell r="E2164" t="str">
            <v>CO</v>
          </cell>
          <cell r="F2164">
            <v>42095</v>
          </cell>
          <cell r="G2164">
            <v>41992</v>
          </cell>
          <cell r="H2164">
            <v>49296</v>
          </cell>
          <cell r="I2164" t="str">
            <v>19 years, 11 months, 29 days</v>
          </cell>
          <cell r="J2164" t="str">
            <v>Renewables</v>
          </cell>
          <cell r="K2164" t="str">
            <v>Solar (Rooftop)</v>
          </cell>
          <cell r="L2164" t="str">
            <v>Solar</v>
          </cell>
          <cell r="M2164" t="str">
            <v>Dx</v>
          </cell>
          <cell r="N2164" t="str">
            <v>Stayner</v>
          </cell>
          <cell r="O2164" t="str">
            <v>Simcoe</v>
          </cell>
          <cell r="P2164" t="str">
            <v>Southwest</v>
          </cell>
        </row>
        <row r="2165">
          <cell r="C2165" t="str">
            <v>John Wanless Junior PS</v>
          </cell>
          <cell r="D2165" t="str">
            <v>TSPS (Portfolio 2) Limited Partnership</v>
          </cell>
          <cell r="E2165" t="str">
            <v>CO</v>
          </cell>
          <cell r="F2165">
            <v>42602</v>
          </cell>
          <cell r="G2165">
            <v>42703</v>
          </cell>
          <cell r="H2165">
            <v>49906</v>
          </cell>
          <cell r="I2165" t="str">
            <v>19 years, 8 months, 21 days</v>
          </cell>
          <cell r="J2165" t="str">
            <v>Renewables</v>
          </cell>
          <cell r="K2165" t="str">
            <v>Solar (Rooftop)</v>
          </cell>
          <cell r="L2165" t="str">
            <v>Solar</v>
          </cell>
          <cell r="M2165" t="str">
            <v>Dx</v>
          </cell>
          <cell r="N2165" t="str">
            <v>Toronto</v>
          </cell>
          <cell r="O2165" t="str">
            <v>Toronto</v>
          </cell>
          <cell r="P2165" t="str">
            <v>Toronto</v>
          </cell>
        </row>
        <row r="2166">
          <cell r="C2166" t="str">
            <v>2010-128</v>
          </cell>
          <cell r="D2166" t="str">
            <v>OYA Energy Fund LP</v>
          </cell>
          <cell r="E2166" t="str">
            <v>CO</v>
          </cell>
          <cell r="F2166">
            <v>42104</v>
          </cell>
          <cell r="G2166">
            <v>41820</v>
          </cell>
          <cell r="H2166">
            <v>49124</v>
          </cell>
          <cell r="I2166" t="str">
            <v>19 years, 11 months, 30 days</v>
          </cell>
          <cell r="J2166" t="str">
            <v>Renewables</v>
          </cell>
          <cell r="K2166" t="str">
            <v>Solar (Rooftop)</v>
          </cell>
          <cell r="L2166" t="str">
            <v>Solar</v>
          </cell>
          <cell r="M2166" t="str">
            <v>Dx</v>
          </cell>
          <cell r="N2166" t="str">
            <v>Windsor</v>
          </cell>
          <cell r="O2166" t="str">
            <v>Essex</v>
          </cell>
          <cell r="P2166" t="str">
            <v>West</v>
          </cell>
        </row>
        <row r="2167">
          <cell r="C2167" t="str">
            <v>LIFE SOLAR 1</v>
          </cell>
          <cell r="D2167" t="str">
            <v>LIFE SOLAR 1 INC.</v>
          </cell>
          <cell r="E2167" t="str">
            <v>CO</v>
          </cell>
          <cell r="F2167">
            <v>42056</v>
          </cell>
          <cell r="G2167">
            <v>42234</v>
          </cell>
          <cell r="H2167">
            <v>49360</v>
          </cell>
          <cell r="I2167" t="str">
            <v>19 years, 6 months, 2 days</v>
          </cell>
          <cell r="J2167" t="str">
            <v>Renewables</v>
          </cell>
          <cell r="K2167" t="str">
            <v>Solar (Rooftop)</v>
          </cell>
          <cell r="L2167" t="str">
            <v>Solar</v>
          </cell>
          <cell r="M2167" t="str">
            <v>Dx</v>
          </cell>
          <cell r="N2167" t="str">
            <v>Cambridge</v>
          </cell>
          <cell r="O2167" t="str">
            <v>Waterloo</v>
          </cell>
          <cell r="P2167" t="str">
            <v>Southwest</v>
          </cell>
        </row>
        <row r="2168">
          <cell r="C2168" t="str">
            <v>LIFE SOLAR 3</v>
          </cell>
          <cell r="D2168" t="str">
            <v>LIFE SOLAR 3 INC.</v>
          </cell>
          <cell r="E2168" t="str">
            <v>CO</v>
          </cell>
          <cell r="F2168">
            <v>42056</v>
          </cell>
          <cell r="G2168">
            <v>42235</v>
          </cell>
          <cell r="H2168">
            <v>49360</v>
          </cell>
          <cell r="I2168" t="str">
            <v>19 years, 6 months, 1 days</v>
          </cell>
          <cell r="J2168" t="str">
            <v>Renewables</v>
          </cell>
          <cell r="K2168" t="str">
            <v>Solar (Rooftop)</v>
          </cell>
          <cell r="L2168" t="str">
            <v>Solar</v>
          </cell>
          <cell r="M2168" t="str">
            <v>Dx</v>
          </cell>
          <cell r="N2168" t="str">
            <v>Cambridge</v>
          </cell>
          <cell r="O2168" t="str">
            <v>Waterloo</v>
          </cell>
          <cell r="P2168" t="str">
            <v>Southwest</v>
          </cell>
        </row>
        <row r="2169">
          <cell r="C2169" t="str">
            <v>R J Lang E &amp; MS</v>
          </cell>
          <cell r="D2169" t="str">
            <v>TSPS (Portfolio 2) Limited Partnership</v>
          </cell>
          <cell r="E2169" t="str">
            <v>CO</v>
          </cell>
          <cell r="F2169">
            <v>42609</v>
          </cell>
          <cell r="G2169">
            <v>42603</v>
          </cell>
          <cell r="H2169">
            <v>49907</v>
          </cell>
          <cell r="I2169" t="str">
            <v>19 years, 11 months, 30 days</v>
          </cell>
          <cell r="J2169" t="str">
            <v>Renewables</v>
          </cell>
          <cell r="K2169" t="str">
            <v>Solar (Rooftop)</v>
          </cell>
          <cell r="L2169" t="str">
            <v>Solar</v>
          </cell>
          <cell r="M2169" t="str">
            <v>Dx</v>
          </cell>
          <cell r="N2169" t="str">
            <v>Toronto</v>
          </cell>
          <cell r="O2169" t="str">
            <v>Toronto</v>
          </cell>
          <cell r="P2169" t="str">
            <v>Toronto</v>
          </cell>
        </row>
        <row r="2170">
          <cell r="C2170" t="str">
            <v>Indian Road Crescent Jr PS</v>
          </cell>
          <cell r="D2170" t="str">
            <v>TSPS (Portfolio 1) Limited Partnership</v>
          </cell>
          <cell r="E2170" t="str">
            <v>CO</v>
          </cell>
          <cell r="F2170">
            <v>42597</v>
          </cell>
          <cell r="G2170">
            <v>42149</v>
          </cell>
          <cell r="H2170">
            <v>49453</v>
          </cell>
          <cell r="I2170" t="str">
            <v>19 years, 11 months, 29 days</v>
          </cell>
          <cell r="J2170" t="str">
            <v>Renewables</v>
          </cell>
          <cell r="K2170" t="str">
            <v>Solar (Rooftop)</v>
          </cell>
          <cell r="L2170" t="str">
            <v>Solar</v>
          </cell>
          <cell r="M2170" t="str">
            <v>Dx</v>
          </cell>
          <cell r="N2170" t="str">
            <v>Toronto</v>
          </cell>
          <cell r="O2170" t="str">
            <v>Toronto</v>
          </cell>
          <cell r="P2170" t="str">
            <v>Toronto</v>
          </cell>
        </row>
        <row r="2171">
          <cell r="C2171" t="str">
            <v>VGN-160 Pennsylvania</v>
          </cell>
          <cell r="D2171" t="str">
            <v>Métis Nation of Ontario - BrightRoof Solar LP</v>
          </cell>
          <cell r="E2171" t="str">
            <v>CO</v>
          </cell>
          <cell r="F2171">
            <v>42075</v>
          </cell>
          <cell r="G2171">
            <v>42157</v>
          </cell>
          <cell r="H2171">
            <v>49379</v>
          </cell>
          <cell r="I2171" t="str">
            <v>19 years, 9 months, 9 days</v>
          </cell>
          <cell r="J2171" t="str">
            <v>Renewables</v>
          </cell>
          <cell r="K2171" t="str">
            <v>Solar (Rooftop)</v>
          </cell>
          <cell r="L2171" t="str">
            <v>Solar</v>
          </cell>
          <cell r="M2171" t="str">
            <v>Dx</v>
          </cell>
          <cell r="N2171" t="str">
            <v>Concord</v>
          </cell>
          <cell r="O2171" t="str">
            <v>York</v>
          </cell>
          <cell r="P2171" t="str">
            <v>Toronto</v>
          </cell>
        </row>
        <row r="2172">
          <cell r="C2172" t="str">
            <v>WSI 002PV</v>
          </cell>
          <cell r="D2172" t="str">
            <v>Cambridge Investments Inc.</v>
          </cell>
          <cell r="E2172" t="str">
            <v>CO</v>
          </cell>
          <cell r="F2172">
            <v>42075</v>
          </cell>
          <cell r="G2172">
            <v>42102</v>
          </cell>
          <cell r="H2172">
            <v>49379</v>
          </cell>
          <cell r="I2172" t="str">
            <v>19 years, 11 months, 3 days</v>
          </cell>
          <cell r="J2172" t="str">
            <v>Renewables</v>
          </cell>
          <cell r="K2172" t="str">
            <v>Solar (Rooftop)</v>
          </cell>
          <cell r="L2172" t="str">
            <v>Solar</v>
          </cell>
          <cell r="M2172" t="str">
            <v>Dx</v>
          </cell>
          <cell r="N2172" t="str">
            <v>Woodstock</v>
          </cell>
          <cell r="O2172" t="str">
            <v>Oxford</v>
          </cell>
          <cell r="P2172" t="str">
            <v>Southwest</v>
          </cell>
        </row>
        <row r="2173">
          <cell r="C2173" t="str">
            <v>Elmvale DHS</v>
          </cell>
          <cell r="D2173" t="str">
            <v>Potentia Solar 5 Limited Partnership</v>
          </cell>
          <cell r="E2173" t="str">
            <v>CO</v>
          </cell>
          <cell r="F2173">
            <v>42075</v>
          </cell>
          <cell r="G2173">
            <v>42249</v>
          </cell>
          <cell r="H2173">
            <v>49379</v>
          </cell>
          <cell r="I2173" t="str">
            <v>19 years, 6 months, 9 days</v>
          </cell>
          <cell r="J2173" t="str">
            <v>Renewables</v>
          </cell>
          <cell r="K2173" t="str">
            <v>Solar (Rooftop)</v>
          </cell>
          <cell r="L2173" t="str">
            <v>Solar</v>
          </cell>
          <cell r="M2173" t="str">
            <v>Dx</v>
          </cell>
          <cell r="N2173" t="str">
            <v>Elmvale</v>
          </cell>
          <cell r="O2173" t="str">
            <v>Simcoe</v>
          </cell>
          <cell r="P2173" t="str">
            <v>Essa</v>
          </cell>
        </row>
        <row r="2174">
          <cell r="C2174" t="str">
            <v>SunEdison ON-12-0310</v>
          </cell>
          <cell r="D2174" t="str">
            <v>PRI Industrial Solar Limited Partnership</v>
          </cell>
          <cell r="E2174" t="str">
            <v>CO</v>
          </cell>
          <cell r="F2174">
            <v>42097</v>
          </cell>
          <cell r="G2174">
            <v>42128</v>
          </cell>
          <cell r="H2174">
            <v>49401</v>
          </cell>
          <cell r="I2174" t="str">
            <v>19 years, 10 months, 29 days</v>
          </cell>
          <cell r="J2174" t="str">
            <v>Renewables</v>
          </cell>
          <cell r="K2174" t="str">
            <v>Solar (Rooftop)</v>
          </cell>
          <cell r="L2174" t="str">
            <v>Solar</v>
          </cell>
          <cell r="M2174" t="str">
            <v>Dx</v>
          </cell>
          <cell r="N2174" t="str">
            <v>Toronto</v>
          </cell>
          <cell r="O2174" t="str">
            <v>Toronto</v>
          </cell>
          <cell r="P2174" t="str">
            <v>Toronto</v>
          </cell>
        </row>
        <row r="2175">
          <cell r="C2175" t="str">
            <v>Pond Mills</v>
          </cell>
          <cell r="D2175" t="str">
            <v>N&amp;G LP</v>
          </cell>
          <cell r="E2175" t="str">
            <v>CO</v>
          </cell>
          <cell r="F2175">
            <v>42054</v>
          </cell>
          <cell r="G2175">
            <v>42208</v>
          </cell>
          <cell r="H2175">
            <v>49358</v>
          </cell>
          <cell r="I2175" t="str">
            <v>19 years, 6 months, 26 days</v>
          </cell>
          <cell r="J2175" t="str">
            <v>Renewables</v>
          </cell>
          <cell r="K2175" t="str">
            <v>Solar (Rooftop)</v>
          </cell>
          <cell r="L2175" t="str">
            <v>Solar</v>
          </cell>
          <cell r="M2175" t="str">
            <v>Dx</v>
          </cell>
          <cell r="N2175" t="str">
            <v>London</v>
          </cell>
          <cell r="O2175" t="str">
            <v>Middlesex</v>
          </cell>
          <cell r="P2175" t="str">
            <v>West</v>
          </cell>
        </row>
        <row r="2176">
          <cell r="C2176" t="str">
            <v>Ranka Power</v>
          </cell>
          <cell r="D2176" t="str">
            <v>1887202 ONTARIO INC.</v>
          </cell>
          <cell r="E2176" t="str">
            <v>CO</v>
          </cell>
          <cell r="F2176">
            <v>42070</v>
          </cell>
          <cell r="G2176">
            <v>42247</v>
          </cell>
          <cell r="H2176">
            <v>49374</v>
          </cell>
          <cell r="I2176" t="str">
            <v>19 years, 6 months, 3 days</v>
          </cell>
          <cell r="J2176" t="str">
            <v>Renewables</v>
          </cell>
          <cell r="K2176" t="str">
            <v>Solar (Rooftop)</v>
          </cell>
          <cell r="L2176" t="str">
            <v>Solar</v>
          </cell>
          <cell r="M2176" t="str">
            <v>Dx</v>
          </cell>
          <cell r="N2176" t="str">
            <v>Markham</v>
          </cell>
          <cell r="O2176" t="str">
            <v>York</v>
          </cell>
          <cell r="P2176" t="str">
            <v>Toronto</v>
          </cell>
        </row>
        <row r="2177">
          <cell r="C2177" t="str">
            <v>Westview Centennial SS</v>
          </cell>
          <cell r="D2177" t="str">
            <v>TSPS (Portfolio 1) Limited Partnership</v>
          </cell>
          <cell r="E2177" t="str">
            <v>CO</v>
          </cell>
          <cell r="F2177">
            <v>42611</v>
          </cell>
          <cell r="G2177">
            <v>42174</v>
          </cell>
          <cell r="H2177">
            <v>49478</v>
          </cell>
          <cell r="I2177" t="str">
            <v>19 years, 11 months, 30 days</v>
          </cell>
          <cell r="J2177" t="str">
            <v>Renewables</v>
          </cell>
          <cell r="K2177" t="str">
            <v>Solar (Rooftop)</v>
          </cell>
          <cell r="L2177" t="str">
            <v>Solar</v>
          </cell>
          <cell r="M2177" t="str">
            <v>Dx</v>
          </cell>
          <cell r="N2177" t="str">
            <v>Toronto</v>
          </cell>
          <cell r="O2177" t="str">
            <v>Toronto</v>
          </cell>
          <cell r="P2177" t="str">
            <v>Toronto</v>
          </cell>
        </row>
        <row r="2178">
          <cell r="C2178" t="str">
            <v>Solar@15ElliottAve</v>
          </cell>
          <cell r="D2178" t="str">
            <v>The Sarjeant Company Limited</v>
          </cell>
          <cell r="E2178" t="str">
            <v>CO</v>
          </cell>
          <cell r="F2178">
            <v>42095</v>
          </cell>
          <cell r="G2178">
            <v>42080</v>
          </cell>
          <cell r="H2178">
            <v>49384</v>
          </cell>
          <cell r="I2178" t="str">
            <v>19 years, 11 months, 27 days</v>
          </cell>
          <cell r="J2178" t="str">
            <v>Renewables</v>
          </cell>
          <cell r="K2178" t="str">
            <v>Solar (Rooftop)</v>
          </cell>
          <cell r="L2178" t="str">
            <v>Solar</v>
          </cell>
          <cell r="M2178" t="str">
            <v>Dx</v>
          </cell>
          <cell r="N2178" t="str">
            <v>Barrie</v>
          </cell>
          <cell r="O2178" t="str">
            <v>Simcoe</v>
          </cell>
          <cell r="P2178" t="str">
            <v>Essa</v>
          </cell>
        </row>
        <row r="2179">
          <cell r="C2179" t="str">
            <v>Melody Village JS</v>
          </cell>
          <cell r="D2179" t="str">
            <v>TSPS (Portfolio 1) Limited Partnership</v>
          </cell>
          <cell r="E2179" t="str">
            <v>CO</v>
          </cell>
          <cell r="F2179">
            <v>42604</v>
          </cell>
          <cell r="G2179">
            <v>42290</v>
          </cell>
          <cell r="H2179">
            <v>49594</v>
          </cell>
          <cell r="I2179" t="str">
            <v>19 years, 11 months, 29 days</v>
          </cell>
          <cell r="J2179" t="str">
            <v>Renewables</v>
          </cell>
          <cell r="K2179" t="str">
            <v>Solar (Rooftop)</v>
          </cell>
          <cell r="L2179" t="str">
            <v>Solar</v>
          </cell>
          <cell r="M2179" t="str">
            <v>Dx</v>
          </cell>
          <cell r="N2179" t="str">
            <v>Toronto</v>
          </cell>
          <cell r="O2179" t="str">
            <v>Toronto</v>
          </cell>
          <cell r="P2179" t="str">
            <v>Toronto</v>
          </cell>
        </row>
        <row r="2180">
          <cell r="C2180" t="str">
            <v>209-60 Emblem</v>
          </cell>
          <cell r="D2180" t="str">
            <v>2219371 ONTARIO INC.</v>
          </cell>
          <cell r="E2180" t="str">
            <v>CO</v>
          </cell>
          <cell r="F2180">
            <v>42082</v>
          </cell>
          <cell r="G2180">
            <v>42247</v>
          </cell>
          <cell r="H2180">
            <v>49386</v>
          </cell>
          <cell r="I2180" t="str">
            <v>19 years, 6 months, 15 days</v>
          </cell>
          <cell r="J2180" t="str">
            <v>Renewables</v>
          </cell>
          <cell r="K2180" t="str">
            <v>Solar (Rooftop)</v>
          </cell>
          <cell r="L2180" t="str">
            <v>Solar</v>
          </cell>
          <cell r="M2180" t="str">
            <v>Dx</v>
          </cell>
          <cell r="N2180" t="str">
            <v>Toronto</v>
          </cell>
          <cell r="O2180" t="str">
            <v>Toronto</v>
          </cell>
          <cell r="P2180" t="str">
            <v>Toronto</v>
          </cell>
        </row>
        <row r="2181">
          <cell r="C2181" t="str">
            <v>55 Plywood Place</v>
          </cell>
          <cell r="D2181" t="str">
            <v>55 Plywood Solar Limited Partnership</v>
          </cell>
          <cell r="E2181" t="str">
            <v>CO</v>
          </cell>
          <cell r="F2181">
            <v>42117</v>
          </cell>
          <cell r="G2181">
            <v>42180</v>
          </cell>
          <cell r="H2181">
            <v>49421</v>
          </cell>
          <cell r="I2181" t="str">
            <v>19 years, 9 months, 28 days</v>
          </cell>
          <cell r="J2181" t="str">
            <v>Renewables</v>
          </cell>
          <cell r="K2181" t="str">
            <v>Solar (Rooftop)</v>
          </cell>
          <cell r="L2181" t="str">
            <v>Solar</v>
          </cell>
          <cell r="M2181" t="str">
            <v>Dx</v>
          </cell>
          <cell r="N2181" t="str">
            <v>Toronto</v>
          </cell>
          <cell r="O2181" t="str">
            <v>Toronto</v>
          </cell>
          <cell r="P2181" t="str">
            <v>Toronto</v>
          </cell>
        </row>
        <row r="2182">
          <cell r="C2182" t="str">
            <v>PRO I Energy</v>
          </cell>
          <cell r="D2182" t="str">
            <v>CEW SIMCOE I</v>
          </cell>
          <cell r="E2182" t="str">
            <v>CO</v>
          </cell>
          <cell r="F2182">
            <v>42117</v>
          </cell>
          <cell r="G2182">
            <v>42279</v>
          </cell>
          <cell r="H2182">
            <v>49421</v>
          </cell>
          <cell r="I2182" t="str">
            <v>19 years, 6 months, 20 days</v>
          </cell>
          <cell r="J2182" t="str">
            <v>Renewables</v>
          </cell>
          <cell r="K2182" t="str">
            <v>Solar (Rooftop)</v>
          </cell>
          <cell r="L2182" t="str">
            <v>Solar</v>
          </cell>
          <cell r="M2182" t="str">
            <v>Dx</v>
          </cell>
          <cell r="N2182" t="str">
            <v>Zurich</v>
          </cell>
          <cell r="O2182" t="str">
            <v>Huron</v>
          </cell>
          <cell r="P2182" t="str">
            <v>Southwest</v>
          </cell>
        </row>
        <row r="2183">
          <cell r="C2183" t="str">
            <v>Brechin PS</v>
          </cell>
          <cell r="D2183" t="str">
            <v>Potentia Solar 5 Limited Partnership</v>
          </cell>
          <cell r="E2183" t="str">
            <v>CO</v>
          </cell>
          <cell r="F2183">
            <v>42063</v>
          </cell>
          <cell r="G2183">
            <v>42228</v>
          </cell>
          <cell r="H2183">
            <v>49367</v>
          </cell>
          <cell r="I2183" t="str">
            <v>19 years, 6 months, 15 days</v>
          </cell>
          <cell r="J2183" t="str">
            <v>Renewables</v>
          </cell>
          <cell r="K2183" t="str">
            <v>Solar (Rooftop)</v>
          </cell>
          <cell r="L2183" t="str">
            <v>Solar</v>
          </cell>
          <cell r="M2183" t="str">
            <v>Dx</v>
          </cell>
          <cell r="N2183" t="str">
            <v>Brechin</v>
          </cell>
          <cell r="O2183" t="str">
            <v>Simcoe</v>
          </cell>
          <cell r="P2183" t="str">
            <v>Essa</v>
          </cell>
        </row>
        <row r="2184">
          <cell r="C2184" t="str">
            <v>260 Centre St</v>
          </cell>
          <cell r="D2184" t="str">
            <v>Southwest Solar Venture One Inc.</v>
          </cell>
          <cell r="E2184" t="str">
            <v>CO</v>
          </cell>
          <cell r="F2184">
            <v>42224</v>
          </cell>
          <cell r="G2184">
            <v>42199</v>
          </cell>
          <cell r="H2184">
            <v>49503</v>
          </cell>
          <cell r="I2184" t="str">
            <v>19 years, 11 months, 29 days</v>
          </cell>
          <cell r="J2184" t="str">
            <v>Renewables</v>
          </cell>
          <cell r="K2184" t="str">
            <v>Solar (Rooftop)</v>
          </cell>
          <cell r="L2184" t="str">
            <v>Solar</v>
          </cell>
          <cell r="M2184" t="str">
            <v>Dx</v>
          </cell>
          <cell r="N2184" t="str">
            <v>Petrolia</v>
          </cell>
          <cell r="O2184" t="str">
            <v>Lambton</v>
          </cell>
          <cell r="P2184" t="str">
            <v>West</v>
          </cell>
        </row>
        <row r="2185">
          <cell r="C2185" t="str">
            <v>Highfield JS</v>
          </cell>
          <cell r="D2185" t="str">
            <v>TSPS (Portfolio 2) Limited Partnership</v>
          </cell>
          <cell r="E2185" t="str">
            <v>CO</v>
          </cell>
          <cell r="F2185">
            <v>42597</v>
          </cell>
          <cell r="G2185">
            <v>42636</v>
          </cell>
          <cell r="H2185">
            <v>49901</v>
          </cell>
          <cell r="I2185" t="str">
            <v>19 years, 10 months, 22 days</v>
          </cell>
          <cell r="J2185" t="str">
            <v>Renewables</v>
          </cell>
          <cell r="K2185" t="str">
            <v>Solar (Rooftop)</v>
          </cell>
          <cell r="L2185" t="str">
            <v>Solar</v>
          </cell>
          <cell r="M2185" t="str">
            <v>Dx</v>
          </cell>
          <cell r="N2185" t="str">
            <v>Toronto</v>
          </cell>
          <cell r="O2185" t="str">
            <v>Toronto</v>
          </cell>
          <cell r="P2185" t="str">
            <v>Toronto</v>
          </cell>
        </row>
        <row r="2186">
          <cell r="C2186" t="str">
            <v>Silver Springs PS</v>
          </cell>
          <cell r="D2186" t="str">
            <v>TSPS (Portfolio 2) Limited Partnership</v>
          </cell>
          <cell r="E2186" t="str">
            <v>CO</v>
          </cell>
          <cell r="F2186">
            <v>42609</v>
          </cell>
          <cell r="G2186">
            <v>42335</v>
          </cell>
          <cell r="H2186">
            <v>49639</v>
          </cell>
          <cell r="I2186" t="str">
            <v>19 years, 11 months, 30 days</v>
          </cell>
          <cell r="J2186" t="str">
            <v>Renewables</v>
          </cell>
          <cell r="K2186" t="str">
            <v>Solar (Rooftop)</v>
          </cell>
          <cell r="L2186" t="str">
            <v>Solar</v>
          </cell>
          <cell r="M2186" t="str">
            <v>Dx</v>
          </cell>
          <cell r="N2186" t="str">
            <v>Toronto</v>
          </cell>
          <cell r="O2186" t="str">
            <v>Toronto</v>
          </cell>
          <cell r="P2186" t="str">
            <v>Toronto</v>
          </cell>
        </row>
        <row r="2187">
          <cell r="C2187" t="str">
            <v>Lynngate Jr PS</v>
          </cell>
          <cell r="D2187" t="str">
            <v>TSPS (Portfolio 1) Limited Partnership</v>
          </cell>
          <cell r="E2187" t="str">
            <v>CO</v>
          </cell>
          <cell r="F2187">
            <v>42602</v>
          </cell>
          <cell r="G2187">
            <v>42149</v>
          </cell>
          <cell r="H2187">
            <v>49453</v>
          </cell>
          <cell r="I2187" t="str">
            <v>19 years, 11 months, 29 days</v>
          </cell>
          <cell r="J2187" t="str">
            <v>Renewables</v>
          </cell>
          <cell r="K2187" t="str">
            <v>Solar (Rooftop)</v>
          </cell>
          <cell r="L2187" t="str">
            <v>Solar</v>
          </cell>
          <cell r="M2187" t="str">
            <v>Dx</v>
          </cell>
          <cell r="N2187" t="str">
            <v>Toronto</v>
          </cell>
          <cell r="O2187" t="str">
            <v>Toronto</v>
          </cell>
          <cell r="P2187" t="str">
            <v>Toronto</v>
          </cell>
        </row>
        <row r="2188">
          <cell r="C2188" t="str">
            <v>HAG - Station F8</v>
          </cell>
          <cell r="D2188" t="str">
            <v>Maxim Solar Power Corporation</v>
          </cell>
          <cell r="E2188" t="str">
            <v>CO</v>
          </cell>
          <cell r="F2188">
            <v>42658</v>
          </cell>
          <cell r="G2188">
            <v>42549</v>
          </cell>
          <cell r="H2188">
            <v>49853</v>
          </cell>
          <cell r="I2188" t="str">
            <v>19 years, 11 months, 30 days</v>
          </cell>
          <cell r="J2188" t="str">
            <v>Renewables</v>
          </cell>
          <cell r="K2188" t="str">
            <v>Solar (Ground Mounted)</v>
          </cell>
          <cell r="L2188" t="str">
            <v>Solar</v>
          </cell>
          <cell r="M2188" t="str">
            <v>Dx</v>
          </cell>
          <cell r="N2188" t="str">
            <v>Hagersville</v>
          </cell>
          <cell r="O2188" t="str">
            <v>Haldimand</v>
          </cell>
          <cell r="P2188" t="str">
            <v>Southwest</v>
          </cell>
        </row>
        <row r="2189">
          <cell r="C2189" t="str">
            <v>GEO-247 Armstrong</v>
          </cell>
          <cell r="D2189" t="str">
            <v>Métis Nation of Ontario - BrightRoof Solar LP</v>
          </cell>
          <cell r="E2189" t="str">
            <v>CO</v>
          </cell>
          <cell r="F2189">
            <v>42104</v>
          </cell>
          <cell r="G2189">
            <v>42191</v>
          </cell>
          <cell r="H2189">
            <v>49408</v>
          </cell>
          <cell r="I2189" t="str">
            <v>19 years, 9 months, 3 days</v>
          </cell>
          <cell r="J2189" t="str">
            <v>Renewables</v>
          </cell>
          <cell r="K2189" t="str">
            <v>Solar (Rooftop)</v>
          </cell>
          <cell r="L2189" t="str">
            <v>Solar</v>
          </cell>
          <cell r="M2189" t="str">
            <v>Dx</v>
          </cell>
          <cell r="N2189" t="str">
            <v>Halton Hills</v>
          </cell>
          <cell r="O2189" t="str">
            <v>Halton</v>
          </cell>
          <cell r="P2189" t="str">
            <v>Toronto</v>
          </cell>
        </row>
        <row r="2190">
          <cell r="C2190" t="str">
            <v>R02-541 Conlins</v>
          </cell>
          <cell r="D2190" t="str">
            <v>Solar Flow-Through Projects (2014 Subco F2) LTD.</v>
          </cell>
          <cell r="E2190" t="str">
            <v>CO</v>
          </cell>
          <cell r="F2190">
            <v>42089</v>
          </cell>
          <cell r="G2190">
            <v>42255</v>
          </cell>
          <cell r="H2190">
            <v>49393</v>
          </cell>
          <cell r="I2190" t="str">
            <v>19 years, 6 months, 17 days</v>
          </cell>
          <cell r="J2190" t="str">
            <v>Renewables</v>
          </cell>
          <cell r="K2190" t="str">
            <v>Solar (Rooftop)</v>
          </cell>
          <cell r="L2190" t="str">
            <v>Solar</v>
          </cell>
          <cell r="M2190" t="str">
            <v>Dx</v>
          </cell>
          <cell r="N2190" t="str">
            <v>Toronto</v>
          </cell>
          <cell r="O2190" t="str">
            <v>Toronto</v>
          </cell>
          <cell r="P2190" t="str">
            <v>Toronto</v>
          </cell>
        </row>
        <row r="2191">
          <cell r="C2191" t="str">
            <v>St. Matthew Catholic Elementary School</v>
          </cell>
          <cell r="D2191" t="str">
            <v>Potentia Solar 6 Limited Partnership</v>
          </cell>
          <cell r="E2191" t="str">
            <v>CO</v>
          </cell>
          <cell r="F2191">
            <v>42102</v>
          </cell>
          <cell r="G2191">
            <v>42272</v>
          </cell>
          <cell r="H2191">
            <v>49406</v>
          </cell>
          <cell r="I2191" t="str">
            <v>19 years, 6 months, 13 days</v>
          </cell>
          <cell r="J2191" t="str">
            <v>Renewables</v>
          </cell>
          <cell r="K2191" t="str">
            <v>Solar (Rooftop)</v>
          </cell>
          <cell r="L2191" t="str">
            <v>Solar</v>
          </cell>
          <cell r="M2191" t="str">
            <v>Dx</v>
          </cell>
          <cell r="N2191" t="str">
            <v>Waterloo</v>
          </cell>
          <cell r="O2191" t="str">
            <v>Waterloo</v>
          </cell>
          <cell r="P2191" t="str">
            <v>Southwest</v>
          </cell>
        </row>
        <row r="2192">
          <cell r="C2192" t="str">
            <v>Humbercrest Public School</v>
          </cell>
          <cell r="D2192" t="str">
            <v>TSPS (Portfolio 2) Limited Partnership</v>
          </cell>
          <cell r="E2192" t="str">
            <v>CO</v>
          </cell>
          <cell r="F2192">
            <v>42597</v>
          </cell>
          <cell r="G2192">
            <v>42702</v>
          </cell>
          <cell r="H2192">
            <v>49901</v>
          </cell>
          <cell r="I2192" t="str">
            <v>19 years, 8 months, 17 days</v>
          </cell>
          <cell r="J2192" t="str">
            <v>Renewables</v>
          </cell>
          <cell r="K2192" t="str">
            <v>Solar (Rooftop)</v>
          </cell>
          <cell r="L2192" t="str">
            <v>Solar</v>
          </cell>
          <cell r="M2192" t="str">
            <v>Dx</v>
          </cell>
          <cell r="N2192" t="str">
            <v>Toronto</v>
          </cell>
          <cell r="O2192" t="str">
            <v>Toronto</v>
          </cell>
          <cell r="P2192" t="str">
            <v>Toronto</v>
          </cell>
        </row>
        <row r="2193">
          <cell r="C2193" t="str">
            <v>Wehrmann Farms- Solar</v>
          </cell>
          <cell r="D2193" t="str">
            <v>Wehrmann Farms Ltd.</v>
          </cell>
          <cell r="E2193" t="str">
            <v>CO</v>
          </cell>
          <cell r="F2193">
            <v>42110</v>
          </cell>
          <cell r="G2193">
            <v>42156</v>
          </cell>
          <cell r="H2193">
            <v>49414</v>
          </cell>
          <cell r="I2193" t="str">
            <v>19 years, 10 months, 14 days</v>
          </cell>
          <cell r="J2193" t="str">
            <v>Renewables</v>
          </cell>
          <cell r="K2193" t="str">
            <v>Solar (Rooftop)</v>
          </cell>
          <cell r="L2193" t="str">
            <v>Solar</v>
          </cell>
          <cell r="M2193" t="str">
            <v>Dx</v>
          </cell>
          <cell r="N2193" t="str">
            <v>Ripley</v>
          </cell>
          <cell r="O2193" t="str">
            <v>Bruce</v>
          </cell>
          <cell r="P2193" t="str">
            <v>Bruce</v>
          </cell>
        </row>
        <row r="2194">
          <cell r="C2194" t="str">
            <v>Dixon Grove JMS</v>
          </cell>
          <cell r="D2194" t="str">
            <v>TSPS (Portfolio 2) Limited Partnership</v>
          </cell>
          <cell r="E2194" t="str">
            <v>CO</v>
          </cell>
          <cell r="F2194">
            <v>42588</v>
          </cell>
          <cell r="G2194">
            <v>42613</v>
          </cell>
          <cell r="H2194">
            <v>49892</v>
          </cell>
          <cell r="I2194" t="str">
            <v>19 years, 11 months, 5 days</v>
          </cell>
          <cell r="J2194" t="str">
            <v>Renewables</v>
          </cell>
          <cell r="K2194" t="str">
            <v>Solar (Rooftop)</v>
          </cell>
          <cell r="L2194" t="str">
            <v>Solar</v>
          </cell>
          <cell r="M2194" t="str">
            <v>Dx</v>
          </cell>
          <cell r="N2194" t="str">
            <v>Toronto</v>
          </cell>
          <cell r="O2194" t="str">
            <v>Toronto</v>
          </cell>
          <cell r="P2194" t="str">
            <v>Toronto</v>
          </cell>
        </row>
        <row r="2195">
          <cell r="C2195" t="str">
            <v>J S Woodsworth Sr PS</v>
          </cell>
          <cell r="D2195" t="str">
            <v>TSPS (Portfolio 1) Limited Partnership</v>
          </cell>
          <cell r="E2195" t="str">
            <v>CO</v>
          </cell>
          <cell r="F2195">
            <v>42597</v>
          </cell>
          <cell r="G2195">
            <v>41985</v>
          </cell>
          <cell r="H2195">
            <v>49289</v>
          </cell>
          <cell r="I2195" t="str">
            <v>19 years, 11 months, 29 days</v>
          </cell>
          <cell r="J2195" t="str">
            <v>Renewables</v>
          </cell>
          <cell r="K2195" t="str">
            <v>Solar (Rooftop)</v>
          </cell>
          <cell r="L2195" t="str">
            <v>Solar</v>
          </cell>
          <cell r="M2195" t="str">
            <v>Dx</v>
          </cell>
          <cell r="N2195" t="str">
            <v>Toronto</v>
          </cell>
          <cell r="O2195" t="str">
            <v>Toronto</v>
          </cell>
          <cell r="P2195" t="str">
            <v>Toronto</v>
          </cell>
        </row>
        <row r="2196">
          <cell r="C2196" t="str">
            <v>Lakeshore CI</v>
          </cell>
          <cell r="D2196" t="str">
            <v>TSPS (Portfolio 1) Limited Partnership</v>
          </cell>
          <cell r="E2196" t="str">
            <v>CO</v>
          </cell>
          <cell r="F2196">
            <v>42602</v>
          </cell>
          <cell r="G2196">
            <v>42243</v>
          </cell>
          <cell r="H2196">
            <v>49547</v>
          </cell>
          <cell r="I2196" t="str">
            <v>19 years, 11 months, 30 days</v>
          </cell>
          <cell r="J2196" t="str">
            <v>Renewables</v>
          </cell>
          <cell r="K2196" t="str">
            <v>Solar (Rooftop)</v>
          </cell>
          <cell r="L2196" t="str">
            <v>Solar</v>
          </cell>
          <cell r="M2196" t="str">
            <v>Dx</v>
          </cell>
          <cell r="N2196" t="str">
            <v>Toronto</v>
          </cell>
          <cell r="O2196" t="str">
            <v>Toronto</v>
          </cell>
          <cell r="P2196" t="str">
            <v>Toronto</v>
          </cell>
        </row>
        <row r="2197">
          <cell r="C2197" t="str">
            <v>Princess Margaret</v>
          </cell>
          <cell r="D2197" t="str">
            <v>TSPS (Portfolio 2) Limited Partnership</v>
          </cell>
          <cell r="E2197" t="str">
            <v>CO</v>
          </cell>
          <cell r="F2197">
            <v>42604</v>
          </cell>
          <cell r="G2197">
            <v>42643</v>
          </cell>
          <cell r="H2197">
            <v>49908</v>
          </cell>
          <cell r="I2197" t="str">
            <v>19 years, 10 months, 22 days</v>
          </cell>
          <cell r="J2197" t="str">
            <v>Renewables</v>
          </cell>
          <cell r="K2197" t="str">
            <v>Solar (Rooftop)</v>
          </cell>
          <cell r="L2197" t="str">
            <v>Solar</v>
          </cell>
          <cell r="M2197" t="str">
            <v>Dx</v>
          </cell>
          <cell r="N2197" t="str">
            <v>Toronto</v>
          </cell>
          <cell r="O2197" t="str">
            <v>Toronto</v>
          </cell>
          <cell r="P2197" t="str">
            <v>Toronto</v>
          </cell>
        </row>
        <row r="2198">
          <cell r="C2198" t="str">
            <v>62 - Neukamm Farm</v>
          </cell>
          <cell r="D2198" t="str">
            <v>SIF-AMBER PROJECTS LP</v>
          </cell>
          <cell r="E2198" t="str">
            <v>CO</v>
          </cell>
          <cell r="F2198">
            <v>42056</v>
          </cell>
          <cell r="G2198">
            <v>42178</v>
          </cell>
          <cell r="H2198">
            <v>49360</v>
          </cell>
          <cell r="I2198" t="str">
            <v>19 years, 7 months, 28 days</v>
          </cell>
          <cell r="J2198" t="str">
            <v>Renewables</v>
          </cell>
          <cell r="K2198" t="str">
            <v>Solar (Rooftop)</v>
          </cell>
          <cell r="L2198" t="str">
            <v>Solar</v>
          </cell>
          <cell r="M2198" t="str">
            <v>Dx</v>
          </cell>
          <cell r="N2198" t="str">
            <v>Aylmer</v>
          </cell>
          <cell r="O2198" t="str">
            <v>Elgin</v>
          </cell>
          <cell r="P2198" t="str">
            <v>West</v>
          </cell>
        </row>
        <row r="2199">
          <cell r="C2199" t="str">
            <v>Vingerhoeds Solar Goat</v>
          </cell>
          <cell r="D2199" t="str">
            <v>Peter Andrew Vingerhoeds, Amy Christine Vingerhoeds</v>
          </cell>
          <cell r="E2199" t="str">
            <v>CO</v>
          </cell>
          <cell r="F2199">
            <v>42075</v>
          </cell>
          <cell r="G2199">
            <v>41884</v>
          </cell>
          <cell r="H2199">
            <v>49188</v>
          </cell>
          <cell r="I2199" t="str">
            <v>19 years, 11 months, 30 days</v>
          </cell>
          <cell r="J2199" t="str">
            <v>Renewables</v>
          </cell>
          <cell r="K2199" t="str">
            <v>Solar (Rooftop)</v>
          </cell>
          <cell r="L2199" t="str">
            <v>Solar</v>
          </cell>
          <cell r="M2199" t="str">
            <v>Dx</v>
          </cell>
          <cell r="N2199" t="str">
            <v>Hensall</v>
          </cell>
          <cell r="O2199" t="str">
            <v>Huron</v>
          </cell>
          <cell r="P2199" t="str">
            <v>Southwest</v>
          </cell>
        </row>
        <row r="2200">
          <cell r="C2200" t="str">
            <v>Fleming PS</v>
          </cell>
          <cell r="D2200" t="str">
            <v>TSPS (Portfolio 2) Limited Partnership</v>
          </cell>
          <cell r="E2200" t="str">
            <v>CO</v>
          </cell>
          <cell r="F2200">
            <v>42590</v>
          </cell>
          <cell r="G2200">
            <v>42468</v>
          </cell>
          <cell r="H2200">
            <v>49772</v>
          </cell>
          <cell r="I2200" t="str">
            <v>19 years, 11 months, 30 days</v>
          </cell>
          <cell r="J2200" t="str">
            <v>Renewables</v>
          </cell>
          <cell r="K2200" t="str">
            <v>Solar (Rooftop)</v>
          </cell>
          <cell r="L2200" t="str">
            <v>Solar</v>
          </cell>
          <cell r="M2200" t="str">
            <v>Dx</v>
          </cell>
          <cell r="N2200" t="str">
            <v>Toronto</v>
          </cell>
          <cell r="O2200" t="str">
            <v>Toronto</v>
          </cell>
          <cell r="P2200" t="str">
            <v>Toronto</v>
          </cell>
        </row>
        <row r="2201">
          <cell r="C2201" t="str">
            <v>Faywood Arts-Based Curriculum School</v>
          </cell>
          <cell r="D2201" t="str">
            <v>TSPS (Portfolio 2) Limited Partnership</v>
          </cell>
          <cell r="E2201" t="str">
            <v>CO</v>
          </cell>
          <cell r="F2201">
            <v>42590</v>
          </cell>
          <cell r="G2201">
            <v>42703</v>
          </cell>
          <cell r="H2201">
            <v>49894</v>
          </cell>
          <cell r="I2201" t="str">
            <v>19 years, 8 months, 9 days</v>
          </cell>
          <cell r="J2201" t="str">
            <v>Renewables</v>
          </cell>
          <cell r="K2201" t="str">
            <v>Solar (Rooftop)</v>
          </cell>
          <cell r="L2201" t="str">
            <v>Solar</v>
          </cell>
          <cell r="M2201" t="str">
            <v>Dx</v>
          </cell>
          <cell r="N2201" t="str">
            <v>Toronto</v>
          </cell>
          <cell r="O2201" t="str">
            <v>Toronto</v>
          </cell>
          <cell r="P2201" t="str">
            <v>Toronto</v>
          </cell>
        </row>
        <row r="2202">
          <cell r="C2202" t="str">
            <v>Chicken Barn</v>
          </cell>
          <cell r="D2202" t="str">
            <v>SCCEC LP</v>
          </cell>
          <cell r="E2202" t="str">
            <v>CO</v>
          </cell>
          <cell r="F2202">
            <v>42104</v>
          </cell>
          <cell r="G2202">
            <v>42250</v>
          </cell>
          <cell r="H2202">
            <v>49408</v>
          </cell>
          <cell r="I2202" t="str">
            <v>19 years, 7 months, 6 days</v>
          </cell>
          <cell r="J2202" t="str">
            <v>Renewables</v>
          </cell>
          <cell r="K2202" t="str">
            <v>Solar (Rooftop)</v>
          </cell>
          <cell r="L2202" t="str">
            <v>Solar</v>
          </cell>
          <cell r="M2202" t="str">
            <v>Dx</v>
          </cell>
          <cell r="N2202" t="str">
            <v>Elmvale</v>
          </cell>
          <cell r="O2202" t="str">
            <v>Simcoe</v>
          </cell>
          <cell r="P2202" t="str">
            <v>Essa</v>
          </cell>
        </row>
        <row r="2203">
          <cell r="C2203" t="str">
            <v>49 - Reymer personal Farm</v>
          </cell>
          <cell r="D2203" t="str">
            <v>AMBER Energy Co-operative Inc.</v>
          </cell>
          <cell r="E2203" t="str">
            <v>CO</v>
          </cell>
          <cell r="F2203">
            <v>42056</v>
          </cell>
          <cell r="G2203">
            <v>42235</v>
          </cell>
          <cell r="H2203">
            <v>49360</v>
          </cell>
          <cell r="I2203" t="str">
            <v>19 years, 6 months, 1 days</v>
          </cell>
          <cell r="J2203" t="str">
            <v>Renewables</v>
          </cell>
          <cell r="K2203" t="str">
            <v>Solar (Rooftop)</v>
          </cell>
          <cell r="L2203" t="str">
            <v>Solar</v>
          </cell>
          <cell r="M2203" t="str">
            <v>Dx</v>
          </cell>
          <cell r="N2203" t="str">
            <v>Aylmer</v>
          </cell>
          <cell r="O2203" t="str">
            <v>Elgin</v>
          </cell>
          <cell r="P2203" t="str">
            <v>West</v>
          </cell>
        </row>
        <row r="2204">
          <cell r="C2204" t="str">
            <v>1875 Wharncliffe</v>
          </cell>
          <cell r="D2204" t="str">
            <v>N&amp;G LP</v>
          </cell>
          <cell r="E2204" t="str">
            <v>CO</v>
          </cell>
          <cell r="F2204">
            <v>42054</v>
          </cell>
          <cell r="G2204">
            <v>42184</v>
          </cell>
          <cell r="H2204">
            <v>49358</v>
          </cell>
          <cell r="I2204" t="str">
            <v>19 years, 7 months, 20 days</v>
          </cell>
          <cell r="J2204" t="str">
            <v>Renewables</v>
          </cell>
          <cell r="K2204" t="str">
            <v>Solar (Rooftop)</v>
          </cell>
          <cell r="L2204" t="str">
            <v>Solar</v>
          </cell>
          <cell r="M2204" t="str">
            <v>Dx</v>
          </cell>
          <cell r="N2204" t="str">
            <v>London</v>
          </cell>
          <cell r="O2204" t="str">
            <v>Middlesex</v>
          </cell>
          <cell r="P2204" t="str">
            <v>West</v>
          </cell>
        </row>
        <row r="2205">
          <cell r="C2205" t="str">
            <v>Regent Park PS</v>
          </cell>
          <cell r="D2205" t="str">
            <v>Potentia Solar 5 Limited Partnership</v>
          </cell>
          <cell r="E2205" t="str">
            <v>CO</v>
          </cell>
          <cell r="F2205">
            <v>42063</v>
          </cell>
          <cell r="G2205">
            <v>42180</v>
          </cell>
          <cell r="H2205">
            <v>49367</v>
          </cell>
          <cell r="I2205" t="str">
            <v>19 years, 8 months, 2 days</v>
          </cell>
          <cell r="J2205" t="str">
            <v>Renewables</v>
          </cell>
          <cell r="K2205" t="str">
            <v>Solar (Rooftop)</v>
          </cell>
          <cell r="L2205" t="str">
            <v>Solar</v>
          </cell>
          <cell r="M2205" t="str">
            <v>Dx</v>
          </cell>
          <cell r="N2205" t="str">
            <v>Orillia</v>
          </cell>
          <cell r="O2205" t="str">
            <v>Simcoe</v>
          </cell>
          <cell r="P2205" t="str">
            <v>Essa</v>
          </cell>
        </row>
        <row r="2206">
          <cell r="C2206" t="str">
            <v>Sunny View Jr &amp; Sr PS</v>
          </cell>
          <cell r="D2206" t="str">
            <v>TSPS (Portfolio 2) Limited Partnership</v>
          </cell>
          <cell r="E2206" t="str">
            <v>CO</v>
          </cell>
          <cell r="F2206">
            <v>42611</v>
          </cell>
          <cell r="G2206">
            <v>42613</v>
          </cell>
          <cell r="H2206">
            <v>49915</v>
          </cell>
          <cell r="I2206" t="str">
            <v>19 years, 11 months, 28 days</v>
          </cell>
          <cell r="J2206" t="str">
            <v>Renewables</v>
          </cell>
          <cell r="K2206" t="str">
            <v>Solar (Rooftop)</v>
          </cell>
          <cell r="L2206" t="str">
            <v>Solar</v>
          </cell>
          <cell r="M2206" t="str">
            <v>Dx</v>
          </cell>
          <cell r="N2206" t="str">
            <v>Toronto</v>
          </cell>
          <cell r="O2206" t="str">
            <v>Toronto</v>
          </cell>
          <cell r="P2206" t="str">
            <v>Toronto</v>
          </cell>
        </row>
        <row r="2207">
          <cell r="C2207" t="str">
            <v>ChadwickSolar</v>
          </cell>
          <cell r="D2207" t="str">
            <v>Chadwick Farms Inc.</v>
          </cell>
          <cell r="E2207" t="str">
            <v>CO</v>
          </cell>
          <cell r="F2207">
            <v>42061</v>
          </cell>
          <cell r="G2207">
            <v>42033</v>
          </cell>
          <cell r="H2207">
            <v>49337</v>
          </cell>
          <cell r="I2207" t="str">
            <v>19 years, 11 months, 30 days</v>
          </cell>
          <cell r="J2207" t="str">
            <v>Renewables</v>
          </cell>
          <cell r="K2207" t="str">
            <v>Solar (Rooftop)</v>
          </cell>
          <cell r="L2207" t="str">
            <v>Solar</v>
          </cell>
          <cell r="M2207" t="str">
            <v>Dx</v>
          </cell>
          <cell r="N2207" t="str">
            <v>Deseronto</v>
          </cell>
          <cell r="O2207" t="str">
            <v>Hastings</v>
          </cell>
          <cell r="P2207" t="str">
            <v>East</v>
          </cell>
        </row>
        <row r="2208">
          <cell r="C2208" t="str">
            <v>Icarus 250kW Keswick</v>
          </cell>
          <cell r="D2208" t="str">
            <v>Icarus Whitesand Solar Limited Partnership</v>
          </cell>
          <cell r="E2208" t="str">
            <v>CO</v>
          </cell>
          <cell r="F2208">
            <v>42117</v>
          </cell>
          <cell r="G2208">
            <v>42333</v>
          </cell>
          <cell r="H2208">
            <v>49421</v>
          </cell>
          <cell r="I2208" t="str">
            <v>19 years, 4 months, 28 days</v>
          </cell>
          <cell r="J2208" t="str">
            <v>Renewables</v>
          </cell>
          <cell r="K2208" t="str">
            <v>Solar (Rooftop)</v>
          </cell>
          <cell r="L2208" t="str">
            <v>Solar</v>
          </cell>
          <cell r="M2208" t="str">
            <v>Dx</v>
          </cell>
          <cell r="N2208" t="str">
            <v>Keswick</v>
          </cell>
          <cell r="O2208" t="str">
            <v>York</v>
          </cell>
          <cell r="P2208" t="str">
            <v>Essa</v>
          </cell>
        </row>
        <row r="2209">
          <cell r="C2209" t="str">
            <v>Howard Jr PS</v>
          </cell>
          <cell r="D2209" t="str">
            <v>TSPS (Portfolio 2) Limited Partnership</v>
          </cell>
          <cell r="E2209" t="str">
            <v>CO</v>
          </cell>
          <cell r="F2209">
            <v>42616</v>
          </cell>
          <cell r="G2209">
            <v>42298</v>
          </cell>
          <cell r="H2209">
            <v>49602</v>
          </cell>
          <cell r="I2209" t="str">
            <v>19 years, 11 months, 29 days</v>
          </cell>
          <cell r="J2209" t="str">
            <v>Renewables</v>
          </cell>
          <cell r="K2209" t="str">
            <v>Solar (Rooftop)</v>
          </cell>
          <cell r="L2209" t="str">
            <v>Solar</v>
          </cell>
          <cell r="M2209" t="str">
            <v>Dx</v>
          </cell>
          <cell r="N2209" t="str">
            <v>Toronto</v>
          </cell>
          <cell r="O2209" t="str">
            <v>Toronto</v>
          </cell>
          <cell r="P2209" t="str">
            <v>Toronto</v>
          </cell>
        </row>
        <row r="2210">
          <cell r="C2210" t="str">
            <v>TVM King St.</v>
          </cell>
          <cell r="D2210" t="str">
            <v>TVM King Street Inc.</v>
          </cell>
          <cell r="E2210" t="str">
            <v>CO</v>
          </cell>
          <cell r="F2210">
            <v>42104</v>
          </cell>
          <cell r="G2210">
            <v>42271</v>
          </cell>
          <cell r="H2210">
            <v>49408</v>
          </cell>
          <cell r="I2210" t="str">
            <v>19 years, 6 months, 16 days</v>
          </cell>
          <cell r="J2210" t="str">
            <v>Renewables</v>
          </cell>
          <cell r="K2210" t="str">
            <v>Solar (Rooftop)</v>
          </cell>
          <cell r="L2210" t="str">
            <v>Solar</v>
          </cell>
          <cell r="M2210" t="str">
            <v>Dx</v>
          </cell>
          <cell r="N2210" t="str">
            <v>Cobourg</v>
          </cell>
          <cell r="O2210" t="str">
            <v>Northumberland</v>
          </cell>
          <cell r="P2210" t="str">
            <v>East</v>
          </cell>
        </row>
        <row r="2211">
          <cell r="C2211" t="str">
            <v>Drewry SS</v>
          </cell>
          <cell r="D2211" t="str">
            <v>TSPS (Portfolio 2) Limited Partnership</v>
          </cell>
          <cell r="E2211" t="str">
            <v>CO</v>
          </cell>
          <cell r="F2211">
            <v>42588</v>
          </cell>
          <cell r="G2211">
            <v>42689</v>
          </cell>
          <cell r="H2211">
            <v>49892</v>
          </cell>
          <cell r="I2211" t="str">
            <v>19 years, 8 months, 21 days</v>
          </cell>
          <cell r="J2211" t="str">
            <v>Renewables</v>
          </cell>
          <cell r="K2211" t="str">
            <v>Solar (Rooftop)</v>
          </cell>
          <cell r="L2211" t="str">
            <v>Solar</v>
          </cell>
          <cell r="M2211" t="str">
            <v>Dx</v>
          </cell>
          <cell r="N2211" t="str">
            <v>Toronto</v>
          </cell>
          <cell r="O2211" t="str">
            <v>Toronto</v>
          </cell>
          <cell r="P2211" t="str">
            <v>Toronto</v>
          </cell>
        </row>
        <row r="2212">
          <cell r="C2212" t="str">
            <v>BRA-107 Walker</v>
          </cell>
          <cell r="D2212" t="str">
            <v>Métis Nation of Ontario - BrightRoof Solar LP</v>
          </cell>
          <cell r="E2212" t="str">
            <v>CO</v>
          </cell>
          <cell r="F2212">
            <v>42075</v>
          </cell>
          <cell r="G2212">
            <v>42249</v>
          </cell>
          <cell r="H2212">
            <v>49379</v>
          </cell>
          <cell r="I2212" t="str">
            <v>19 years, 6 months, 9 days</v>
          </cell>
          <cell r="J2212" t="str">
            <v>Renewables</v>
          </cell>
          <cell r="K2212" t="str">
            <v>Solar (Rooftop)</v>
          </cell>
          <cell r="L2212" t="str">
            <v>Solar</v>
          </cell>
          <cell r="M2212" t="str">
            <v>Dx</v>
          </cell>
          <cell r="N2212" t="str">
            <v>Brampton</v>
          </cell>
          <cell r="O2212" t="str">
            <v>Peel</v>
          </cell>
          <cell r="P2212" t="str">
            <v>Toronto</v>
          </cell>
        </row>
        <row r="2213">
          <cell r="C2213" t="str">
            <v>NFN Small Business Center</v>
          </cell>
          <cell r="D2213" t="str">
            <v>NFN Solar LP</v>
          </cell>
          <cell r="E2213" t="str">
            <v>CO</v>
          </cell>
          <cell r="F2213">
            <v>42054</v>
          </cell>
          <cell r="G2213">
            <v>42093</v>
          </cell>
          <cell r="H2213">
            <v>49358</v>
          </cell>
          <cell r="I2213" t="str">
            <v>19 years, 10 months, 19 days</v>
          </cell>
          <cell r="J2213" t="str">
            <v>Renewables</v>
          </cell>
          <cell r="K2213" t="str">
            <v>Solar (Rooftop)</v>
          </cell>
          <cell r="L2213" t="str">
            <v>Solar</v>
          </cell>
          <cell r="M2213" t="str">
            <v>Dx</v>
          </cell>
          <cell r="N2213" t="str">
            <v>Sturgeon Falls</v>
          </cell>
          <cell r="O2213" t="str">
            <v>Nipissing</v>
          </cell>
          <cell r="P2213" t="str">
            <v>Northeast</v>
          </cell>
        </row>
        <row r="2214">
          <cell r="C2214" t="str">
            <v>Panjetan</v>
          </cell>
          <cell r="D2214" t="str">
            <v>TREC SolarShare Co-operative (No.1) Inc.</v>
          </cell>
          <cell r="E2214" t="str">
            <v>CO</v>
          </cell>
          <cell r="F2214">
            <v>42061</v>
          </cell>
          <cell r="G2214">
            <v>42240</v>
          </cell>
          <cell r="H2214">
            <v>49365</v>
          </cell>
          <cell r="I2214" t="str">
            <v>19 years, 6 months, 1 days</v>
          </cell>
          <cell r="J2214" t="str">
            <v>Renewables</v>
          </cell>
          <cell r="K2214" t="str">
            <v>Solar (Rooftop)</v>
          </cell>
          <cell r="L2214" t="str">
            <v>Solar</v>
          </cell>
          <cell r="M2214" t="str">
            <v>Dx</v>
          </cell>
          <cell r="N2214" t="str">
            <v>Markham</v>
          </cell>
          <cell r="O2214" t="str">
            <v>York</v>
          </cell>
          <cell r="P2214" t="str">
            <v>Toronto</v>
          </cell>
        </row>
        <row r="2215">
          <cell r="C2215" t="str">
            <v>National Training Rinks Solar II</v>
          </cell>
          <cell r="D2215" t="str">
            <v>CEW SUPERIOR V</v>
          </cell>
          <cell r="E2215" t="str">
            <v>CO</v>
          </cell>
          <cell r="F2215">
            <v>42117</v>
          </cell>
          <cell r="G2215">
            <v>41934</v>
          </cell>
          <cell r="H2215">
            <v>49238</v>
          </cell>
          <cell r="I2215" t="str">
            <v>19 years, 11 months, 29 days</v>
          </cell>
          <cell r="J2215" t="str">
            <v>Renewables</v>
          </cell>
          <cell r="K2215" t="str">
            <v>Solar (Rooftop)</v>
          </cell>
          <cell r="L2215" t="str">
            <v>Solar</v>
          </cell>
          <cell r="M2215" t="str">
            <v>Dx</v>
          </cell>
          <cell r="N2215" t="str">
            <v>Barrie</v>
          </cell>
          <cell r="O2215" t="str">
            <v>Simcoe</v>
          </cell>
          <cell r="P2215" t="str">
            <v>Essa</v>
          </cell>
        </row>
        <row r="2216">
          <cell r="C2216" t="str">
            <v>Jamieson PV</v>
          </cell>
          <cell r="D2216" t="str">
            <v>David William Jamieson, Janet May Jamieson</v>
          </cell>
          <cell r="E2216" t="str">
            <v>CO</v>
          </cell>
          <cell r="F2216">
            <v>42102</v>
          </cell>
          <cell r="G2216">
            <v>41850</v>
          </cell>
          <cell r="H2216">
            <v>49154</v>
          </cell>
          <cell r="I2216" t="str">
            <v>19 years, 11 months, 29 days</v>
          </cell>
          <cell r="J2216" t="str">
            <v>Renewables</v>
          </cell>
          <cell r="K2216" t="str">
            <v>Solar (Rooftop)</v>
          </cell>
          <cell r="L2216" t="str">
            <v>Solar</v>
          </cell>
          <cell r="M2216" t="str">
            <v>Dx</v>
          </cell>
          <cell r="N2216" t="str">
            <v>Omemee</v>
          </cell>
          <cell r="O2216" t="str">
            <v>Kawartha Lakes</v>
          </cell>
          <cell r="P2216" t="str">
            <v>East</v>
          </cell>
        </row>
        <row r="2217">
          <cell r="C2217" t="str">
            <v>Seneca Hill PS</v>
          </cell>
          <cell r="D2217" t="str">
            <v>TSPS (Portfolio 2) Limited Partnership</v>
          </cell>
          <cell r="E2217" t="str">
            <v>CO</v>
          </cell>
          <cell r="F2217">
            <v>42609</v>
          </cell>
          <cell r="G2217">
            <v>42671</v>
          </cell>
          <cell r="H2217">
            <v>49913</v>
          </cell>
          <cell r="I2217" t="str">
            <v>19 years, 9 months, 29 days</v>
          </cell>
          <cell r="J2217" t="str">
            <v>Renewables</v>
          </cell>
          <cell r="K2217" t="str">
            <v>Solar (Rooftop)</v>
          </cell>
          <cell r="L2217" t="str">
            <v>Solar</v>
          </cell>
          <cell r="M2217" t="str">
            <v>Dx</v>
          </cell>
          <cell r="N2217" t="str">
            <v>Toronto</v>
          </cell>
          <cell r="O2217" t="str">
            <v>Toronto</v>
          </cell>
          <cell r="P2217" t="str">
            <v>Toronto</v>
          </cell>
        </row>
        <row r="2218">
          <cell r="C2218" t="str">
            <v>Solar Project - 407 Basaltic Road</v>
          </cell>
          <cell r="D2218" t="str">
            <v>Bondfield Construction Company Limited</v>
          </cell>
          <cell r="E2218" t="str">
            <v>CO</v>
          </cell>
          <cell r="F2218">
            <v>42070</v>
          </cell>
          <cell r="G2218">
            <v>42167</v>
          </cell>
          <cell r="H2218">
            <v>49374</v>
          </cell>
          <cell r="I2218" t="str">
            <v>19 years, 8 months, 22 days</v>
          </cell>
          <cell r="J2218" t="str">
            <v>Renewables</v>
          </cell>
          <cell r="K2218" t="str">
            <v>Solar (Rooftop)</v>
          </cell>
          <cell r="L2218" t="str">
            <v>Solar</v>
          </cell>
          <cell r="M2218" t="str">
            <v>Dx</v>
          </cell>
          <cell r="N2218" t="str">
            <v>Concord</v>
          </cell>
          <cell r="O2218" t="str">
            <v>York</v>
          </cell>
          <cell r="P2218" t="str">
            <v>Toronto</v>
          </cell>
        </row>
        <row r="2219">
          <cell r="C2219" t="str">
            <v>General Brock PS</v>
          </cell>
          <cell r="D2219" t="str">
            <v>TSPS (Portfolio 2) Limited Partnership</v>
          </cell>
          <cell r="E2219" t="str">
            <v>CO</v>
          </cell>
          <cell r="F2219">
            <v>42597</v>
          </cell>
          <cell r="G2219">
            <v>42677</v>
          </cell>
          <cell r="H2219">
            <v>49901</v>
          </cell>
          <cell r="I2219" t="str">
            <v>19 years, 9 months, 11 days</v>
          </cell>
          <cell r="J2219" t="str">
            <v>Renewables</v>
          </cell>
          <cell r="K2219" t="str">
            <v>Solar (Rooftop)</v>
          </cell>
          <cell r="L2219" t="str">
            <v>Solar</v>
          </cell>
          <cell r="M2219" t="str">
            <v>Dx</v>
          </cell>
          <cell r="N2219" t="str">
            <v>Toronto</v>
          </cell>
          <cell r="O2219" t="str">
            <v>Toronto</v>
          </cell>
          <cell r="P2219" t="str">
            <v>Toronto</v>
          </cell>
        </row>
        <row r="2220">
          <cell r="C2220" t="str">
            <v>Carron Farms Ltd. #1</v>
          </cell>
          <cell r="D2220" t="str">
            <v>SCCEC LP</v>
          </cell>
          <cell r="E2220" t="str">
            <v>CO</v>
          </cell>
          <cell r="F2220">
            <v>42097</v>
          </cell>
          <cell r="G2220">
            <v>42157</v>
          </cell>
          <cell r="H2220">
            <v>49401</v>
          </cell>
          <cell r="I2220" t="str">
            <v>19 years, 10 months, 0 days</v>
          </cell>
          <cell r="J2220" t="str">
            <v>Renewables</v>
          </cell>
          <cell r="K2220" t="str">
            <v>Solar (Rooftop)</v>
          </cell>
          <cell r="L2220" t="str">
            <v>Solar</v>
          </cell>
          <cell r="M2220" t="str">
            <v>Dx</v>
          </cell>
          <cell r="N2220" t="str">
            <v>Bradford</v>
          </cell>
          <cell r="O2220" t="str">
            <v>Simcoe</v>
          </cell>
          <cell r="P2220" t="str">
            <v>Essa</v>
          </cell>
        </row>
        <row r="2221">
          <cell r="C2221" t="str">
            <v>C03-120 Van Kirk</v>
          </cell>
          <cell r="D2221" t="str">
            <v>Solar Flow-Through Projects (2014 Subco F2) LTD.</v>
          </cell>
          <cell r="E2221" t="str">
            <v>CO</v>
          </cell>
          <cell r="F2221">
            <v>42075</v>
          </cell>
          <cell r="G2221">
            <v>42265</v>
          </cell>
          <cell r="H2221">
            <v>49379</v>
          </cell>
          <cell r="I2221" t="str">
            <v>19 years, 5 months, 21 days</v>
          </cell>
          <cell r="J2221" t="str">
            <v>Renewables</v>
          </cell>
          <cell r="K2221" t="str">
            <v>Solar (Rooftop)</v>
          </cell>
          <cell r="L2221" t="str">
            <v>Solar</v>
          </cell>
          <cell r="M2221" t="str">
            <v>Dx</v>
          </cell>
          <cell r="N2221" t="str">
            <v>Brampton</v>
          </cell>
          <cell r="O2221" t="str">
            <v>Peel</v>
          </cell>
          <cell r="P2221" t="str">
            <v>Toronto</v>
          </cell>
        </row>
        <row r="2222">
          <cell r="C2222" t="str">
            <v>MSW Plastics</v>
          </cell>
          <cell r="D2222" t="str">
            <v>SE9 2013 LP</v>
          </cell>
          <cell r="E2222" t="str">
            <v>CO</v>
          </cell>
          <cell r="F2222">
            <v>42112</v>
          </cell>
          <cell r="G2222">
            <v>42235</v>
          </cell>
          <cell r="H2222">
            <v>49416</v>
          </cell>
          <cell r="I2222" t="str">
            <v>19 years, 7 months, 29 days</v>
          </cell>
          <cell r="J2222" t="str">
            <v>Renewables</v>
          </cell>
          <cell r="K2222" t="str">
            <v>Solar (Rooftop)</v>
          </cell>
          <cell r="L2222" t="str">
            <v>Solar</v>
          </cell>
          <cell r="M2222" t="str">
            <v>Dx</v>
          </cell>
          <cell r="N2222" t="str">
            <v>Palmerston</v>
          </cell>
          <cell r="O2222" t="str">
            <v>Wellington</v>
          </cell>
          <cell r="P2222" t="str">
            <v>Southwest</v>
          </cell>
        </row>
        <row r="2223">
          <cell r="C2223" t="str">
            <v>Rockford PS</v>
          </cell>
          <cell r="D2223" t="str">
            <v>TSPS (Portfolio 2) Limited Partnership</v>
          </cell>
          <cell r="E2223" t="str">
            <v>CO</v>
          </cell>
          <cell r="F2223">
            <v>42609</v>
          </cell>
          <cell r="G2223">
            <v>42643</v>
          </cell>
          <cell r="H2223">
            <v>49913</v>
          </cell>
          <cell r="I2223" t="str">
            <v>19 years, 10 months, 27 days</v>
          </cell>
          <cell r="J2223" t="str">
            <v>Renewables</v>
          </cell>
          <cell r="K2223" t="str">
            <v>Solar (Rooftop)</v>
          </cell>
          <cell r="L2223" t="str">
            <v>Solar</v>
          </cell>
          <cell r="M2223" t="str">
            <v>Dx</v>
          </cell>
          <cell r="N2223" t="str">
            <v>Toronto</v>
          </cell>
          <cell r="O2223" t="str">
            <v>Toronto</v>
          </cell>
          <cell r="P2223" t="str">
            <v>Toronto</v>
          </cell>
        </row>
        <row r="2224">
          <cell r="C2224" t="str">
            <v>545 Trillium Drive</v>
          </cell>
          <cell r="D2224" t="str">
            <v>Shelane Properties Inc.</v>
          </cell>
          <cell r="E2224" t="str">
            <v>CO</v>
          </cell>
          <cell r="F2224">
            <v>42061</v>
          </cell>
          <cell r="G2224">
            <v>41962</v>
          </cell>
          <cell r="H2224">
            <v>49266</v>
          </cell>
          <cell r="I2224" t="str">
            <v>19 years, 11 months, 30 days</v>
          </cell>
          <cell r="J2224" t="str">
            <v>Renewables</v>
          </cell>
          <cell r="K2224" t="str">
            <v>Solar (Rooftop)</v>
          </cell>
          <cell r="L2224" t="str">
            <v>Solar</v>
          </cell>
          <cell r="M2224" t="str">
            <v>Dx</v>
          </cell>
          <cell r="N2224" t="str">
            <v>Kitchener</v>
          </cell>
          <cell r="O2224" t="str">
            <v>Waterloo</v>
          </cell>
          <cell r="P2224" t="str">
            <v>Southwest</v>
          </cell>
        </row>
        <row r="2225">
          <cell r="C2225" t="str">
            <v>Brubacher Solar</v>
          </cell>
          <cell r="D2225" t="str">
            <v>SCCEC LP</v>
          </cell>
          <cell r="E2225" t="str">
            <v>CO</v>
          </cell>
          <cell r="F2225">
            <v>42104</v>
          </cell>
          <cell r="G2225">
            <v>42255</v>
          </cell>
          <cell r="H2225">
            <v>49408</v>
          </cell>
          <cell r="I2225" t="str">
            <v>19 years, 7 months, 1 days</v>
          </cell>
          <cell r="J2225" t="str">
            <v>Renewables</v>
          </cell>
          <cell r="K2225" t="str">
            <v>Solar (Rooftop)</v>
          </cell>
          <cell r="L2225" t="str">
            <v>Solar</v>
          </cell>
          <cell r="M2225" t="str">
            <v>Dx</v>
          </cell>
          <cell r="N2225" t="str">
            <v>Barrie</v>
          </cell>
          <cell r="O2225" t="str">
            <v>Simcoe</v>
          </cell>
          <cell r="P2225" t="str">
            <v>Southwest</v>
          </cell>
        </row>
        <row r="2226">
          <cell r="C2226" t="str">
            <v>North Agincourt Jr PS</v>
          </cell>
          <cell r="D2226" t="str">
            <v>TSPS (Portfolio 2) Limited Partnership</v>
          </cell>
          <cell r="E2226" t="str">
            <v>CO</v>
          </cell>
          <cell r="F2226">
            <v>42604</v>
          </cell>
          <cell r="G2226">
            <v>42244</v>
          </cell>
          <cell r="H2226">
            <v>49548</v>
          </cell>
          <cell r="I2226" t="str">
            <v>19 years, 11 months, 30 days</v>
          </cell>
          <cell r="J2226" t="str">
            <v>Renewables</v>
          </cell>
          <cell r="K2226" t="str">
            <v>Solar (Rooftop)</v>
          </cell>
          <cell r="L2226" t="str">
            <v>Solar</v>
          </cell>
          <cell r="M2226" t="str">
            <v>Dx</v>
          </cell>
          <cell r="N2226" t="str">
            <v>Toronto</v>
          </cell>
          <cell r="O2226" t="str">
            <v>Toronto</v>
          </cell>
          <cell r="P2226" t="str">
            <v>Toronto</v>
          </cell>
        </row>
        <row r="2227">
          <cell r="C2227" t="str">
            <v>KER-28453 Kerwood</v>
          </cell>
          <cell r="D2227" t="str">
            <v>GSC RP5 LP</v>
          </cell>
          <cell r="E2227" t="str">
            <v>CO</v>
          </cell>
          <cell r="F2227">
            <v>42070</v>
          </cell>
          <cell r="G2227">
            <v>42167</v>
          </cell>
          <cell r="H2227">
            <v>49374</v>
          </cell>
          <cell r="I2227" t="str">
            <v>19 years, 8 months, 22 days</v>
          </cell>
          <cell r="J2227" t="str">
            <v>Renewables</v>
          </cell>
          <cell r="K2227" t="str">
            <v>Solar (Rooftop)</v>
          </cell>
          <cell r="L2227" t="str">
            <v>Solar</v>
          </cell>
          <cell r="M2227" t="str">
            <v>Dx</v>
          </cell>
          <cell r="N2227" t="str">
            <v>Kerwood</v>
          </cell>
          <cell r="O2227" t="str">
            <v>Middlesex</v>
          </cell>
          <cell r="P2227" t="str">
            <v>West</v>
          </cell>
        </row>
        <row r="2228">
          <cell r="C2228" t="str">
            <v>Brant Sports Complex</v>
          </cell>
          <cell r="D2228" t="str">
            <v>Corporation of the County of Brant and Sustainability Brant Community Energy Co-operative Inc.</v>
          </cell>
          <cell r="E2228" t="str">
            <v>CO</v>
          </cell>
          <cell r="F2228">
            <v>42082</v>
          </cell>
          <cell r="G2228">
            <v>41964</v>
          </cell>
          <cell r="H2228">
            <v>49268</v>
          </cell>
          <cell r="I2228" t="str">
            <v>19 years, 11 months, 30 days</v>
          </cell>
          <cell r="J2228" t="str">
            <v>Renewables</v>
          </cell>
          <cell r="K2228" t="str">
            <v>Solar (Rooftop)</v>
          </cell>
          <cell r="L2228" t="str">
            <v>Solar</v>
          </cell>
          <cell r="M2228" t="str">
            <v>Dx</v>
          </cell>
          <cell r="N2228" t="str">
            <v>Paris</v>
          </cell>
          <cell r="O2228" t="str">
            <v>Brant</v>
          </cell>
          <cell r="P2228" t="str">
            <v>Southwest</v>
          </cell>
        </row>
        <row r="2229">
          <cell r="C2229" t="str">
            <v>Donwood Park Jr PS</v>
          </cell>
          <cell r="D2229" t="str">
            <v>TSPS (Portfolio 2) Limited Partnership</v>
          </cell>
          <cell r="E2229" t="str">
            <v>CO</v>
          </cell>
          <cell r="F2229">
            <v>42588</v>
          </cell>
          <cell r="G2229">
            <v>42489</v>
          </cell>
          <cell r="H2229">
            <v>49793</v>
          </cell>
          <cell r="I2229" t="str">
            <v>19 years, 11 months, 30 days</v>
          </cell>
          <cell r="J2229" t="str">
            <v>Renewables</v>
          </cell>
          <cell r="K2229" t="str">
            <v>Solar (Rooftop)</v>
          </cell>
          <cell r="L2229" t="str">
            <v>Solar</v>
          </cell>
          <cell r="M2229" t="str">
            <v>Dx</v>
          </cell>
          <cell r="N2229" t="str">
            <v>Toronto</v>
          </cell>
          <cell r="O2229" t="str">
            <v>Toronto</v>
          </cell>
          <cell r="P2229" t="str">
            <v>Toronto</v>
          </cell>
        </row>
        <row r="2230">
          <cell r="C2230" t="str">
            <v>Southline Layer Farms PV Solar</v>
          </cell>
          <cell r="D2230" t="str">
            <v>Southline Layer Farms Ltd.</v>
          </cell>
          <cell r="E2230" t="str">
            <v>CO</v>
          </cell>
          <cell r="F2230">
            <v>42104</v>
          </cell>
          <cell r="G2230">
            <v>42234</v>
          </cell>
          <cell r="H2230">
            <v>49408</v>
          </cell>
          <cell r="I2230" t="str">
            <v>19 years, 7 months, 22 days</v>
          </cell>
          <cell r="J2230" t="str">
            <v>Renewables</v>
          </cell>
          <cell r="K2230" t="str">
            <v>Solar (Rooftop)</v>
          </cell>
          <cell r="L2230" t="str">
            <v>Solar</v>
          </cell>
          <cell r="M2230" t="str">
            <v>Dx</v>
          </cell>
          <cell r="N2230" t="str">
            <v>Walkerton</v>
          </cell>
          <cell r="O2230" t="str">
            <v>Bruce</v>
          </cell>
          <cell r="P2230" t="str">
            <v>Southwest</v>
          </cell>
        </row>
        <row r="2231">
          <cell r="C2231" t="str">
            <v>Solvation-VF</v>
          </cell>
          <cell r="D2231" t="str">
            <v>SUNSHARE1 LP</v>
          </cell>
          <cell r="E2231" t="str">
            <v>CO</v>
          </cell>
          <cell r="F2231">
            <v>42761</v>
          </cell>
          <cell r="G2231">
            <v>42614</v>
          </cell>
          <cell r="H2231">
            <v>49918</v>
          </cell>
          <cell r="I2231" t="str">
            <v>19 years, 11 months, 30 days</v>
          </cell>
          <cell r="J2231" t="str">
            <v>Renewables</v>
          </cell>
          <cell r="K2231" t="str">
            <v>Solar (Ground Mounted)</v>
          </cell>
          <cell r="L2231" t="str">
            <v>Solar</v>
          </cell>
          <cell r="M2231" t="str">
            <v>Dx</v>
          </cell>
          <cell r="N2231" t="str">
            <v>Blind River</v>
          </cell>
          <cell r="O2231" t="str">
            <v>Algoma</v>
          </cell>
          <cell r="P2231" t="str">
            <v>Northeast</v>
          </cell>
        </row>
        <row r="2232">
          <cell r="C2232" t="str">
            <v>Harbord CI</v>
          </cell>
          <cell r="D2232" t="str">
            <v>TSPS (Portfolio 1) Limited Partnership</v>
          </cell>
          <cell r="E2232" t="str">
            <v>CO</v>
          </cell>
          <cell r="F2232">
            <v>42597</v>
          </cell>
          <cell r="G2232">
            <v>42290</v>
          </cell>
          <cell r="H2232">
            <v>49594</v>
          </cell>
          <cell r="I2232" t="str">
            <v>19 years, 11 months, 29 days</v>
          </cell>
          <cell r="J2232" t="str">
            <v>Renewables</v>
          </cell>
          <cell r="K2232" t="str">
            <v>Solar (Rooftop)</v>
          </cell>
          <cell r="L2232" t="str">
            <v>Solar</v>
          </cell>
          <cell r="M2232" t="str">
            <v>Dx</v>
          </cell>
          <cell r="N2232" t="str">
            <v>Toronto</v>
          </cell>
          <cell r="O2232" t="str">
            <v>Toronto</v>
          </cell>
          <cell r="P2232" t="str">
            <v>Toronto</v>
          </cell>
        </row>
        <row r="2233">
          <cell r="C2233" t="str">
            <v>LON-3851 Commerce</v>
          </cell>
          <cell r="D2233" t="str">
            <v>Métis Nation of Ontario - BrightRoof Solar LP</v>
          </cell>
          <cell r="E2233" t="str">
            <v>CO</v>
          </cell>
          <cell r="F2233">
            <v>42063</v>
          </cell>
          <cell r="G2233">
            <v>41885</v>
          </cell>
          <cell r="H2233">
            <v>49189</v>
          </cell>
          <cell r="I2233" t="str">
            <v>19 years, 11 months, 30 days</v>
          </cell>
          <cell r="J2233" t="str">
            <v>Renewables</v>
          </cell>
          <cell r="K2233" t="str">
            <v>Solar (Rooftop)</v>
          </cell>
          <cell r="L2233" t="str">
            <v>Solar</v>
          </cell>
          <cell r="M2233" t="str">
            <v>Dx</v>
          </cell>
          <cell r="N2233" t="str">
            <v>London</v>
          </cell>
          <cell r="O2233" t="str">
            <v>Middlesex</v>
          </cell>
          <cell r="P2233" t="str">
            <v>West</v>
          </cell>
        </row>
        <row r="2234">
          <cell r="C2234" t="str">
            <v>Mudry Solar</v>
          </cell>
          <cell r="D2234" t="str">
            <v>Hillsdale Energy Ltd.</v>
          </cell>
          <cell r="E2234" t="str">
            <v>CO</v>
          </cell>
          <cell r="F2234">
            <v>42089</v>
          </cell>
          <cell r="G2234">
            <v>42053</v>
          </cell>
          <cell r="H2234">
            <v>49357</v>
          </cell>
          <cell r="I2234" t="str">
            <v>19 years, 11 months, 30 days</v>
          </cell>
          <cell r="J2234" t="str">
            <v>Renewables</v>
          </cell>
          <cell r="K2234" t="str">
            <v>Solar (Rooftop)</v>
          </cell>
          <cell r="L2234" t="str">
            <v>Solar</v>
          </cell>
          <cell r="M2234" t="str">
            <v>Dx</v>
          </cell>
          <cell r="N2234" t="str">
            <v>Hillsdale</v>
          </cell>
          <cell r="O2234" t="str">
            <v>Simcoe</v>
          </cell>
          <cell r="P2234" t="str">
            <v>Essa</v>
          </cell>
        </row>
        <row r="2235">
          <cell r="C2235" t="str">
            <v>Wilcox Solar</v>
          </cell>
          <cell r="D2235" t="str">
            <v>SCCEC LP</v>
          </cell>
          <cell r="E2235" t="str">
            <v>CO</v>
          </cell>
          <cell r="F2235">
            <v>42104</v>
          </cell>
          <cell r="G2235">
            <v>42202</v>
          </cell>
          <cell r="H2235">
            <v>49408</v>
          </cell>
          <cell r="I2235" t="str">
            <v>19 years, 8 months, 23 days</v>
          </cell>
          <cell r="J2235" t="str">
            <v>Renewables</v>
          </cell>
          <cell r="K2235" t="str">
            <v>Solar (Rooftop)</v>
          </cell>
          <cell r="L2235" t="str">
            <v>Solar</v>
          </cell>
          <cell r="M2235" t="str">
            <v>Dx</v>
          </cell>
          <cell r="N2235" t="str">
            <v>Beeton</v>
          </cell>
          <cell r="O2235" t="str">
            <v>Simcoe</v>
          </cell>
          <cell r="P2235" t="str">
            <v>Essa</v>
          </cell>
        </row>
        <row r="2236">
          <cell r="C2236" t="str">
            <v>Admiral Collingwood PS</v>
          </cell>
          <cell r="D2236" t="str">
            <v>Potentia Solar 5 Limited Partnership</v>
          </cell>
          <cell r="E2236" t="str">
            <v>CO</v>
          </cell>
          <cell r="F2236">
            <v>42063</v>
          </cell>
          <cell r="G2236">
            <v>42222</v>
          </cell>
          <cell r="H2236">
            <v>49367</v>
          </cell>
          <cell r="I2236" t="str">
            <v>19 years, 6 months, 21 days</v>
          </cell>
          <cell r="J2236" t="str">
            <v>Renewables</v>
          </cell>
          <cell r="K2236" t="str">
            <v>Solar (Rooftop)</v>
          </cell>
          <cell r="L2236" t="str">
            <v>Solar</v>
          </cell>
          <cell r="M2236" t="str">
            <v>Dx</v>
          </cell>
          <cell r="N2236" t="str">
            <v>Collingwood</v>
          </cell>
          <cell r="O2236" t="str">
            <v>Simcoe</v>
          </cell>
          <cell r="P2236" t="str">
            <v>Southwest</v>
          </cell>
        </row>
        <row r="2237">
          <cell r="C2237" t="str">
            <v>Treeline Public School</v>
          </cell>
          <cell r="D2237" t="str">
            <v>Peel District School Board</v>
          </cell>
          <cell r="E2237" t="str">
            <v>CO</v>
          </cell>
          <cell r="F2237">
            <v>42075</v>
          </cell>
          <cell r="G2237">
            <v>42073</v>
          </cell>
          <cell r="H2237">
            <v>49377</v>
          </cell>
          <cell r="I2237" t="str">
            <v>19 years, 11 months, 27 days</v>
          </cell>
          <cell r="J2237" t="str">
            <v>Renewables</v>
          </cell>
          <cell r="K2237" t="str">
            <v>Solar (Rooftop)</v>
          </cell>
          <cell r="L2237" t="str">
            <v>Solar</v>
          </cell>
          <cell r="M2237" t="str">
            <v>Dx</v>
          </cell>
          <cell r="N2237" t="str">
            <v>Brampton</v>
          </cell>
          <cell r="O2237" t="str">
            <v>Peel</v>
          </cell>
          <cell r="P2237" t="str">
            <v>Toronto</v>
          </cell>
        </row>
        <row r="2238">
          <cell r="C2238" t="str">
            <v>99 Ash Street</v>
          </cell>
          <cell r="D2238" t="str">
            <v>N&amp;G LP</v>
          </cell>
          <cell r="E2238" t="str">
            <v>CO</v>
          </cell>
          <cell r="F2238">
            <v>42056</v>
          </cell>
          <cell r="G2238">
            <v>42228</v>
          </cell>
          <cell r="H2238">
            <v>49360</v>
          </cell>
          <cell r="I2238" t="str">
            <v>19 years, 6 months, 8 days</v>
          </cell>
          <cell r="J2238" t="str">
            <v>Renewables</v>
          </cell>
          <cell r="K2238" t="str">
            <v>Solar (Rooftop)</v>
          </cell>
          <cell r="L2238" t="str">
            <v>Solar</v>
          </cell>
          <cell r="M2238" t="str">
            <v>Dx</v>
          </cell>
          <cell r="N2238" t="str">
            <v>London</v>
          </cell>
          <cell r="O2238" t="str">
            <v>Middlesex</v>
          </cell>
          <cell r="P2238" t="str">
            <v>West</v>
          </cell>
        </row>
        <row r="2239">
          <cell r="C2239" t="str">
            <v>Dellcrest Public School</v>
          </cell>
          <cell r="D2239" t="str">
            <v>TSPS (Portfolio 2) Limited Partnership</v>
          </cell>
          <cell r="E2239" t="str">
            <v>CO</v>
          </cell>
          <cell r="F2239">
            <v>42583</v>
          </cell>
          <cell r="G2239">
            <v>42699</v>
          </cell>
          <cell r="H2239">
            <v>49887</v>
          </cell>
          <cell r="I2239" t="str">
            <v>19 years, 8 months, 6 days</v>
          </cell>
          <cell r="J2239" t="str">
            <v>Renewables</v>
          </cell>
          <cell r="K2239" t="str">
            <v>Solar (Rooftop)</v>
          </cell>
          <cell r="L2239" t="str">
            <v>Solar</v>
          </cell>
          <cell r="M2239" t="str">
            <v>Dx</v>
          </cell>
          <cell r="N2239" t="str">
            <v>Toronto</v>
          </cell>
          <cell r="O2239" t="str">
            <v>Toronto</v>
          </cell>
          <cell r="P2239" t="str">
            <v>Toronto</v>
          </cell>
        </row>
        <row r="2240">
          <cell r="C2240" t="str">
            <v>Hilltop MS</v>
          </cell>
          <cell r="D2240" t="str">
            <v>TSPS (Portfolio 1) Limited Partnership</v>
          </cell>
          <cell r="E2240" t="str">
            <v>CO</v>
          </cell>
          <cell r="F2240">
            <v>42597</v>
          </cell>
          <cell r="G2240">
            <v>42090</v>
          </cell>
          <cell r="H2240">
            <v>49394</v>
          </cell>
          <cell r="I2240" t="str">
            <v>19 years, 11 months, 27 days</v>
          </cell>
          <cell r="J2240" t="str">
            <v>Renewables</v>
          </cell>
          <cell r="K2240" t="str">
            <v>Solar (Rooftop)</v>
          </cell>
          <cell r="L2240" t="str">
            <v>Solar</v>
          </cell>
          <cell r="M2240" t="str">
            <v>Dx</v>
          </cell>
          <cell r="N2240" t="str">
            <v>Toronto</v>
          </cell>
          <cell r="O2240" t="str">
            <v>Toronto</v>
          </cell>
          <cell r="P2240" t="str">
            <v>Toronto</v>
          </cell>
        </row>
        <row r="2241">
          <cell r="C2241" t="str">
            <v>Poplar Road Jr PS</v>
          </cell>
          <cell r="D2241" t="str">
            <v>TSPS (Portfolio 2) Limited Partnership</v>
          </cell>
          <cell r="E2241" t="str">
            <v>CO</v>
          </cell>
          <cell r="F2241">
            <v>42604</v>
          </cell>
          <cell r="G2241">
            <v>42286</v>
          </cell>
          <cell r="H2241">
            <v>49590</v>
          </cell>
          <cell r="I2241" t="str">
            <v>19 years, 11 months, 29 days</v>
          </cell>
          <cell r="J2241" t="str">
            <v>Renewables</v>
          </cell>
          <cell r="K2241" t="str">
            <v>Solar (Rooftop)</v>
          </cell>
          <cell r="L2241" t="str">
            <v>Solar</v>
          </cell>
          <cell r="M2241" t="str">
            <v>Dx</v>
          </cell>
          <cell r="N2241" t="str">
            <v>Toronto</v>
          </cell>
          <cell r="O2241" t="str">
            <v>Toronto</v>
          </cell>
          <cell r="P2241" t="str">
            <v>Toronto</v>
          </cell>
        </row>
        <row r="2242">
          <cell r="C2242" t="str">
            <v>FRITZ (West Nipissing #2)</v>
          </cell>
          <cell r="D2242" t="str">
            <v>PRI Solar Gardens LP</v>
          </cell>
          <cell r="E2242" t="str">
            <v>CO</v>
          </cell>
          <cell r="F2242">
            <v>42715</v>
          </cell>
          <cell r="G2242">
            <v>42726</v>
          </cell>
          <cell r="H2242">
            <v>50019</v>
          </cell>
          <cell r="I2242" t="str">
            <v>19 years, 11 months, 18 days</v>
          </cell>
          <cell r="J2242" t="str">
            <v>Renewables</v>
          </cell>
          <cell r="K2242" t="str">
            <v>Solar (Ground Mounted)</v>
          </cell>
          <cell r="L2242" t="str">
            <v>Solar</v>
          </cell>
          <cell r="M2242" t="str">
            <v>Dx</v>
          </cell>
          <cell r="N2242" t="str">
            <v>Sturgeon Falls</v>
          </cell>
          <cell r="O2242" t="str">
            <v>Nipissing</v>
          </cell>
          <cell r="P2242" t="str">
            <v>Northeast</v>
          </cell>
        </row>
        <row r="2243">
          <cell r="C2243" t="str">
            <v>S04-2562 Stanfield</v>
          </cell>
          <cell r="D2243" t="str">
            <v>SHY1 2012 FIT2 LTD.</v>
          </cell>
          <cell r="E2243" t="str">
            <v>CO</v>
          </cell>
          <cell r="F2243">
            <v>42082</v>
          </cell>
          <cell r="G2243">
            <v>42264</v>
          </cell>
          <cell r="H2243">
            <v>49386</v>
          </cell>
          <cell r="I2243" t="str">
            <v>19 years, 6 months, 1 days</v>
          </cell>
          <cell r="J2243" t="str">
            <v>Renewables</v>
          </cell>
          <cell r="K2243" t="str">
            <v>Solar (Rooftop)</v>
          </cell>
          <cell r="L2243" t="str">
            <v>Solar</v>
          </cell>
          <cell r="M2243" t="str">
            <v>Dx</v>
          </cell>
          <cell r="N2243" t="str">
            <v>Mississauga</v>
          </cell>
          <cell r="O2243" t="str">
            <v>Peel</v>
          </cell>
          <cell r="P2243" t="str">
            <v>Toronto</v>
          </cell>
        </row>
        <row r="2244">
          <cell r="C2244" t="str">
            <v>LOBREC Baysville Arena</v>
          </cell>
          <cell r="D2244" t="str">
            <v>Lake of Bays Renewable Energy Co-operative Inc.</v>
          </cell>
          <cell r="E2244" t="str">
            <v>CO</v>
          </cell>
          <cell r="F2244">
            <v>42056</v>
          </cell>
          <cell r="G2244">
            <v>42244</v>
          </cell>
          <cell r="H2244">
            <v>49360</v>
          </cell>
          <cell r="I2244" t="str">
            <v>19 years, 5 months, 23 days</v>
          </cell>
          <cell r="J2244" t="str">
            <v>Renewables</v>
          </cell>
          <cell r="K2244" t="str">
            <v>Solar (Rooftop)</v>
          </cell>
          <cell r="L2244" t="str">
            <v>Solar</v>
          </cell>
          <cell r="M2244" t="str">
            <v>Dx</v>
          </cell>
          <cell r="N2244" t="str">
            <v>Baysville</v>
          </cell>
          <cell r="O2244" t="str">
            <v>Muskoka</v>
          </cell>
          <cell r="P2244" t="str">
            <v>Essa</v>
          </cell>
        </row>
        <row r="2245">
          <cell r="C2245" t="str">
            <v>Cobalt - Landfill 1</v>
          </cell>
          <cell r="D2245" t="str">
            <v>Solaire Cobalt Solar Inc.</v>
          </cell>
          <cell r="E2245" t="str">
            <v>CO</v>
          </cell>
          <cell r="F2245">
            <v>42602</v>
          </cell>
          <cell r="G2245">
            <v>43105</v>
          </cell>
          <cell r="H2245">
            <v>49906</v>
          </cell>
          <cell r="I2245" t="str">
            <v>18 years, 7 months, 14 days</v>
          </cell>
          <cell r="J2245" t="str">
            <v>Renewables</v>
          </cell>
          <cell r="K2245" t="str">
            <v>Solar (Ground Mounted)</v>
          </cell>
          <cell r="L2245" t="str">
            <v>Solar</v>
          </cell>
          <cell r="M2245" t="str">
            <v>Dx</v>
          </cell>
          <cell r="N2245" t="str">
            <v>Fauquier</v>
          </cell>
          <cell r="O2245" t="str">
            <v>Cochrane</v>
          </cell>
          <cell r="P2245" t="str">
            <v>Northeast</v>
          </cell>
        </row>
        <row r="2246">
          <cell r="C2246" t="str">
            <v>1655 Tricont</v>
          </cell>
          <cell r="D2246" t="str">
            <v>Nautilus Green Energy Co-operative of Ontario LP</v>
          </cell>
          <cell r="E2246" t="str">
            <v>CO</v>
          </cell>
          <cell r="F2246">
            <v>42056</v>
          </cell>
          <cell r="G2246">
            <v>42181</v>
          </cell>
          <cell r="H2246">
            <v>49360</v>
          </cell>
          <cell r="I2246" t="str">
            <v>19 years, 7 months, 25 days</v>
          </cell>
          <cell r="J2246" t="str">
            <v>Renewables</v>
          </cell>
          <cell r="K2246" t="str">
            <v>Solar (Rooftop)</v>
          </cell>
          <cell r="L2246" t="str">
            <v>Solar</v>
          </cell>
          <cell r="M2246" t="str">
            <v>Dx</v>
          </cell>
          <cell r="N2246" t="str">
            <v>Whitby</v>
          </cell>
          <cell r="O2246" t="str">
            <v>Durham</v>
          </cell>
          <cell r="P2246" t="str">
            <v>Toronto</v>
          </cell>
        </row>
        <row r="2247">
          <cell r="C2247" t="str">
            <v>Dewson Street Jr PS</v>
          </cell>
          <cell r="D2247" t="str">
            <v>TSPS (Portfolio 2) Limited Partnership</v>
          </cell>
          <cell r="E2247" t="str">
            <v>CO</v>
          </cell>
          <cell r="F2247">
            <v>42588</v>
          </cell>
          <cell r="G2247">
            <v>42375</v>
          </cell>
          <cell r="H2247">
            <v>49679</v>
          </cell>
          <cell r="I2247" t="str">
            <v>19 years, 11 months, 30 days</v>
          </cell>
          <cell r="J2247" t="str">
            <v>Renewables</v>
          </cell>
          <cell r="K2247" t="str">
            <v>Solar (Rooftop)</v>
          </cell>
          <cell r="L2247" t="str">
            <v>Solar</v>
          </cell>
          <cell r="M2247" t="str">
            <v>Dx</v>
          </cell>
          <cell r="N2247" t="str">
            <v>Toronto</v>
          </cell>
          <cell r="O2247" t="str">
            <v>Toronto</v>
          </cell>
          <cell r="P2247" t="str">
            <v>Toronto</v>
          </cell>
        </row>
        <row r="2248">
          <cell r="C2248" t="str">
            <v>KOPPERS SOLAR</v>
          </cell>
          <cell r="D2248" t="str">
            <v>JOHN JONKMAN LIMITED</v>
          </cell>
          <cell r="E2248" t="str">
            <v>CO</v>
          </cell>
          <cell r="F2248">
            <v>42095</v>
          </cell>
          <cell r="G2248">
            <v>41932</v>
          </cell>
          <cell r="H2248">
            <v>49236</v>
          </cell>
          <cell r="I2248" t="str">
            <v>19 years, 11 months, 29 days</v>
          </cell>
          <cell r="J2248" t="str">
            <v>Renewables</v>
          </cell>
          <cell r="K2248" t="str">
            <v>Solar (Rooftop)</v>
          </cell>
          <cell r="L2248" t="str">
            <v>Solar</v>
          </cell>
          <cell r="M2248" t="str">
            <v>Dx</v>
          </cell>
          <cell r="N2248" t="str">
            <v>Oakland</v>
          </cell>
          <cell r="O2248" t="str">
            <v>Brant</v>
          </cell>
          <cell r="P2248" t="str">
            <v>Southwest</v>
          </cell>
        </row>
        <row r="2249">
          <cell r="C2249" t="str">
            <v>Cuthillview Farms</v>
          </cell>
          <cell r="D2249" t="str">
            <v>Vongher Farms Inc.</v>
          </cell>
          <cell r="E2249" t="str">
            <v>CO</v>
          </cell>
          <cell r="F2249">
            <v>42054</v>
          </cell>
          <cell r="G2249">
            <v>41817</v>
          </cell>
          <cell r="H2249">
            <v>49121</v>
          </cell>
          <cell r="I2249" t="str">
            <v>19 years, 11 months, 30 days</v>
          </cell>
          <cell r="J2249" t="str">
            <v>Renewables</v>
          </cell>
          <cell r="K2249" t="str">
            <v>Solar (Rooftop)</v>
          </cell>
          <cell r="L2249" t="str">
            <v>Solar</v>
          </cell>
          <cell r="M2249" t="str">
            <v>Dx</v>
          </cell>
          <cell r="N2249" t="str">
            <v>Selby</v>
          </cell>
          <cell r="O2249" t="str">
            <v>Lennox and Addington</v>
          </cell>
          <cell r="P2249" t="str">
            <v>East</v>
          </cell>
        </row>
        <row r="2250">
          <cell r="C2250" t="str">
            <v>Sunnylea JS</v>
          </cell>
          <cell r="D2250" t="str">
            <v>TSPS (Portfolio 2) Limited Partnership</v>
          </cell>
          <cell r="E2250" t="str">
            <v>CO</v>
          </cell>
          <cell r="F2250">
            <v>42611</v>
          </cell>
          <cell r="G2250">
            <v>42689</v>
          </cell>
          <cell r="H2250">
            <v>49915</v>
          </cell>
          <cell r="I2250" t="str">
            <v>19 years, 9 months, 13 days</v>
          </cell>
          <cell r="J2250" t="str">
            <v>Renewables</v>
          </cell>
          <cell r="K2250" t="str">
            <v>Solar (Rooftop)</v>
          </cell>
          <cell r="L2250" t="str">
            <v>Solar</v>
          </cell>
          <cell r="M2250" t="str">
            <v>Dx</v>
          </cell>
          <cell r="N2250" t="str">
            <v>Toronto</v>
          </cell>
          <cell r="O2250" t="str">
            <v>Toronto</v>
          </cell>
          <cell r="P2250" t="str">
            <v>Toronto</v>
          </cell>
        </row>
        <row r="2251">
          <cell r="C2251" t="str">
            <v>AGRIS Solar (LT 3 CON 3 DYMOND)</v>
          </cell>
          <cell r="D2251" t="str">
            <v>AGRIS Solar Co-operative Inc.</v>
          </cell>
          <cell r="E2251" t="str">
            <v>CO</v>
          </cell>
          <cell r="F2251">
            <v>42699</v>
          </cell>
          <cell r="G2251">
            <v>42312</v>
          </cell>
          <cell r="H2251">
            <v>49616</v>
          </cell>
          <cell r="I2251" t="str">
            <v>19 years, 11 months, 30 days</v>
          </cell>
          <cell r="J2251" t="str">
            <v>Renewables</v>
          </cell>
          <cell r="K2251" t="str">
            <v>Solar (Ground Mounted)</v>
          </cell>
          <cell r="L2251" t="str">
            <v>Solar</v>
          </cell>
          <cell r="M2251" t="str">
            <v>Dx</v>
          </cell>
          <cell r="N2251" t="str">
            <v>New Liskeard</v>
          </cell>
          <cell r="O2251" t="str">
            <v>Timiskaming</v>
          </cell>
          <cell r="P2251" t="str">
            <v>Northeast</v>
          </cell>
        </row>
        <row r="2252">
          <cell r="C2252" t="str">
            <v>Township of McGarry</v>
          </cell>
          <cell r="D2252" t="str">
            <v>The Corporation of the Township of McGarry</v>
          </cell>
          <cell r="E2252" t="str">
            <v>CO</v>
          </cell>
          <cell r="F2252">
            <v>42117</v>
          </cell>
          <cell r="G2252">
            <v>42083</v>
          </cell>
          <cell r="H2252">
            <v>49387</v>
          </cell>
          <cell r="I2252" t="str">
            <v>19 years, 11 months, 27 days</v>
          </cell>
          <cell r="J2252" t="str">
            <v>Renewables</v>
          </cell>
          <cell r="K2252" t="str">
            <v>Solar (Rooftop)</v>
          </cell>
          <cell r="L2252" t="str">
            <v>Solar</v>
          </cell>
          <cell r="M2252" t="str">
            <v>Dx</v>
          </cell>
          <cell r="N2252" t="str">
            <v>Virginiatown</v>
          </cell>
          <cell r="O2252" t="str">
            <v>Timiskaming</v>
          </cell>
          <cell r="P2252" t="str">
            <v>Northeast</v>
          </cell>
        </row>
        <row r="2253">
          <cell r="C2253" t="str">
            <v>Couchiching Heights PS</v>
          </cell>
          <cell r="D2253" t="str">
            <v>Potentia Solar 5 Limited Partnership</v>
          </cell>
          <cell r="E2253" t="str">
            <v>CO</v>
          </cell>
          <cell r="F2253">
            <v>42063</v>
          </cell>
          <cell r="G2253">
            <v>42236</v>
          </cell>
          <cell r="H2253">
            <v>49367</v>
          </cell>
          <cell r="I2253" t="str">
            <v>19 years, 6 months, 7 days</v>
          </cell>
          <cell r="J2253" t="str">
            <v>Renewables</v>
          </cell>
          <cell r="K2253" t="str">
            <v>Solar (Rooftop)</v>
          </cell>
          <cell r="L2253" t="str">
            <v>Solar</v>
          </cell>
          <cell r="M2253" t="str">
            <v>Dx</v>
          </cell>
          <cell r="N2253" t="str">
            <v>Orillia</v>
          </cell>
          <cell r="O2253" t="str">
            <v>Simcoe</v>
          </cell>
          <cell r="P2253" t="str">
            <v>Essa</v>
          </cell>
        </row>
        <row r="2254">
          <cell r="C2254" t="str">
            <v>AGRIS Solar Garden 1</v>
          </cell>
          <cell r="D2254" t="str">
            <v>AGRIS Solar Co-operative Inc.</v>
          </cell>
          <cell r="E2254" t="str">
            <v>CO</v>
          </cell>
          <cell r="F2254">
            <v>42646</v>
          </cell>
          <cell r="G2254">
            <v>42312</v>
          </cell>
          <cell r="H2254">
            <v>49616</v>
          </cell>
          <cell r="I2254" t="str">
            <v>19 years, 11 months, 30 days</v>
          </cell>
          <cell r="J2254" t="str">
            <v>Renewables</v>
          </cell>
          <cell r="K2254" t="str">
            <v>Solar (Ground Mounted)</v>
          </cell>
          <cell r="L2254" t="str">
            <v>Solar</v>
          </cell>
          <cell r="M2254" t="str">
            <v>Dx</v>
          </cell>
          <cell r="N2254" t="str">
            <v>New Liskeard</v>
          </cell>
          <cell r="O2254" t="str">
            <v>Timiskaming</v>
          </cell>
          <cell r="P2254" t="str">
            <v>Northeast</v>
          </cell>
        </row>
        <row r="2255">
          <cell r="C2255" t="str">
            <v>Ogden Jr PS</v>
          </cell>
          <cell r="D2255" t="str">
            <v>TSPS (Portfolio 2) Limited Partnership</v>
          </cell>
          <cell r="E2255" t="str">
            <v>CO</v>
          </cell>
          <cell r="F2255">
            <v>42604</v>
          </cell>
          <cell r="G2255">
            <v>42185</v>
          </cell>
          <cell r="H2255">
            <v>49489</v>
          </cell>
          <cell r="I2255" t="str">
            <v>19 years, 11 months, 30 days</v>
          </cell>
          <cell r="J2255" t="str">
            <v>Renewables</v>
          </cell>
          <cell r="K2255" t="str">
            <v>Solar (Rooftop)</v>
          </cell>
          <cell r="L2255" t="str">
            <v>Solar</v>
          </cell>
          <cell r="M2255" t="str">
            <v>Dx</v>
          </cell>
          <cell r="N2255" t="str">
            <v>Toronto</v>
          </cell>
          <cell r="O2255" t="str">
            <v>Toronto</v>
          </cell>
          <cell r="P2255" t="str">
            <v>Toronto</v>
          </cell>
        </row>
        <row r="2256">
          <cell r="C2256" t="str">
            <v>Wellesworth JS</v>
          </cell>
          <cell r="D2256" t="str">
            <v>TSPS (Portfolio 2) Limited Partnership</v>
          </cell>
          <cell r="E2256" t="str">
            <v>CO</v>
          </cell>
          <cell r="F2256">
            <v>42611</v>
          </cell>
          <cell r="G2256">
            <v>42702</v>
          </cell>
          <cell r="H2256">
            <v>49915</v>
          </cell>
          <cell r="I2256" t="str">
            <v>19 years, 9 months, 0 days</v>
          </cell>
          <cell r="J2256" t="str">
            <v>Renewables</v>
          </cell>
          <cell r="K2256" t="str">
            <v>Solar (Rooftop)</v>
          </cell>
          <cell r="L2256" t="str">
            <v>Solar</v>
          </cell>
          <cell r="M2256" t="str">
            <v>Dx</v>
          </cell>
          <cell r="N2256" t="str">
            <v>Toronto</v>
          </cell>
          <cell r="O2256" t="str">
            <v>Toronto</v>
          </cell>
          <cell r="P2256" t="str">
            <v>Toronto</v>
          </cell>
        </row>
        <row r="2257">
          <cell r="C2257" t="str">
            <v>Whitby Hydro Solar</v>
          </cell>
          <cell r="D2257" t="str">
            <v>Elexicon Energy Inc.</v>
          </cell>
          <cell r="E2257" t="str">
            <v>CO</v>
          </cell>
          <cell r="F2257">
            <v>42095</v>
          </cell>
          <cell r="G2257">
            <v>41796</v>
          </cell>
          <cell r="H2257">
            <v>49100</v>
          </cell>
          <cell r="I2257" t="str">
            <v>19 years, 11 months, 30 days</v>
          </cell>
          <cell r="J2257" t="str">
            <v>Renewables</v>
          </cell>
          <cell r="K2257" t="str">
            <v>Solar (Rooftop)</v>
          </cell>
          <cell r="L2257" t="str">
            <v>Solar</v>
          </cell>
          <cell r="M2257" t="str">
            <v>Dx</v>
          </cell>
          <cell r="N2257" t="str">
            <v>Whitby</v>
          </cell>
          <cell r="O2257" t="str">
            <v>Durham</v>
          </cell>
          <cell r="P2257" t="str">
            <v>Toronto</v>
          </cell>
        </row>
        <row r="2258">
          <cell r="C2258" t="str">
            <v>YCDSB - St. Andrew CES</v>
          </cell>
          <cell r="D2258" t="str">
            <v>Potentia Solar 7 Limited Partnership</v>
          </cell>
          <cell r="E2258" t="str">
            <v>CO</v>
          </cell>
          <cell r="F2258">
            <v>42068</v>
          </cell>
          <cell r="G2258">
            <v>41992</v>
          </cell>
          <cell r="H2258">
            <v>49296</v>
          </cell>
          <cell r="I2258" t="str">
            <v>19 years, 11 months, 29 days</v>
          </cell>
          <cell r="J2258" t="str">
            <v>Renewables</v>
          </cell>
          <cell r="K2258" t="str">
            <v>Solar (Rooftop)</v>
          </cell>
          <cell r="L2258" t="str">
            <v>Solar</v>
          </cell>
          <cell r="M2258" t="str">
            <v>Dx</v>
          </cell>
          <cell r="N2258" t="str">
            <v>Woodbridge</v>
          </cell>
          <cell r="O2258" t="str">
            <v>York</v>
          </cell>
          <cell r="P2258" t="str">
            <v>Toronto</v>
          </cell>
        </row>
        <row r="2259">
          <cell r="C2259" t="str">
            <v>Kevin Jones</v>
          </cell>
          <cell r="D2259" t="str">
            <v>SCCEC LP</v>
          </cell>
          <cell r="E2259" t="str">
            <v>CO</v>
          </cell>
          <cell r="F2259">
            <v>42097</v>
          </cell>
          <cell r="G2259">
            <v>42093</v>
          </cell>
          <cell r="H2259">
            <v>49397</v>
          </cell>
          <cell r="I2259" t="str">
            <v>19 years, 11 months, 27 days</v>
          </cell>
          <cell r="J2259" t="str">
            <v>Renewables</v>
          </cell>
          <cell r="K2259" t="str">
            <v>Solar (Rooftop)</v>
          </cell>
          <cell r="L2259" t="str">
            <v>Solar</v>
          </cell>
          <cell r="M2259" t="str">
            <v>Dx</v>
          </cell>
          <cell r="N2259" t="str">
            <v>Midland</v>
          </cell>
          <cell r="O2259" t="str">
            <v>Simcoe</v>
          </cell>
          <cell r="P2259" t="str">
            <v>Essa</v>
          </cell>
        </row>
        <row r="2260">
          <cell r="C2260" t="str">
            <v>EAST HAMILTON RADIO - SOLAR</v>
          </cell>
          <cell r="D2260" t="str">
            <v>EAST HAMILTON RADIO LIMITED</v>
          </cell>
          <cell r="E2260" t="str">
            <v>CO</v>
          </cell>
          <cell r="F2260">
            <v>42068</v>
          </cell>
          <cell r="G2260">
            <v>42174</v>
          </cell>
          <cell r="H2260">
            <v>49372</v>
          </cell>
          <cell r="I2260" t="str">
            <v>19 years, 8 months, 13 days</v>
          </cell>
          <cell r="J2260" t="str">
            <v>Renewables</v>
          </cell>
          <cell r="K2260" t="str">
            <v>Solar (Rooftop)</v>
          </cell>
          <cell r="L2260" t="str">
            <v>Solar</v>
          </cell>
          <cell r="M2260" t="str">
            <v>Dx</v>
          </cell>
          <cell r="N2260" t="str">
            <v>Hamilton</v>
          </cell>
          <cell r="O2260" t="str">
            <v>Hamilton</v>
          </cell>
          <cell r="P2260" t="str">
            <v>Southwest</v>
          </cell>
        </row>
        <row r="2261">
          <cell r="C2261" t="str">
            <v>Roselands Jr PS</v>
          </cell>
          <cell r="D2261" t="str">
            <v>TSPS (Portfolio 2) Limited Partnership</v>
          </cell>
          <cell r="E2261" t="str">
            <v>CO</v>
          </cell>
          <cell r="F2261">
            <v>42609</v>
          </cell>
          <cell r="G2261">
            <v>42699</v>
          </cell>
          <cell r="H2261">
            <v>49913</v>
          </cell>
          <cell r="I2261" t="str">
            <v>19 years, 9 months, 1 days</v>
          </cell>
          <cell r="J2261" t="str">
            <v>Renewables</v>
          </cell>
          <cell r="K2261" t="str">
            <v>Solar (Rooftop)</v>
          </cell>
          <cell r="L2261" t="str">
            <v>Solar</v>
          </cell>
          <cell r="M2261" t="str">
            <v>Dx</v>
          </cell>
          <cell r="N2261" t="str">
            <v>Toronto</v>
          </cell>
          <cell r="O2261" t="str">
            <v>Toronto</v>
          </cell>
          <cell r="P2261" t="str">
            <v>Toronto</v>
          </cell>
        </row>
        <row r="2262">
          <cell r="C2262" t="str">
            <v>605 Fenmar Dr, North York</v>
          </cell>
          <cell r="D2262" t="str">
            <v>ME3 2012 LP</v>
          </cell>
          <cell r="E2262" t="str">
            <v>CO</v>
          </cell>
          <cell r="F2262">
            <v>42117</v>
          </cell>
          <cell r="G2262">
            <v>42298</v>
          </cell>
          <cell r="H2262">
            <v>49421</v>
          </cell>
          <cell r="I2262" t="str">
            <v>19 years, 6 months, 1 days</v>
          </cell>
          <cell r="J2262" t="str">
            <v>Renewables</v>
          </cell>
          <cell r="K2262" t="str">
            <v>Solar (Rooftop)</v>
          </cell>
          <cell r="L2262" t="str">
            <v>Solar</v>
          </cell>
          <cell r="M2262" t="str">
            <v>Dx</v>
          </cell>
          <cell r="N2262" t="str">
            <v>Toronto</v>
          </cell>
          <cell r="O2262" t="str">
            <v>Toronto</v>
          </cell>
          <cell r="P2262" t="str">
            <v>Toronto</v>
          </cell>
        </row>
        <row r="2263">
          <cell r="C2263" t="str">
            <v>Tim Hammell Solar</v>
          </cell>
          <cell r="D2263" t="str">
            <v>Timothy Clifford Hammell</v>
          </cell>
          <cell r="E2263" t="str">
            <v>CO</v>
          </cell>
          <cell r="F2263">
            <v>42104</v>
          </cell>
          <cell r="G2263">
            <v>42307</v>
          </cell>
          <cell r="H2263">
            <v>49408</v>
          </cell>
          <cell r="I2263" t="str">
            <v>19 years, 5 months, 10 days</v>
          </cell>
          <cell r="J2263" t="str">
            <v>Renewables</v>
          </cell>
          <cell r="K2263" t="str">
            <v>Solar (Rooftop)</v>
          </cell>
          <cell r="L2263" t="str">
            <v>Solar</v>
          </cell>
          <cell r="M2263" t="str">
            <v>Dx</v>
          </cell>
          <cell r="N2263" t="str">
            <v>Dobbinton</v>
          </cell>
          <cell r="O2263" t="str">
            <v>Bruce</v>
          </cell>
          <cell r="P2263" t="str">
            <v>Southwest</v>
          </cell>
        </row>
        <row r="2264">
          <cell r="C2264" t="str">
            <v>YCDSB - St. Raphael the Archangel</v>
          </cell>
          <cell r="D2264" t="str">
            <v>Potentia Solar 7 Limited Partnership</v>
          </cell>
          <cell r="E2264" t="str">
            <v>CO</v>
          </cell>
          <cell r="F2264">
            <v>42068</v>
          </cell>
          <cell r="G2264">
            <v>42080</v>
          </cell>
          <cell r="H2264">
            <v>49372</v>
          </cell>
          <cell r="I2264" t="str">
            <v>19 years, 11 months, 15 days</v>
          </cell>
          <cell r="J2264" t="str">
            <v>Renewables</v>
          </cell>
          <cell r="K2264" t="str">
            <v>Solar (Rooftop)</v>
          </cell>
          <cell r="L2264" t="str">
            <v>Solar</v>
          </cell>
          <cell r="M2264" t="str">
            <v>Dx</v>
          </cell>
          <cell r="N2264" t="str">
            <v>Vaughan</v>
          </cell>
          <cell r="O2264" t="str">
            <v>York</v>
          </cell>
          <cell r="P2264" t="str">
            <v>Toronto</v>
          </cell>
        </row>
        <row r="2265">
          <cell r="C2265" t="str">
            <v>SunEdison ON-12-0303</v>
          </cell>
          <cell r="D2265" t="str">
            <v>PRI Industrial Solar Limited Partnership</v>
          </cell>
          <cell r="E2265" t="str">
            <v>CO</v>
          </cell>
          <cell r="F2265">
            <v>42097</v>
          </cell>
          <cell r="G2265">
            <v>42097</v>
          </cell>
          <cell r="H2265">
            <v>49401</v>
          </cell>
          <cell r="I2265" t="str">
            <v>19 years, 11 months, 30 days</v>
          </cell>
          <cell r="J2265" t="str">
            <v>Renewables</v>
          </cell>
          <cell r="K2265" t="str">
            <v>Solar (Rooftop)</v>
          </cell>
          <cell r="L2265" t="str">
            <v>Solar</v>
          </cell>
          <cell r="M2265" t="str">
            <v>Dx</v>
          </cell>
          <cell r="N2265" t="str">
            <v>Mississauga</v>
          </cell>
          <cell r="O2265" t="str">
            <v>Peel</v>
          </cell>
          <cell r="P2265" t="str">
            <v>Toronto</v>
          </cell>
        </row>
        <row r="2266">
          <cell r="C2266" t="str">
            <v>School of Experiential Ed.</v>
          </cell>
          <cell r="D2266" t="str">
            <v>TSPS (Portfolio 2) Limited Partnership</v>
          </cell>
          <cell r="E2266" t="str">
            <v>CO</v>
          </cell>
          <cell r="F2266">
            <v>42609</v>
          </cell>
          <cell r="G2266">
            <v>42702</v>
          </cell>
          <cell r="H2266">
            <v>49913</v>
          </cell>
          <cell r="I2266" t="str">
            <v>19 years, 8 months, 29 days</v>
          </cell>
          <cell r="J2266" t="str">
            <v>Renewables</v>
          </cell>
          <cell r="K2266" t="str">
            <v>Solar (Rooftop)</v>
          </cell>
          <cell r="L2266" t="str">
            <v>Solar</v>
          </cell>
          <cell r="M2266" t="str">
            <v>Dx</v>
          </cell>
          <cell r="N2266" t="str">
            <v>Toronto</v>
          </cell>
          <cell r="O2266" t="str">
            <v>Toronto</v>
          </cell>
          <cell r="P2266" t="str">
            <v>Toronto</v>
          </cell>
        </row>
        <row r="2267">
          <cell r="C2267" t="str">
            <v>Forest Manor PS</v>
          </cell>
          <cell r="D2267" t="str">
            <v>TSPS (Portfolio 2) Limited Partnership</v>
          </cell>
          <cell r="E2267" t="str">
            <v>CO</v>
          </cell>
          <cell r="F2267">
            <v>42590</v>
          </cell>
          <cell r="G2267">
            <v>42632</v>
          </cell>
          <cell r="H2267">
            <v>49894</v>
          </cell>
          <cell r="I2267" t="str">
            <v>19 years, 10 months, 19 days</v>
          </cell>
          <cell r="J2267" t="str">
            <v>Renewables</v>
          </cell>
          <cell r="K2267" t="str">
            <v>Solar (Rooftop)</v>
          </cell>
          <cell r="L2267" t="str">
            <v>Solar</v>
          </cell>
          <cell r="M2267" t="str">
            <v>Dx</v>
          </cell>
          <cell r="N2267" t="str">
            <v>Toronto</v>
          </cell>
          <cell r="O2267" t="str">
            <v>Toronto</v>
          </cell>
          <cell r="P2267" t="str">
            <v>Toronto</v>
          </cell>
        </row>
        <row r="2268">
          <cell r="C2268" t="str">
            <v>TOR-26 Huddersfield</v>
          </cell>
          <cell r="D2268" t="str">
            <v>Métis Nation of Ontario - BrightRoof Solar LP</v>
          </cell>
          <cell r="E2268" t="str">
            <v>CO</v>
          </cell>
          <cell r="F2268">
            <v>42117</v>
          </cell>
          <cell r="G2268">
            <v>42061</v>
          </cell>
          <cell r="H2268">
            <v>49365</v>
          </cell>
          <cell r="I2268" t="str">
            <v>19 years, 11 months, 30 days</v>
          </cell>
          <cell r="J2268" t="str">
            <v>Renewables</v>
          </cell>
          <cell r="K2268" t="str">
            <v>Solar (Rooftop)</v>
          </cell>
          <cell r="L2268" t="str">
            <v>Solar</v>
          </cell>
          <cell r="M2268" t="str">
            <v>Dx</v>
          </cell>
          <cell r="N2268" t="str">
            <v>Toronto</v>
          </cell>
          <cell r="O2268" t="str">
            <v>Toronto</v>
          </cell>
          <cell r="P2268" t="str">
            <v>Toronto</v>
          </cell>
        </row>
        <row r="2269">
          <cell r="C2269" t="str">
            <v>Lillian PS</v>
          </cell>
          <cell r="D2269" t="str">
            <v>TSPS (Portfolio 2) Limited Partnership</v>
          </cell>
          <cell r="E2269" t="str">
            <v>CO</v>
          </cell>
          <cell r="F2269">
            <v>42602</v>
          </cell>
          <cell r="G2269">
            <v>42611</v>
          </cell>
          <cell r="H2269">
            <v>49906</v>
          </cell>
          <cell r="I2269" t="str">
            <v>19 years, 11 months, 21 days</v>
          </cell>
          <cell r="J2269" t="str">
            <v>Renewables</v>
          </cell>
          <cell r="K2269" t="str">
            <v>Solar (Rooftop)</v>
          </cell>
          <cell r="L2269" t="str">
            <v>Solar</v>
          </cell>
          <cell r="M2269" t="str">
            <v>Dx</v>
          </cell>
          <cell r="N2269" t="str">
            <v>Toronto</v>
          </cell>
          <cell r="O2269" t="str">
            <v>Toronto</v>
          </cell>
          <cell r="P2269" t="str">
            <v>Toronto</v>
          </cell>
        </row>
        <row r="2270">
          <cell r="C2270" t="str">
            <v>SunEdison ON-12-0280</v>
          </cell>
          <cell r="D2270" t="str">
            <v>PRI Industrial Solar Limited Partnership</v>
          </cell>
          <cell r="E2270" t="str">
            <v>CO</v>
          </cell>
          <cell r="F2270">
            <v>42097</v>
          </cell>
          <cell r="G2270">
            <v>42251</v>
          </cell>
          <cell r="H2270">
            <v>49401</v>
          </cell>
          <cell r="I2270" t="str">
            <v>19 years, 6 months, 29 days</v>
          </cell>
          <cell r="J2270" t="str">
            <v>Renewables</v>
          </cell>
          <cell r="K2270" t="str">
            <v>Solar (Rooftop)</v>
          </cell>
          <cell r="L2270" t="str">
            <v>Solar</v>
          </cell>
          <cell r="M2270" t="str">
            <v>Dx</v>
          </cell>
          <cell r="N2270" t="str">
            <v>Windsor</v>
          </cell>
          <cell r="O2270" t="str">
            <v>Essex</v>
          </cell>
          <cell r="P2270" t="str">
            <v>West</v>
          </cell>
        </row>
        <row r="2271">
          <cell r="C2271" t="str">
            <v>Delphi Secondary Alternative (Chartland Jr PS)</v>
          </cell>
          <cell r="D2271" t="str">
            <v>TSPS (Portfolio 2) Limited Partnership</v>
          </cell>
          <cell r="E2271" t="str">
            <v>CO</v>
          </cell>
          <cell r="F2271">
            <v>42611</v>
          </cell>
          <cell r="G2271">
            <v>42338</v>
          </cell>
          <cell r="H2271">
            <v>49642</v>
          </cell>
          <cell r="I2271" t="str">
            <v>19 years, 11 months, 30 days</v>
          </cell>
          <cell r="J2271" t="str">
            <v>Renewables</v>
          </cell>
          <cell r="K2271" t="str">
            <v>Solar (Rooftop)</v>
          </cell>
          <cell r="L2271" t="str">
            <v>Solar</v>
          </cell>
          <cell r="M2271" t="str">
            <v>Dx</v>
          </cell>
          <cell r="N2271" t="str">
            <v>Toronto</v>
          </cell>
          <cell r="O2271" t="str">
            <v>Toronto</v>
          </cell>
          <cell r="P2271" t="str">
            <v>Toronto</v>
          </cell>
        </row>
        <row r="2272">
          <cell r="C2272" t="str">
            <v>J&amp;C Muller Farms Inc. B</v>
          </cell>
          <cell r="D2272" t="str">
            <v>SE 2012 LP</v>
          </cell>
          <cell r="E2272" t="str">
            <v>CO</v>
          </cell>
          <cell r="F2272">
            <v>42117</v>
          </cell>
          <cell r="G2272">
            <v>41838</v>
          </cell>
          <cell r="H2272">
            <v>49142</v>
          </cell>
          <cell r="I2272" t="str">
            <v>19 years, 11 months, 29 days</v>
          </cell>
          <cell r="J2272" t="str">
            <v>Renewables</v>
          </cell>
          <cell r="K2272" t="str">
            <v>Solar (Rooftop)</v>
          </cell>
          <cell r="L2272" t="str">
            <v>Solar</v>
          </cell>
          <cell r="M2272" t="str">
            <v>Dx</v>
          </cell>
          <cell r="N2272" t="str">
            <v>Dashwood</v>
          </cell>
          <cell r="O2272" t="str">
            <v>Huron</v>
          </cell>
          <cell r="P2272" t="str">
            <v>Southwest</v>
          </cell>
        </row>
        <row r="2273">
          <cell r="C2273" t="str">
            <v>TDSS Solar PV</v>
          </cell>
          <cell r="D2273" t="str">
            <v>District School Board Ontario North East</v>
          </cell>
          <cell r="E2273" t="str">
            <v>CO</v>
          </cell>
          <cell r="F2273">
            <v>42104</v>
          </cell>
          <cell r="G2273">
            <v>42180</v>
          </cell>
          <cell r="H2273">
            <v>49408</v>
          </cell>
          <cell r="I2273" t="str">
            <v>19 years, 9 months, 15 days</v>
          </cell>
          <cell r="J2273" t="str">
            <v>Renewables</v>
          </cell>
          <cell r="K2273" t="str">
            <v>Solar (Rooftop)</v>
          </cell>
          <cell r="L2273" t="str">
            <v>Solar</v>
          </cell>
          <cell r="M2273" t="str">
            <v>Dx</v>
          </cell>
          <cell r="N2273" t="str">
            <v>New Liskeard</v>
          </cell>
          <cell r="O2273" t="str">
            <v>Timiskaming</v>
          </cell>
          <cell r="P2273" t="str">
            <v>Northeast</v>
          </cell>
        </row>
        <row r="2274">
          <cell r="C2274" t="str">
            <v>Northland 147</v>
          </cell>
          <cell r="D2274" t="str">
            <v>147 Bathurst Holdings Inc.</v>
          </cell>
          <cell r="E2274" t="str">
            <v>CO</v>
          </cell>
          <cell r="F2274">
            <v>42061</v>
          </cell>
          <cell r="G2274">
            <v>42054</v>
          </cell>
          <cell r="H2274">
            <v>49358</v>
          </cell>
          <cell r="I2274" t="str">
            <v>19 years, 11 months, 30 days</v>
          </cell>
          <cell r="J2274" t="str">
            <v>Renewables</v>
          </cell>
          <cell r="K2274" t="str">
            <v>Solar (Rooftop)</v>
          </cell>
          <cell r="L2274" t="str">
            <v>Solar</v>
          </cell>
          <cell r="M2274" t="str">
            <v>Dx</v>
          </cell>
          <cell r="N2274" t="str">
            <v>Waterloo</v>
          </cell>
          <cell r="O2274" t="str">
            <v>Waterloo</v>
          </cell>
          <cell r="P2274" t="str">
            <v>Southwest</v>
          </cell>
        </row>
        <row r="2275">
          <cell r="C2275" t="str">
            <v>26 Riviera Drive</v>
          </cell>
          <cell r="D2275" t="str">
            <v>GBG-BFN LIMITED PARTNERSHIP</v>
          </cell>
          <cell r="E2275" t="str">
            <v>CO</v>
          </cell>
          <cell r="F2275">
            <v>42104</v>
          </cell>
          <cell r="G2275">
            <v>42327</v>
          </cell>
          <cell r="H2275">
            <v>49408</v>
          </cell>
          <cell r="I2275" t="str">
            <v>19 years, 4 months, 21 days</v>
          </cell>
          <cell r="J2275" t="str">
            <v>Renewables</v>
          </cell>
          <cell r="K2275" t="str">
            <v>Solar (Rooftop)</v>
          </cell>
          <cell r="L2275" t="str">
            <v>Solar</v>
          </cell>
          <cell r="M2275" t="str">
            <v>Dx</v>
          </cell>
          <cell r="N2275" t="str">
            <v>Markham</v>
          </cell>
          <cell r="O2275" t="str">
            <v>York</v>
          </cell>
          <cell r="P2275" t="str">
            <v>Toronto</v>
          </cell>
        </row>
        <row r="2276">
          <cell r="C2276" t="str">
            <v>Mason Road Jr PS</v>
          </cell>
          <cell r="D2276" t="str">
            <v>TSPS (Portfolio 2) Limited Partnership</v>
          </cell>
          <cell r="E2276" t="str">
            <v>CO</v>
          </cell>
          <cell r="F2276">
            <v>42604</v>
          </cell>
          <cell r="G2276">
            <v>42471</v>
          </cell>
          <cell r="H2276">
            <v>49775</v>
          </cell>
          <cell r="I2276" t="str">
            <v>19 years, 11 months, 30 days</v>
          </cell>
          <cell r="J2276" t="str">
            <v>Renewables</v>
          </cell>
          <cell r="K2276" t="str">
            <v>Solar (Rooftop)</v>
          </cell>
          <cell r="L2276" t="str">
            <v>Solar</v>
          </cell>
          <cell r="M2276" t="str">
            <v>Dx</v>
          </cell>
          <cell r="N2276" t="str">
            <v>Toronto</v>
          </cell>
          <cell r="O2276" t="str">
            <v>Toronto</v>
          </cell>
          <cell r="P2276" t="str">
            <v>Toronto</v>
          </cell>
        </row>
        <row r="2277">
          <cell r="C2277" t="str">
            <v>JR Wilcox Community School</v>
          </cell>
          <cell r="D2277" t="str">
            <v>TSPS (Portfolio 2) Limited Partnership</v>
          </cell>
          <cell r="E2277" t="str">
            <v>CO</v>
          </cell>
          <cell r="F2277">
            <v>42602</v>
          </cell>
          <cell r="G2277">
            <v>42335</v>
          </cell>
          <cell r="H2277">
            <v>49639</v>
          </cell>
          <cell r="I2277" t="str">
            <v>19 years, 11 months, 30 days</v>
          </cell>
          <cell r="J2277" t="str">
            <v>Renewables</v>
          </cell>
          <cell r="K2277" t="str">
            <v>Solar (Rooftop)</v>
          </cell>
          <cell r="L2277" t="str">
            <v>Solar</v>
          </cell>
          <cell r="M2277" t="str">
            <v>Dx</v>
          </cell>
          <cell r="N2277" t="str">
            <v>Toronto</v>
          </cell>
          <cell r="O2277" t="str">
            <v>Toronto</v>
          </cell>
          <cell r="P2277" t="str">
            <v>Toronto</v>
          </cell>
        </row>
        <row r="2278">
          <cell r="C2278" t="str">
            <v>Town of Mono-PV Solar</v>
          </cell>
          <cell r="D2278" t="str">
            <v>The Corporation of the Town of Mono</v>
          </cell>
          <cell r="E2278" t="str">
            <v>CO</v>
          </cell>
          <cell r="F2278">
            <v>42110</v>
          </cell>
          <cell r="G2278">
            <v>41985</v>
          </cell>
          <cell r="H2278">
            <v>49289</v>
          </cell>
          <cell r="I2278" t="str">
            <v>19 years, 11 months, 29 days</v>
          </cell>
          <cell r="J2278" t="str">
            <v>Renewables</v>
          </cell>
          <cell r="K2278" t="str">
            <v>Solar (Rooftop)</v>
          </cell>
          <cell r="L2278" t="str">
            <v>Solar</v>
          </cell>
          <cell r="M2278" t="str">
            <v>Dx</v>
          </cell>
          <cell r="N2278" t="str">
            <v>Orangeville</v>
          </cell>
          <cell r="O2278" t="str">
            <v>Dufferin</v>
          </cell>
          <cell r="P2278" t="str">
            <v>Southwest</v>
          </cell>
        </row>
        <row r="2279">
          <cell r="C2279" t="str">
            <v>EEC Marmora &amp; Lake Rooftop Solar PV Project</v>
          </cell>
          <cell r="D2279" t="str">
            <v>Essex Energy Corporation</v>
          </cell>
          <cell r="E2279" t="str">
            <v>CO</v>
          </cell>
          <cell r="F2279">
            <v>42102</v>
          </cell>
          <cell r="G2279">
            <v>42087</v>
          </cell>
          <cell r="H2279">
            <v>49391</v>
          </cell>
          <cell r="I2279" t="str">
            <v>19 years, 11 months, 27 days</v>
          </cell>
          <cell r="J2279" t="str">
            <v>Renewables</v>
          </cell>
          <cell r="K2279" t="str">
            <v>Solar (Rooftop)</v>
          </cell>
          <cell r="L2279" t="str">
            <v>Solar</v>
          </cell>
          <cell r="M2279" t="str">
            <v>Dx</v>
          </cell>
          <cell r="N2279" t="str">
            <v>Marmora</v>
          </cell>
          <cell r="O2279" t="str">
            <v>Hastings</v>
          </cell>
          <cell r="P2279" t="str">
            <v>East</v>
          </cell>
        </row>
        <row r="2280">
          <cell r="C2280" t="str">
            <v>Solexica - 325 Denison</v>
          </cell>
          <cell r="D2280" t="str">
            <v>Solexica Solar Markham GP</v>
          </cell>
          <cell r="E2280" t="str">
            <v>CO</v>
          </cell>
          <cell r="F2280">
            <v>42110</v>
          </cell>
          <cell r="G2280">
            <v>41974</v>
          </cell>
          <cell r="H2280">
            <v>49278</v>
          </cell>
          <cell r="I2280" t="str">
            <v>19 years, 11 months, 29 days</v>
          </cell>
          <cell r="J2280" t="str">
            <v>Renewables</v>
          </cell>
          <cell r="K2280" t="str">
            <v>Solar (Rooftop)</v>
          </cell>
          <cell r="L2280" t="str">
            <v>Solar</v>
          </cell>
          <cell r="M2280" t="str">
            <v>Dx</v>
          </cell>
          <cell r="N2280" t="str">
            <v>Markham</v>
          </cell>
          <cell r="O2280" t="str">
            <v>York</v>
          </cell>
          <cell r="P2280" t="str">
            <v>Toronto</v>
          </cell>
        </row>
        <row r="2281">
          <cell r="C2281" t="str">
            <v>J&amp;C Muller Farms Inc. A</v>
          </cell>
          <cell r="D2281" t="str">
            <v>SE 2012 LP</v>
          </cell>
          <cell r="E2281" t="str">
            <v>CO</v>
          </cell>
          <cell r="F2281">
            <v>42117</v>
          </cell>
          <cell r="G2281">
            <v>41850</v>
          </cell>
          <cell r="H2281">
            <v>49154</v>
          </cell>
          <cell r="I2281" t="str">
            <v>19 years, 11 months, 29 days</v>
          </cell>
          <cell r="J2281" t="str">
            <v>Renewables</v>
          </cell>
          <cell r="K2281" t="str">
            <v>Solar (Rooftop)</v>
          </cell>
          <cell r="L2281" t="str">
            <v>Solar</v>
          </cell>
          <cell r="M2281" t="str">
            <v>Dx</v>
          </cell>
          <cell r="N2281" t="str">
            <v>Dashwood</v>
          </cell>
          <cell r="O2281" t="str">
            <v>Huron</v>
          </cell>
          <cell r="P2281" t="str">
            <v>Southwest</v>
          </cell>
        </row>
        <row r="2282">
          <cell r="C2282" t="str">
            <v>Fairglen Jr PS</v>
          </cell>
          <cell r="D2282" t="str">
            <v>TSPS (Portfolio 2) Limited Partnership</v>
          </cell>
          <cell r="E2282" t="str">
            <v>CO</v>
          </cell>
          <cell r="F2282">
            <v>42590</v>
          </cell>
          <cell r="G2282">
            <v>42334</v>
          </cell>
          <cell r="H2282">
            <v>49638</v>
          </cell>
          <cell r="I2282" t="str">
            <v>19 years, 11 months, 30 days</v>
          </cell>
          <cell r="J2282" t="str">
            <v>Renewables</v>
          </cell>
          <cell r="K2282" t="str">
            <v>Solar (Rooftop)</v>
          </cell>
          <cell r="L2282" t="str">
            <v>Solar</v>
          </cell>
          <cell r="M2282" t="str">
            <v>Dx</v>
          </cell>
          <cell r="N2282" t="str">
            <v>Toronto</v>
          </cell>
          <cell r="O2282" t="str">
            <v>Toronto</v>
          </cell>
          <cell r="P2282" t="str">
            <v>Toronto</v>
          </cell>
        </row>
        <row r="2283">
          <cell r="C2283" t="str">
            <v>Atikameksheng Solar Farm</v>
          </cell>
          <cell r="D2283" t="str">
            <v>Atikameksheng Anishnawbek</v>
          </cell>
          <cell r="E2283" t="str">
            <v>CO</v>
          </cell>
          <cell r="F2283">
            <v>42623</v>
          </cell>
          <cell r="G2283">
            <v>43082</v>
          </cell>
          <cell r="H2283">
            <v>49927</v>
          </cell>
          <cell r="I2283" t="str">
            <v>18 years, 8 months, 27 days</v>
          </cell>
          <cell r="J2283" t="str">
            <v>Renewables</v>
          </cell>
          <cell r="K2283" t="str">
            <v>Solar (Ground Mounted)</v>
          </cell>
          <cell r="L2283" t="str">
            <v>Solar</v>
          </cell>
          <cell r="M2283" t="str">
            <v>Dx</v>
          </cell>
          <cell r="N2283" t="str">
            <v>Naughton</v>
          </cell>
          <cell r="O2283" t="str">
            <v>Greater Sudbury</v>
          </cell>
          <cell r="P2283" t="str">
            <v>Northeast</v>
          </cell>
        </row>
        <row r="2284">
          <cell r="C2284" t="str">
            <v>180Basaltic</v>
          </cell>
          <cell r="D2284" t="str">
            <v>Community Solar Assets 2 Limited</v>
          </cell>
          <cell r="E2284" t="str">
            <v>CO</v>
          </cell>
          <cell r="F2284">
            <v>42061</v>
          </cell>
          <cell r="G2284">
            <v>42055</v>
          </cell>
          <cell r="H2284">
            <v>49359</v>
          </cell>
          <cell r="I2284" t="str">
            <v>19 years, 11 months, 30 days</v>
          </cell>
          <cell r="J2284" t="str">
            <v>Renewables</v>
          </cell>
          <cell r="K2284" t="str">
            <v>Solar (Rooftop)</v>
          </cell>
          <cell r="L2284" t="str">
            <v>Solar</v>
          </cell>
          <cell r="M2284" t="str">
            <v>Dx</v>
          </cell>
          <cell r="N2284" t="str">
            <v>Concord</v>
          </cell>
          <cell r="O2284" t="str">
            <v>York</v>
          </cell>
          <cell r="P2284" t="str">
            <v>Toronto</v>
          </cell>
        </row>
        <row r="2285">
          <cell r="C2285" t="str">
            <v>Hillsdale ES</v>
          </cell>
          <cell r="D2285" t="str">
            <v>Potentia Solar 5 Limited Partnership</v>
          </cell>
          <cell r="E2285" t="str">
            <v>CO</v>
          </cell>
          <cell r="F2285">
            <v>42075</v>
          </cell>
          <cell r="G2285">
            <v>42227</v>
          </cell>
          <cell r="H2285">
            <v>49379</v>
          </cell>
          <cell r="I2285" t="str">
            <v>19 years, 7 months, 0 days</v>
          </cell>
          <cell r="J2285" t="str">
            <v>Renewables</v>
          </cell>
          <cell r="K2285" t="str">
            <v>Solar (Rooftop)</v>
          </cell>
          <cell r="L2285" t="str">
            <v>Solar</v>
          </cell>
          <cell r="M2285" t="str">
            <v>Dx</v>
          </cell>
          <cell r="N2285" t="str">
            <v>Hillsdale</v>
          </cell>
          <cell r="O2285" t="str">
            <v>Simcoe</v>
          </cell>
          <cell r="P2285" t="str">
            <v>Essa</v>
          </cell>
        </row>
        <row r="2286">
          <cell r="C2286" t="str">
            <v>Orillia Power Operations</v>
          </cell>
          <cell r="D2286" t="str">
            <v>Orillia Power Generation Corporation</v>
          </cell>
          <cell r="E2286" t="str">
            <v>CO</v>
          </cell>
          <cell r="F2286">
            <v>42075</v>
          </cell>
          <cell r="G2286">
            <v>41995</v>
          </cell>
          <cell r="H2286">
            <v>49299</v>
          </cell>
          <cell r="I2286" t="str">
            <v>19 years, 11 months, 29 days</v>
          </cell>
          <cell r="J2286" t="str">
            <v>Renewables</v>
          </cell>
          <cell r="K2286" t="str">
            <v>Solar (Rooftop)</v>
          </cell>
          <cell r="L2286" t="str">
            <v>Solar</v>
          </cell>
          <cell r="M2286" t="str">
            <v>Dx</v>
          </cell>
          <cell r="N2286" t="str">
            <v>Orillia</v>
          </cell>
          <cell r="O2286" t="str">
            <v>Simcoe</v>
          </cell>
          <cell r="P2286" t="str">
            <v>Essa</v>
          </cell>
        </row>
        <row r="2287">
          <cell r="C2287" t="str">
            <v>AGRIS Solar (West Nipissing #1)</v>
          </cell>
          <cell r="D2287" t="str">
            <v>PRI Solar Gardens LP</v>
          </cell>
          <cell r="E2287" t="str">
            <v>CO</v>
          </cell>
          <cell r="F2287">
            <v>42715</v>
          </cell>
          <cell r="G2287">
            <v>42726</v>
          </cell>
          <cell r="H2287">
            <v>50019</v>
          </cell>
          <cell r="I2287" t="str">
            <v>19 years, 11 months, 18 days</v>
          </cell>
          <cell r="J2287" t="str">
            <v>Renewables</v>
          </cell>
          <cell r="K2287" t="str">
            <v>Solar (Ground Mounted)</v>
          </cell>
          <cell r="L2287" t="str">
            <v>Solar</v>
          </cell>
          <cell r="M2287" t="str">
            <v>Dx</v>
          </cell>
          <cell r="N2287" t="str">
            <v>Sturgeon Falls</v>
          </cell>
          <cell r="O2287" t="str">
            <v>Nipissing</v>
          </cell>
          <cell r="P2287" t="str">
            <v>Northeast</v>
          </cell>
        </row>
        <row r="2288">
          <cell r="C2288" t="str">
            <v>GGELP_0004</v>
          </cell>
          <cell r="D2288" t="str">
            <v>Gengrowth Energy LP</v>
          </cell>
          <cell r="E2288" t="str">
            <v>CO</v>
          </cell>
          <cell r="F2288">
            <v>42658</v>
          </cell>
          <cell r="G2288">
            <v>42872</v>
          </cell>
          <cell r="H2288">
            <v>49962</v>
          </cell>
          <cell r="I2288" t="str">
            <v>19 years, 4 months, 27 days</v>
          </cell>
          <cell r="J2288" t="str">
            <v>Renewables</v>
          </cell>
          <cell r="K2288" t="str">
            <v>Solar (Ground Mounted)</v>
          </cell>
          <cell r="L2288" t="str">
            <v>Solar</v>
          </cell>
          <cell r="M2288" t="str">
            <v>Dx</v>
          </cell>
          <cell r="N2288" t="str">
            <v>Beaverton</v>
          </cell>
          <cell r="O2288" t="str">
            <v>Durham</v>
          </cell>
          <cell r="P2288" t="str">
            <v>Essa</v>
          </cell>
        </row>
        <row r="2289">
          <cell r="C2289" t="str">
            <v>GGELP_0002</v>
          </cell>
          <cell r="D2289" t="str">
            <v>Gengrowth Energy LP</v>
          </cell>
          <cell r="E2289" t="str">
            <v>CO</v>
          </cell>
          <cell r="F2289">
            <v>42658</v>
          </cell>
          <cell r="G2289">
            <v>42738</v>
          </cell>
          <cell r="H2289">
            <v>49962</v>
          </cell>
          <cell r="I2289" t="str">
            <v>19 years, 9 months, 11 days</v>
          </cell>
          <cell r="J2289" t="str">
            <v>Renewables</v>
          </cell>
          <cell r="K2289" t="str">
            <v>Solar (Ground Mounted)</v>
          </cell>
          <cell r="L2289" t="str">
            <v>Solar</v>
          </cell>
          <cell r="M2289" t="str">
            <v>Dx</v>
          </cell>
          <cell r="N2289" t="str">
            <v>Colborne</v>
          </cell>
          <cell r="O2289" t="str">
            <v>Northumberland</v>
          </cell>
          <cell r="P2289" t="str">
            <v>East</v>
          </cell>
        </row>
        <row r="2290">
          <cell r="C2290" t="str">
            <v>Gracefield PS</v>
          </cell>
          <cell r="D2290" t="str">
            <v>TSPS (Portfolio 2) Limited Partnership</v>
          </cell>
          <cell r="E2290" t="str">
            <v>CO</v>
          </cell>
          <cell r="F2290">
            <v>42597</v>
          </cell>
          <cell r="G2290">
            <v>42698</v>
          </cell>
          <cell r="H2290">
            <v>49901</v>
          </cell>
          <cell r="I2290" t="str">
            <v>19 years, 8 months, 21 days</v>
          </cell>
          <cell r="J2290" t="str">
            <v>Renewables</v>
          </cell>
          <cell r="K2290" t="str">
            <v>Solar (Rooftop)</v>
          </cell>
          <cell r="L2290" t="str">
            <v>Solar</v>
          </cell>
          <cell r="M2290" t="str">
            <v>Dx</v>
          </cell>
          <cell r="N2290" t="str">
            <v>Toronto</v>
          </cell>
          <cell r="O2290" t="str">
            <v>Toronto</v>
          </cell>
          <cell r="P2290" t="str">
            <v>Toronto</v>
          </cell>
        </row>
        <row r="2291">
          <cell r="C2291" t="str">
            <v>Van Gorp Farms L4</v>
          </cell>
          <cell r="D2291" t="str">
            <v>SE 2012 LP</v>
          </cell>
          <cell r="E2291" t="str">
            <v>CO</v>
          </cell>
          <cell r="F2291">
            <v>42112</v>
          </cell>
          <cell r="G2291">
            <v>42180</v>
          </cell>
          <cell r="H2291">
            <v>49416</v>
          </cell>
          <cell r="I2291" t="str">
            <v>19 years, 9 months, 23 days</v>
          </cell>
          <cell r="J2291" t="str">
            <v>Renewables</v>
          </cell>
          <cell r="K2291" t="str">
            <v>Solar (Rooftop)</v>
          </cell>
          <cell r="L2291" t="str">
            <v>Solar</v>
          </cell>
          <cell r="M2291" t="str">
            <v>Dx</v>
          </cell>
          <cell r="N2291" t="str">
            <v>Thorndale</v>
          </cell>
          <cell r="O2291" t="str">
            <v>Middlesex</v>
          </cell>
          <cell r="P2291" t="str">
            <v>West</v>
          </cell>
        </row>
        <row r="2292">
          <cell r="C2292" t="str">
            <v>Cedarbrae CI</v>
          </cell>
          <cell r="D2292" t="str">
            <v>TSPS (Portfolio 1) Limited Partnership</v>
          </cell>
          <cell r="E2292" t="str">
            <v>CO</v>
          </cell>
          <cell r="F2292">
            <v>42581</v>
          </cell>
          <cell r="G2292">
            <v>42247</v>
          </cell>
          <cell r="H2292">
            <v>49551</v>
          </cell>
          <cell r="I2292" t="str">
            <v>19 years, 11 months, 30 days</v>
          </cell>
          <cell r="J2292" t="str">
            <v>Renewables</v>
          </cell>
          <cell r="K2292" t="str">
            <v>Solar (Rooftop)</v>
          </cell>
          <cell r="L2292" t="str">
            <v>Solar</v>
          </cell>
          <cell r="M2292" t="str">
            <v>Dx</v>
          </cell>
          <cell r="N2292" t="str">
            <v>Toronto</v>
          </cell>
          <cell r="O2292" t="str">
            <v>Toronto</v>
          </cell>
          <cell r="P2292" t="str">
            <v>Toronto</v>
          </cell>
        </row>
        <row r="2293">
          <cell r="C2293" t="str">
            <v>70 Melford Drive RT</v>
          </cell>
          <cell r="D2293" t="str">
            <v>Tenedos GP 1 Ltd.</v>
          </cell>
          <cell r="E2293" t="str">
            <v>CO</v>
          </cell>
          <cell r="F2293">
            <v>42112</v>
          </cell>
          <cell r="G2293">
            <v>42292</v>
          </cell>
          <cell r="H2293">
            <v>49416</v>
          </cell>
          <cell r="I2293" t="str">
            <v>19 years, 6 months, 2 days</v>
          </cell>
          <cell r="J2293" t="str">
            <v>Renewables</v>
          </cell>
          <cell r="K2293" t="str">
            <v>Solar (Rooftop)</v>
          </cell>
          <cell r="L2293" t="str">
            <v>Solar</v>
          </cell>
          <cell r="M2293" t="str">
            <v>Dx</v>
          </cell>
          <cell r="N2293" t="str">
            <v>Toronto</v>
          </cell>
          <cell r="O2293" t="str">
            <v>Toronto</v>
          </cell>
          <cell r="P2293" t="str">
            <v>Toronto</v>
          </cell>
        </row>
        <row r="2294">
          <cell r="C2294" t="str">
            <v>SMART-B 002PV</v>
          </cell>
          <cell r="D2294" t="str">
            <v>SS Solar Power, ULC</v>
          </cell>
          <cell r="E2294" t="str">
            <v>CO</v>
          </cell>
          <cell r="F2294">
            <v>42102</v>
          </cell>
          <cell r="G2294">
            <v>41912</v>
          </cell>
          <cell r="H2294">
            <v>49216</v>
          </cell>
          <cell r="I2294" t="str">
            <v>19 years, 11 months, 30 days</v>
          </cell>
          <cell r="J2294" t="str">
            <v>Renewables</v>
          </cell>
          <cell r="K2294" t="str">
            <v>Solar (Rooftop)</v>
          </cell>
          <cell r="L2294" t="str">
            <v>Solar</v>
          </cell>
          <cell r="M2294" t="str">
            <v>Dx</v>
          </cell>
          <cell r="N2294" t="str">
            <v>Brampton</v>
          </cell>
          <cell r="O2294" t="str">
            <v>Peel</v>
          </cell>
          <cell r="P2294" t="str">
            <v>Toronto</v>
          </cell>
        </row>
        <row r="2295">
          <cell r="C2295" t="str">
            <v>GEO-100 Armstrong</v>
          </cell>
          <cell r="D2295" t="str">
            <v>Métis Nation of Ontario - BrightRoof Solar LP</v>
          </cell>
          <cell r="E2295" t="str">
            <v>CO</v>
          </cell>
          <cell r="F2295">
            <v>42104</v>
          </cell>
          <cell r="G2295">
            <v>41955</v>
          </cell>
          <cell r="H2295">
            <v>49259</v>
          </cell>
          <cell r="I2295" t="str">
            <v>19 years, 11 months, 30 days</v>
          </cell>
          <cell r="J2295" t="str">
            <v>Renewables</v>
          </cell>
          <cell r="K2295" t="str">
            <v>Solar (Rooftop)</v>
          </cell>
          <cell r="L2295" t="str">
            <v>Solar</v>
          </cell>
          <cell r="M2295" t="str">
            <v>Dx</v>
          </cell>
          <cell r="N2295" t="str">
            <v>Halton Hills</v>
          </cell>
          <cell r="O2295" t="str">
            <v>Halton</v>
          </cell>
          <cell r="P2295" t="str">
            <v>Toronto</v>
          </cell>
        </row>
        <row r="2296">
          <cell r="C2296" t="str">
            <v>AGRIS Solar (LT 4 CON 4 HARLEY)</v>
          </cell>
          <cell r="D2296" t="str">
            <v>AGRIS Solar Co-operative Inc.</v>
          </cell>
          <cell r="E2296" t="str">
            <v>CO</v>
          </cell>
          <cell r="F2296">
            <v>42715</v>
          </cell>
          <cell r="G2296">
            <v>42137</v>
          </cell>
          <cell r="H2296">
            <v>49441</v>
          </cell>
          <cell r="I2296" t="str">
            <v>19 years, 11 months, 29 days</v>
          </cell>
          <cell r="J2296" t="str">
            <v>Renewables</v>
          </cell>
          <cell r="K2296" t="str">
            <v>Solar (Ground Mounted)</v>
          </cell>
          <cell r="L2296" t="str">
            <v>Solar</v>
          </cell>
          <cell r="M2296" t="str">
            <v>Dx</v>
          </cell>
          <cell r="N2296" t="str">
            <v>Thornloe</v>
          </cell>
          <cell r="O2296" t="str">
            <v>Timiskaming</v>
          </cell>
          <cell r="P2296" t="str">
            <v>Northeast</v>
          </cell>
        </row>
        <row r="2297">
          <cell r="C2297" t="str">
            <v>West Humber JMS</v>
          </cell>
          <cell r="D2297" t="str">
            <v>TSPS (Portfolio 1) Limited Partnership</v>
          </cell>
          <cell r="E2297" t="str">
            <v>CO</v>
          </cell>
          <cell r="F2297">
            <v>42611</v>
          </cell>
          <cell r="G2297">
            <v>42356</v>
          </cell>
          <cell r="H2297">
            <v>49660</v>
          </cell>
          <cell r="I2297" t="str">
            <v>19 years, 11 months, 29 days</v>
          </cell>
          <cell r="J2297" t="str">
            <v>Renewables</v>
          </cell>
          <cell r="K2297" t="str">
            <v>Solar (Rooftop)</v>
          </cell>
          <cell r="L2297" t="str">
            <v>Solar</v>
          </cell>
          <cell r="M2297" t="str">
            <v>Dx</v>
          </cell>
          <cell r="N2297" t="str">
            <v>Toronto</v>
          </cell>
          <cell r="O2297" t="str">
            <v>Toronto</v>
          </cell>
          <cell r="P2297" t="str">
            <v>Toronto</v>
          </cell>
        </row>
        <row r="2298">
          <cell r="C2298" t="str">
            <v>Tecumseth Beeton</v>
          </cell>
          <cell r="D2298" t="str">
            <v>Potentia Solar 5 Limited Partnership</v>
          </cell>
          <cell r="E2298" t="str">
            <v>CO</v>
          </cell>
          <cell r="F2298">
            <v>42095</v>
          </cell>
          <cell r="G2298">
            <v>42251</v>
          </cell>
          <cell r="H2298">
            <v>49399</v>
          </cell>
          <cell r="I2298" t="str">
            <v>19 years, 6 months, 27 days</v>
          </cell>
          <cell r="J2298" t="str">
            <v>Renewables</v>
          </cell>
          <cell r="K2298" t="str">
            <v>Solar (Rooftop)</v>
          </cell>
          <cell r="L2298" t="str">
            <v>Solar</v>
          </cell>
          <cell r="M2298" t="str">
            <v>Dx</v>
          </cell>
          <cell r="N2298" t="str">
            <v>Beeton</v>
          </cell>
          <cell r="O2298" t="str">
            <v>Simcoe</v>
          </cell>
          <cell r="P2298" t="str">
            <v>Southwest</v>
          </cell>
        </row>
        <row r="2299">
          <cell r="C2299" t="str">
            <v>Cobalt - Landfill 2</v>
          </cell>
          <cell r="D2299" t="str">
            <v>Solaire Cobalt Solar Inc.</v>
          </cell>
          <cell r="E2299" t="str">
            <v>CO</v>
          </cell>
          <cell r="F2299">
            <v>42602</v>
          </cell>
          <cell r="G2299">
            <v>43105</v>
          </cell>
          <cell r="H2299">
            <v>49906</v>
          </cell>
          <cell r="I2299" t="str">
            <v>18 years, 7 months, 14 days</v>
          </cell>
          <cell r="J2299" t="str">
            <v>Renewables</v>
          </cell>
          <cell r="K2299" t="str">
            <v>Solar (Ground Mounted)</v>
          </cell>
          <cell r="L2299" t="str">
            <v>Solar</v>
          </cell>
          <cell r="M2299" t="str">
            <v>Dx</v>
          </cell>
          <cell r="N2299" t="str">
            <v>Fauquier</v>
          </cell>
          <cell r="O2299" t="str">
            <v>Cochrane</v>
          </cell>
          <cell r="P2299" t="str">
            <v>Northeast</v>
          </cell>
        </row>
        <row r="2300">
          <cell r="C2300" t="str">
            <v>St. Elizabeth Catholic Elementary School</v>
          </cell>
          <cell r="D2300" t="str">
            <v>Potentia Solar 6 Limited Partnership</v>
          </cell>
          <cell r="E2300" t="str">
            <v>CO</v>
          </cell>
          <cell r="F2300">
            <v>42097</v>
          </cell>
          <cell r="G2300">
            <v>42263</v>
          </cell>
          <cell r="H2300">
            <v>49401</v>
          </cell>
          <cell r="I2300" t="str">
            <v>19 years, 6 months, 17 days</v>
          </cell>
          <cell r="J2300" t="str">
            <v>Renewables</v>
          </cell>
          <cell r="K2300" t="str">
            <v>Solar (Rooftop)</v>
          </cell>
          <cell r="L2300" t="str">
            <v>Solar</v>
          </cell>
          <cell r="M2300" t="str">
            <v>Dx</v>
          </cell>
          <cell r="N2300" t="str">
            <v>Cambridge</v>
          </cell>
          <cell r="O2300" t="str">
            <v>Waterloo</v>
          </cell>
          <cell r="P2300" t="str">
            <v>Southwest</v>
          </cell>
        </row>
        <row r="2301">
          <cell r="C2301" t="str">
            <v>AGRIS Managed (Sophiasburgh - West)</v>
          </cell>
          <cell r="D2301" t="str">
            <v>PRI Solar Gardens LP</v>
          </cell>
          <cell r="E2301" t="str">
            <v>CO</v>
          </cell>
          <cell r="F2301">
            <v>42761</v>
          </cell>
          <cell r="G2301">
            <v>42646</v>
          </cell>
          <cell r="H2301">
            <v>49950</v>
          </cell>
          <cell r="I2301" t="str">
            <v>19 years, 11 months, 29 days</v>
          </cell>
          <cell r="J2301" t="str">
            <v>Renewables</v>
          </cell>
          <cell r="K2301" t="str">
            <v>Solar (Ground Mounted)</v>
          </cell>
          <cell r="L2301" t="str">
            <v>Solar</v>
          </cell>
          <cell r="M2301" t="str">
            <v>Dx</v>
          </cell>
          <cell r="N2301" t="str">
            <v>Demorestville</v>
          </cell>
          <cell r="O2301" t="str">
            <v>Prince Edward</v>
          </cell>
          <cell r="P2301" t="str">
            <v>East</v>
          </cell>
        </row>
        <row r="2302">
          <cell r="C2302" t="str">
            <v>50 Torlake Cres</v>
          </cell>
          <cell r="D2302" t="str">
            <v>1753934 Ontario Ltd.</v>
          </cell>
          <cell r="E2302" t="str">
            <v>CO</v>
          </cell>
          <cell r="F2302">
            <v>42082</v>
          </cell>
          <cell r="G2302">
            <v>42082</v>
          </cell>
          <cell r="H2302">
            <v>49386</v>
          </cell>
          <cell r="I2302" t="str">
            <v>19 years, 11 months, 27 days</v>
          </cell>
          <cell r="J2302" t="str">
            <v>Renewables</v>
          </cell>
          <cell r="K2302" t="str">
            <v>Solar (Rooftop)</v>
          </cell>
          <cell r="L2302" t="str">
            <v>Solar</v>
          </cell>
          <cell r="M2302" t="str">
            <v>Dx</v>
          </cell>
          <cell r="N2302" t="str">
            <v>Toronto</v>
          </cell>
          <cell r="O2302" t="str">
            <v>Toronto</v>
          </cell>
          <cell r="P2302" t="str">
            <v>Toronto</v>
          </cell>
        </row>
        <row r="2303">
          <cell r="C2303" t="str">
            <v>Sir Alexander MacKenzie Sr PS</v>
          </cell>
          <cell r="D2303" t="str">
            <v>TSPS (Portfolio 1) Limited Partnership</v>
          </cell>
          <cell r="E2303" t="str">
            <v>CO</v>
          </cell>
          <cell r="F2303">
            <v>42611</v>
          </cell>
          <cell r="G2303">
            <v>42149</v>
          </cell>
          <cell r="H2303">
            <v>49453</v>
          </cell>
          <cell r="I2303" t="str">
            <v>19 years, 11 months, 29 days</v>
          </cell>
          <cell r="J2303" t="str">
            <v>Renewables</v>
          </cell>
          <cell r="K2303" t="str">
            <v>Solar (Rooftop)</v>
          </cell>
          <cell r="L2303" t="str">
            <v>Solar</v>
          </cell>
          <cell r="M2303" t="str">
            <v>Dx</v>
          </cell>
          <cell r="N2303" t="str">
            <v>Toronto</v>
          </cell>
          <cell r="O2303" t="str">
            <v>Toronto</v>
          </cell>
          <cell r="P2303" t="str">
            <v>Toronto</v>
          </cell>
        </row>
        <row r="2304">
          <cell r="C2304" t="str">
            <v>62 Janti Rd - J Cyr</v>
          </cell>
          <cell r="D2304" t="str">
            <v>SUNSHARE2 LP</v>
          </cell>
          <cell r="E2304" t="str">
            <v>CO</v>
          </cell>
          <cell r="F2304">
            <v>42604</v>
          </cell>
          <cell r="G2304">
            <v>42619</v>
          </cell>
          <cell r="H2304">
            <v>49908</v>
          </cell>
          <cell r="I2304" t="str">
            <v>19 years, 11 months, 15 days</v>
          </cell>
          <cell r="J2304" t="str">
            <v>Renewables</v>
          </cell>
          <cell r="K2304" t="str">
            <v>Solar (Ground Mounted)</v>
          </cell>
          <cell r="L2304" t="str">
            <v>Solar</v>
          </cell>
          <cell r="M2304" t="str">
            <v>Dx</v>
          </cell>
          <cell r="N2304" t="str">
            <v>Worthington</v>
          </cell>
          <cell r="O2304" t="str">
            <v>Greater Sudbury</v>
          </cell>
          <cell r="P2304" t="str">
            <v>Northeast</v>
          </cell>
        </row>
        <row r="2305">
          <cell r="C2305" t="str">
            <v>Senton</v>
          </cell>
          <cell r="D2305" t="str">
            <v>N&amp;G LP</v>
          </cell>
          <cell r="E2305" t="str">
            <v>CO</v>
          </cell>
          <cell r="F2305">
            <v>42056</v>
          </cell>
          <cell r="G2305">
            <v>42216</v>
          </cell>
          <cell r="H2305">
            <v>49360</v>
          </cell>
          <cell r="I2305" t="str">
            <v>19 years, 6 months, 20 days</v>
          </cell>
          <cell r="J2305" t="str">
            <v>Renewables</v>
          </cell>
          <cell r="K2305" t="str">
            <v>Solar (Rooftop)</v>
          </cell>
          <cell r="L2305" t="str">
            <v>Solar</v>
          </cell>
          <cell r="M2305" t="str">
            <v>Dx</v>
          </cell>
          <cell r="N2305" t="str">
            <v>London</v>
          </cell>
          <cell r="O2305" t="str">
            <v>Middlesex</v>
          </cell>
          <cell r="P2305" t="str">
            <v>West</v>
          </cell>
        </row>
        <row r="2306">
          <cell r="C2306" t="str">
            <v>SWM Firehall 50kW</v>
          </cell>
          <cell r="D2306" t="str">
            <v>Solar Income Fund LP (#5)</v>
          </cell>
          <cell r="E2306" t="str">
            <v>CO</v>
          </cell>
          <cell r="F2306">
            <v>42151</v>
          </cell>
          <cell r="G2306">
            <v>42208</v>
          </cell>
          <cell r="H2306">
            <v>49455</v>
          </cell>
          <cell r="I2306" t="str">
            <v>19 years, 10 months, 3 days</v>
          </cell>
          <cell r="J2306" t="str">
            <v>Renewables</v>
          </cell>
          <cell r="K2306" t="str">
            <v>Solar (Rooftop)</v>
          </cell>
          <cell r="L2306" t="str">
            <v>Solar</v>
          </cell>
          <cell r="M2306" t="str">
            <v>Dx</v>
          </cell>
          <cell r="N2306" t="str">
            <v>Glencoe</v>
          </cell>
          <cell r="O2306" t="str">
            <v>Middlesex</v>
          </cell>
          <cell r="P2306" t="str">
            <v>West</v>
          </cell>
        </row>
        <row r="2307">
          <cell r="C2307" t="str">
            <v>Grasshopper 140 McLevin</v>
          </cell>
          <cell r="D2307" t="str">
            <v>ICM Realty Group Solar 2013 Inc.</v>
          </cell>
          <cell r="E2307" t="str">
            <v>CO</v>
          </cell>
          <cell r="F2307">
            <v>42117</v>
          </cell>
          <cell r="G2307">
            <v>42195</v>
          </cell>
          <cell r="H2307">
            <v>49421</v>
          </cell>
          <cell r="I2307" t="str">
            <v>19 years, 9 months, 12 days</v>
          </cell>
          <cell r="J2307" t="str">
            <v>Renewables</v>
          </cell>
          <cell r="K2307" t="str">
            <v>Solar (Rooftop)</v>
          </cell>
          <cell r="L2307" t="str">
            <v>Solar</v>
          </cell>
          <cell r="M2307" t="str">
            <v>Dx</v>
          </cell>
          <cell r="N2307" t="str">
            <v>Toronto</v>
          </cell>
          <cell r="O2307" t="str">
            <v>Toronto</v>
          </cell>
          <cell r="P2307" t="str">
            <v>Toronto</v>
          </cell>
        </row>
        <row r="2308">
          <cell r="C2308" t="str">
            <v>Emily Carr PS</v>
          </cell>
          <cell r="D2308" t="str">
            <v>TSPS (Portfolio 1) Limited Partnership</v>
          </cell>
          <cell r="E2308" t="str">
            <v>CO</v>
          </cell>
          <cell r="F2308">
            <v>42588</v>
          </cell>
          <cell r="G2308">
            <v>42132</v>
          </cell>
          <cell r="H2308">
            <v>49436</v>
          </cell>
          <cell r="I2308" t="str">
            <v>19 years, 11 months, 29 days</v>
          </cell>
          <cell r="J2308" t="str">
            <v>Renewables</v>
          </cell>
          <cell r="K2308" t="str">
            <v>Solar (Rooftop)</v>
          </cell>
          <cell r="L2308" t="str">
            <v>Solar</v>
          </cell>
          <cell r="M2308" t="str">
            <v>Dx</v>
          </cell>
          <cell r="N2308" t="str">
            <v>Toronto</v>
          </cell>
          <cell r="O2308" t="str">
            <v>Toronto</v>
          </cell>
          <cell r="P2308" t="str">
            <v>Toronto</v>
          </cell>
        </row>
        <row r="2309">
          <cell r="C2309" t="str">
            <v>10b McNaughton</v>
          </cell>
          <cell r="D2309" t="str">
            <v>Rural Energy Limited Partnership</v>
          </cell>
          <cell r="E2309" t="str">
            <v>CO</v>
          </cell>
          <cell r="F2309">
            <v>42757</v>
          </cell>
          <cell r="G2309">
            <v>42353</v>
          </cell>
          <cell r="H2309">
            <v>49657</v>
          </cell>
          <cell r="I2309" t="str">
            <v>19 years, 11 months, 29 days</v>
          </cell>
          <cell r="J2309" t="str">
            <v>Renewables</v>
          </cell>
          <cell r="K2309" t="str">
            <v>Solar (Ground Mounted)</v>
          </cell>
          <cell r="L2309" t="str">
            <v>Solar</v>
          </cell>
          <cell r="M2309" t="str">
            <v>Dx</v>
          </cell>
          <cell r="N2309" t="str">
            <v>New Liskeard</v>
          </cell>
          <cell r="O2309" t="str">
            <v>Timiskaming</v>
          </cell>
          <cell r="P2309" t="str">
            <v>Northeast</v>
          </cell>
        </row>
        <row r="2310">
          <cell r="C2310" t="str">
            <v>Mid-Ontario Diesel Limited</v>
          </cell>
          <cell r="D2310" t="str">
            <v>2241880 Ontario Limited</v>
          </cell>
          <cell r="E2310" t="str">
            <v>CO</v>
          </cell>
          <cell r="F2310">
            <v>42117</v>
          </cell>
          <cell r="G2310">
            <v>42117</v>
          </cell>
          <cell r="H2310">
            <v>49421</v>
          </cell>
          <cell r="I2310" t="str">
            <v>19 years, 11 months, 30 days</v>
          </cell>
          <cell r="J2310" t="str">
            <v>Renewables</v>
          </cell>
          <cell r="K2310" t="str">
            <v>Solar (Rooftop)</v>
          </cell>
          <cell r="L2310" t="str">
            <v>Solar</v>
          </cell>
          <cell r="M2310" t="str">
            <v>Dx</v>
          </cell>
          <cell r="N2310" t="str">
            <v>Vaughan</v>
          </cell>
          <cell r="O2310" t="str">
            <v>York</v>
          </cell>
          <cell r="P2310" t="str">
            <v>Toronto</v>
          </cell>
        </row>
        <row r="2311">
          <cell r="C2311" t="str">
            <v>Silverthorn CI</v>
          </cell>
          <cell r="D2311" t="str">
            <v>TSPS (Portfolio 1) Limited Partnership</v>
          </cell>
          <cell r="E2311" t="str">
            <v>CO</v>
          </cell>
          <cell r="F2311">
            <v>42609</v>
          </cell>
          <cell r="G2311">
            <v>42185</v>
          </cell>
          <cell r="H2311">
            <v>49489</v>
          </cell>
          <cell r="I2311" t="str">
            <v>19 years, 11 months, 30 days</v>
          </cell>
          <cell r="J2311" t="str">
            <v>Renewables</v>
          </cell>
          <cell r="K2311" t="str">
            <v>Solar (Rooftop)</v>
          </cell>
          <cell r="L2311" t="str">
            <v>Solar</v>
          </cell>
          <cell r="M2311" t="str">
            <v>Dx</v>
          </cell>
          <cell r="N2311" t="str">
            <v>Toronto</v>
          </cell>
          <cell r="O2311" t="str">
            <v>Toronto</v>
          </cell>
          <cell r="P2311" t="str">
            <v>Toronto</v>
          </cell>
        </row>
        <row r="2312">
          <cell r="C2312" t="str">
            <v>Queen Alexandra Sr PS</v>
          </cell>
          <cell r="D2312" t="str">
            <v>TSPS (Portfolio 2) Limited Partnership</v>
          </cell>
          <cell r="E2312" t="str">
            <v>CO</v>
          </cell>
          <cell r="F2312">
            <v>42609</v>
          </cell>
          <cell r="G2312">
            <v>42335</v>
          </cell>
          <cell r="H2312">
            <v>49639</v>
          </cell>
          <cell r="I2312" t="str">
            <v>19 years, 11 months, 30 days</v>
          </cell>
          <cell r="J2312" t="str">
            <v>Renewables</v>
          </cell>
          <cell r="K2312" t="str">
            <v>Solar (Rooftop)</v>
          </cell>
          <cell r="L2312" t="str">
            <v>Solar</v>
          </cell>
          <cell r="M2312" t="str">
            <v>Dx</v>
          </cell>
          <cell r="N2312" t="str">
            <v>Toronto</v>
          </cell>
          <cell r="O2312" t="str">
            <v>Toronto</v>
          </cell>
          <cell r="P2312" t="str">
            <v>Toronto</v>
          </cell>
        </row>
        <row r="2313">
          <cell r="C2313" t="str">
            <v>AGRIS Solar (LT 8 CON 6 HARLEY)</v>
          </cell>
          <cell r="D2313" t="str">
            <v>AGRIS Solar Co-operative Inc.</v>
          </cell>
          <cell r="E2313" t="str">
            <v>CO</v>
          </cell>
          <cell r="F2313">
            <v>42699</v>
          </cell>
          <cell r="G2313">
            <v>42319</v>
          </cell>
          <cell r="H2313">
            <v>49623</v>
          </cell>
          <cell r="I2313" t="str">
            <v>19 years, 11 months, 30 days</v>
          </cell>
          <cell r="J2313" t="str">
            <v>Renewables</v>
          </cell>
          <cell r="K2313" t="str">
            <v>Solar (Ground Mounted)</v>
          </cell>
          <cell r="L2313" t="str">
            <v>Solar</v>
          </cell>
          <cell r="M2313" t="str">
            <v>Dx</v>
          </cell>
          <cell r="N2313" t="str">
            <v>Thornloe</v>
          </cell>
          <cell r="O2313" t="str">
            <v>Timiskaming</v>
          </cell>
          <cell r="P2313" t="str">
            <v>Northeast</v>
          </cell>
        </row>
        <row r="2314">
          <cell r="C2314" t="str">
            <v>Villanova College Solar</v>
          </cell>
          <cell r="D2314" t="str">
            <v>St.Thomas of Villanova Catholic School</v>
          </cell>
          <cell r="E2314" t="str">
            <v>CO</v>
          </cell>
          <cell r="F2314">
            <v>42102</v>
          </cell>
          <cell r="G2314">
            <v>42307</v>
          </cell>
          <cell r="H2314">
            <v>49406</v>
          </cell>
          <cell r="I2314" t="str">
            <v>19 years, 5 months, 8 days</v>
          </cell>
          <cell r="J2314" t="str">
            <v>Renewables</v>
          </cell>
          <cell r="K2314" t="str">
            <v>Solar (Rooftop)</v>
          </cell>
          <cell r="L2314" t="str">
            <v>Solar</v>
          </cell>
          <cell r="M2314" t="str">
            <v>Dx</v>
          </cell>
          <cell r="N2314" t="str">
            <v>King City</v>
          </cell>
          <cell r="O2314" t="str">
            <v>York</v>
          </cell>
          <cell r="P2314" t="str">
            <v>Toronto</v>
          </cell>
        </row>
        <row r="2315">
          <cell r="C2315" t="str">
            <v>Dallington PS</v>
          </cell>
          <cell r="D2315" t="str">
            <v>TSPS (Portfolio 2) Limited Partnership</v>
          </cell>
          <cell r="E2315" t="str">
            <v>CO</v>
          </cell>
          <cell r="F2315">
            <v>42583</v>
          </cell>
          <cell r="G2315">
            <v>42643</v>
          </cell>
          <cell r="H2315">
            <v>49887</v>
          </cell>
          <cell r="I2315" t="str">
            <v>19 years, 10 months, 1 days</v>
          </cell>
          <cell r="J2315" t="str">
            <v>Renewables</v>
          </cell>
          <cell r="K2315" t="str">
            <v>Solar (Rooftop)</v>
          </cell>
          <cell r="L2315" t="str">
            <v>Solar</v>
          </cell>
          <cell r="M2315" t="str">
            <v>Dx</v>
          </cell>
          <cell r="N2315" t="str">
            <v>Toronto</v>
          </cell>
          <cell r="O2315" t="str">
            <v>Toronto</v>
          </cell>
          <cell r="P2315" t="str">
            <v>Toronto</v>
          </cell>
        </row>
        <row r="2316">
          <cell r="C2316" t="str">
            <v>Glamorgan Jr PS</v>
          </cell>
          <cell r="D2316" t="str">
            <v>TSPS (Portfolio 1) Limited Partnership</v>
          </cell>
          <cell r="E2316" t="str">
            <v>CO</v>
          </cell>
          <cell r="F2316">
            <v>42597</v>
          </cell>
          <cell r="G2316">
            <v>41915</v>
          </cell>
          <cell r="H2316">
            <v>49219</v>
          </cell>
          <cell r="I2316" t="str">
            <v>19 years, 11 months, 29 days</v>
          </cell>
          <cell r="J2316" t="str">
            <v>Renewables</v>
          </cell>
          <cell r="K2316" t="str">
            <v>Solar (Rooftop)</v>
          </cell>
          <cell r="L2316" t="str">
            <v>Solar</v>
          </cell>
          <cell r="M2316" t="str">
            <v>Dx</v>
          </cell>
          <cell r="N2316" t="str">
            <v>Toronto</v>
          </cell>
          <cell r="O2316" t="str">
            <v>Toronto</v>
          </cell>
          <cell r="P2316" t="str">
            <v>Toronto</v>
          </cell>
        </row>
        <row r="2317">
          <cell r="C2317" t="str">
            <v>Stayner CI</v>
          </cell>
          <cell r="D2317" t="str">
            <v>Potentia Solar 5 Limited Partnership</v>
          </cell>
          <cell r="E2317" t="str">
            <v>CO</v>
          </cell>
          <cell r="F2317">
            <v>42095</v>
          </cell>
          <cell r="G2317">
            <v>42222</v>
          </cell>
          <cell r="H2317">
            <v>49399</v>
          </cell>
          <cell r="I2317" t="str">
            <v>19 years, 7 months, 25 days</v>
          </cell>
          <cell r="J2317" t="str">
            <v>Renewables</v>
          </cell>
          <cell r="K2317" t="str">
            <v>Solar (Rooftop)</v>
          </cell>
          <cell r="L2317" t="str">
            <v>Solar</v>
          </cell>
          <cell r="M2317" t="str">
            <v>Dx</v>
          </cell>
          <cell r="N2317" t="str">
            <v>Stayner</v>
          </cell>
          <cell r="O2317" t="str">
            <v>Simcoe</v>
          </cell>
          <cell r="P2317" t="str">
            <v>Essa</v>
          </cell>
        </row>
        <row r="2318">
          <cell r="C2318" t="str">
            <v>Perth Av Jr PS</v>
          </cell>
          <cell r="D2318" t="str">
            <v>TSPS (Portfolio 2) Limited Partnership</v>
          </cell>
          <cell r="E2318" t="str">
            <v>CO</v>
          </cell>
          <cell r="F2318">
            <v>42604</v>
          </cell>
          <cell r="G2318">
            <v>42335</v>
          </cell>
          <cell r="H2318">
            <v>49639</v>
          </cell>
          <cell r="I2318" t="str">
            <v>19 years, 11 months, 30 days</v>
          </cell>
          <cell r="J2318" t="str">
            <v>Renewables</v>
          </cell>
          <cell r="K2318" t="str">
            <v>Solar (Rooftop)</v>
          </cell>
          <cell r="L2318" t="str">
            <v>Solar</v>
          </cell>
          <cell r="M2318" t="str">
            <v>Dx</v>
          </cell>
          <cell r="N2318" t="str">
            <v>Toronto</v>
          </cell>
          <cell r="O2318" t="str">
            <v>Toronto</v>
          </cell>
          <cell r="P2318" t="str">
            <v>Toronto</v>
          </cell>
        </row>
        <row r="2319">
          <cell r="C2319" t="str">
            <v>Tweed/Hwy 7 Solar PV Garden</v>
          </cell>
          <cell r="D2319" t="str">
            <v>Sino-can Agri-products &amp; Clean Energy Limited</v>
          </cell>
          <cell r="E2319" t="str">
            <v>CO</v>
          </cell>
          <cell r="F2319">
            <v>42616</v>
          </cell>
          <cell r="G2319">
            <v>42297</v>
          </cell>
          <cell r="H2319">
            <v>49601</v>
          </cell>
          <cell r="I2319" t="str">
            <v>19 years, 11 months, 29 days</v>
          </cell>
          <cell r="J2319" t="str">
            <v>Renewables</v>
          </cell>
          <cell r="K2319" t="str">
            <v>Solar (Ground Mounted)</v>
          </cell>
          <cell r="L2319" t="str">
            <v>Solar</v>
          </cell>
          <cell r="M2319" t="str">
            <v>Dx</v>
          </cell>
          <cell r="N2319" t="str">
            <v>Tweed</v>
          </cell>
          <cell r="O2319" t="str">
            <v>Hastings</v>
          </cell>
          <cell r="P2319" t="str">
            <v>East</v>
          </cell>
        </row>
        <row r="2320">
          <cell r="C2320" t="str">
            <v>Morrish PS</v>
          </cell>
          <cell r="D2320" t="str">
            <v>TSPS (Portfolio 2) Limited Partnership</v>
          </cell>
          <cell r="E2320" t="str">
            <v>CO</v>
          </cell>
          <cell r="F2320">
            <v>42604</v>
          </cell>
          <cell r="G2320">
            <v>42321</v>
          </cell>
          <cell r="H2320">
            <v>49625</v>
          </cell>
          <cell r="I2320" t="str">
            <v>19 years, 11 months, 30 days</v>
          </cell>
          <cell r="J2320" t="str">
            <v>Renewables</v>
          </cell>
          <cell r="K2320" t="str">
            <v>Solar (Rooftop)</v>
          </cell>
          <cell r="L2320" t="str">
            <v>Solar</v>
          </cell>
          <cell r="M2320" t="str">
            <v>Dx</v>
          </cell>
          <cell r="N2320" t="str">
            <v>Toronto</v>
          </cell>
          <cell r="O2320" t="str">
            <v>Toronto</v>
          </cell>
          <cell r="P2320" t="str">
            <v>Toronto</v>
          </cell>
        </row>
        <row r="2321">
          <cell r="C2321" t="str">
            <v>Frieslawn Farms (Home Farm)</v>
          </cell>
          <cell r="D2321" t="str">
            <v>Frieslawn Green Energy Co-operative of Ontario LP</v>
          </cell>
          <cell r="E2321" t="str">
            <v>CO</v>
          </cell>
          <cell r="F2321">
            <v>42056</v>
          </cell>
          <cell r="G2321">
            <v>42215</v>
          </cell>
          <cell r="H2321">
            <v>49360</v>
          </cell>
          <cell r="I2321" t="str">
            <v>19 years, 6 months, 21 days</v>
          </cell>
          <cell r="J2321" t="str">
            <v>Renewables</v>
          </cell>
          <cell r="K2321" t="str">
            <v>Solar (Rooftop)</v>
          </cell>
          <cell r="L2321" t="str">
            <v>Solar</v>
          </cell>
          <cell r="M2321" t="str">
            <v>Dx</v>
          </cell>
          <cell r="N2321" t="str">
            <v>Woodstock</v>
          </cell>
          <cell r="O2321" t="str">
            <v>Oxford</v>
          </cell>
          <cell r="P2321" t="str">
            <v>Southwest</v>
          </cell>
        </row>
        <row r="2322">
          <cell r="C2322" t="str">
            <v>HAG - Station C1</v>
          </cell>
          <cell r="D2322" t="str">
            <v>Maxim Solar Power Corporation</v>
          </cell>
          <cell r="E2322" t="str">
            <v>CO</v>
          </cell>
          <cell r="F2322">
            <v>42658</v>
          </cell>
          <cell r="G2322">
            <v>42578</v>
          </cell>
          <cell r="H2322">
            <v>49882</v>
          </cell>
          <cell r="I2322" t="str">
            <v>19 years, 11 months, 29 days</v>
          </cell>
          <cell r="J2322" t="str">
            <v>Renewables</v>
          </cell>
          <cell r="K2322" t="str">
            <v>Solar (Ground Mounted)</v>
          </cell>
          <cell r="L2322" t="str">
            <v>Solar</v>
          </cell>
          <cell r="M2322" t="str">
            <v>Dx</v>
          </cell>
          <cell r="N2322" t="str">
            <v>Hagersville</v>
          </cell>
          <cell r="O2322" t="str">
            <v>Haldimand</v>
          </cell>
          <cell r="P2322" t="str">
            <v>Southwest</v>
          </cell>
        </row>
        <row r="2323">
          <cell r="C2323" t="str">
            <v>COB-83 Veronica</v>
          </cell>
          <cell r="D2323" t="str">
            <v>Métis Nation of Ontario - BrightRoof Solar LP</v>
          </cell>
          <cell r="E2323" t="str">
            <v>CO</v>
          </cell>
          <cell r="F2323">
            <v>42075</v>
          </cell>
          <cell r="G2323">
            <v>42166</v>
          </cell>
          <cell r="H2323">
            <v>49379</v>
          </cell>
          <cell r="I2323" t="str">
            <v>19 years, 9 months, 0 days</v>
          </cell>
          <cell r="J2323" t="str">
            <v>Renewables</v>
          </cell>
          <cell r="K2323" t="str">
            <v>Solar (Rooftop)</v>
          </cell>
          <cell r="L2323" t="str">
            <v>Solar</v>
          </cell>
          <cell r="M2323" t="str">
            <v>Dx</v>
          </cell>
          <cell r="N2323" t="str">
            <v>Cobourg</v>
          </cell>
          <cell r="O2323" t="str">
            <v>Northumberland</v>
          </cell>
          <cell r="P2323" t="str">
            <v>East</v>
          </cell>
        </row>
        <row r="2324">
          <cell r="C2324" t="str">
            <v>2311 Crookston Road, Tweed</v>
          </cell>
          <cell r="D2324" t="str">
            <v>John Gunning</v>
          </cell>
          <cell r="E2324" t="str">
            <v>CO</v>
          </cell>
          <cell r="F2324">
            <v>42110</v>
          </cell>
          <cell r="G2324">
            <v>42090</v>
          </cell>
          <cell r="H2324">
            <v>49394</v>
          </cell>
          <cell r="I2324" t="str">
            <v>19 years, 11 months, 27 days</v>
          </cell>
          <cell r="J2324" t="str">
            <v>Renewables</v>
          </cell>
          <cell r="K2324" t="str">
            <v>Solar (Rooftop)</v>
          </cell>
          <cell r="L2324" t="str">
            <v>Solar</v>
          </cell>
          <cell r="M2324" t="str">
            <v>Dx</v>
          </cell>
          <cell r="N2324" t="str">
            <v>Tweed</v>
          </cell>
          <cell r="O2324" t="str">
            <v>Hastings</v>
          </cell>
          <cell r="P2324" t="str">
            <v>East</v>
          </cell>
        </row>
        <row r="2325">
          <cell r="C2325" t="str">
            <v>FRITZ (West Nipissing #4)</v>
          </cell>
          <cell r="D2325" t="str">
            <v>PRI Solar Gardens LP</v>
          </cell>
          <cell r="E2325" t="str">
            <v>CO</v>
          </cell>
          <cell r="F2325">
            <v>42715</v>
          </cell>
          <cell r="G2325">
            <v>42726</v>
          </cell>
          <cell r="H2325">
            <v>50019</v>
          </cell>
          <cell r="I2325" t="str">
            <v>19 years, 11 months, 18 days</v>
          </cell>
          <cell r="J2325" t="str">
            <v>Renewables</v>
          </cell>
          <cell r="K2325" t="str">
            <v>Solar (Ground Mounted)</v>
          </cell>
          <cell r="L2325" t="str">
            <v>Solar</v>
          </cell>
          <cell r="M2325" t="str">
            <v>Dx</v>
          </cell>
          <cell r="N2325" t="str">
            <v>Sturgeon Falls</v>
          </cell>
          <cell r="O2325" t="str">
            <v>Nipissing</v>
          </cell>
          <cell r="P2325" t="str">
            <v>Northeast</v>
          </cell>
        </row>
        <row r="2326">
          <cell r="C2326" t="str">
            <v>8711Keele</v>
          </cell>
          <cell r="D2326" t="str">
            <v>Community Solar Assets 2 Limited</v>
          </cell>
          <cell r="E2326" t="str">
            <v>CO</v>
          </cell>
          <cell r="F2326">
            <v>42061</v>
          </cell>
          <cell r="G2326">
            <v>42146</v>
          </cell>
          <cell r="H2326">
            <v>49365</v>
          </cell>
          <cell r="I2326" t="str">
            <v>19 years, 9 months, 3 days</v>
          </cell>
          <cell r="J2326" t="str">
            <v>Renewables</v>
          </cell>
          <cell r="K2326" t="str">
            <v>Solar (Rooftop)</v>
          </cell>
          <cell r="L2326" t="str">
            <v>Solar</v>
          </cell>
          <cell r="M2326" t="str">
            <v>Dx</v>
          </cell>
          <cell r="N2326" t="str">
            <v>Concord</v>
          </cell>
          <cell r="O2326" t="str">
            <v>York</v>
          </cell>
          <cell r="P2326" t="str">
            <v>Toronto</v>
          </cell>
        </row>
        <row r="2327">
          <cell r="C2327" t="str">
            <v>Endura Energy - 2 Airpark</v>
          </cell>
          <cell r="D2327" t="str">
            <v>Guelph Solar and Solera LP</v>
          </cell>
          <cell r="E2327" t="str">
            <v>CO</v>
          </cell>
          <cell r="F2327">
            <v>42056</v>
          </cell>
          <cell r="G2327">
            <v>42236</v>
          </cell>
          <cell r="H2327">
            <v>49360</v>
          </cell>
          <cell r="I2327" t="str">
            <v>19 years, 6 months, 0 days</v>
          </cell>
          <cell r="J2327" t="str">
            <v>Renewables</v>
          </cell>
          <cell r="K2327" t="str">
            <v>Solar (Rooftop)</v>
          </cell>
          <cell r="L2327" t="str">
            <v>Solar</v>
          </cell>
          <cell r="M2327" t="str">
            <v>Dx</v>
          </cell>
          <cell r="N2327" t="str">
            <v>Guelph</v>
          </cell>
          <cell r="O2327" t="str">
            <v>Wellington</v>
          </cell>
          <cell r="P2327" t="str">
            <v>Southwest</v>
          </cell>
        </row>
        <row r="2328">
          <cell r="C2328" t="str">
            <v>4350 Harvester / Waxman</v>
          </cell>
          <cell r="D2328" t="str">
            <v>WC Enerco Inc.</v>
          </cell>
          <cell r="E2328" t="str">
            <v>CO</v>
          </cell>
          <cell r="F2328">
            <v>42117</v>
          </cell>
          <cell r="G2328">
            <v>42221</v>
          </cell>
          <cell r="H2328">
            <v>49421</v>
          </cell>
          <cell r="I2328" t="str">
            <v>19 years, 8 months, 17 days</v>
          </cell>
          <cell r="J2328" t="str">
            <v>Renewables</v>
          </cell>
          <cell r="K2328" t="str">
            <v>Solar (Rooftop)</v>
          </cell>
          <cell r="L2328" t="str">
            <v>Solar</v>
          </cell>
          <cell r="M2328" t="str">
            <v>Dx</v>
          </cell>
          <cell r="N2328" t="str">
            <v>Burlington</v>
          </cell>
          <cell r="O2328" t="str">
            <v>Halton</v>
          </cell>
          <cell r="P2328" t="str">
            <v>Southwest</v>
          </cell>
        </row>
        <row r="2329">
          <cell r="C2329" t="str">
            <v>Zion Heights JHS</v>
          </cell>
          <cell r="D2329" t="str">
            <v>TSPS (Portfolio 2) Limited Partnership</v>
          </cell>
          <cell r="E2329" t="str">
            <v>CO</v>
          </cell>
          <cell r="F2329">
            <v>42616</v>
          </cell>
          <cell r="G2329">
            <v>42584</v>
          </cell>
          <cell r="H2329">
            <v>49888</v>
          </cell>
          <cell r="I2329" t="str">
            <v>19 years, 11 months, 30 days</v>
          </cell>
          <cell r="J2329" t="str">
            <v>Renewables</v>
          </cell>
          <cell r="K2329" t="str">
            <v>Solar (Rooftop)</v>
          </cell>
          <cell r="L2329" t="str">
            <v>Solar</v>
          </cell>
          <cell r="M2329" t="str">
            <v>Dx</v>
          </cell>
          <cell r="N2329" t="str">
            <v>Toronto</v>
          </cell>
          <cell r="O2329" t="str">
            <v>Toronto</v>
          </cell>
          <cell r="P2329" t="str">
            <v>Toronto</v>
          </cell>
        </row>
        <row r="2330">
          <cell r="C2330" t="str">
            <v>Wasaga Paintball Adventure</v>
          </cell>
          <cell r="D2330" t="str">
            <v>SCCEC LP</v>
          </cell>
          <cell r="E2330" t="str">
            <v>CO</v>
          </cell>
          <cell r="F2330">
            <v>42104</v>
          </cell>
          <cell r="G2330">
            <v>42259</v>
          </cell>
          <cell r="H2330">
            <v>49408</v>
          </cell>
          <cell r="I2330" t="str">
            <v>19 years, 6 months, 28 days</v>
          </cell>
          <cell r="J2330" t="str">
            <v>Renewables</v>
          </cell>
          <cell r="K2330" t="str">
            <v>Solar (Rooftop)</v>
          </cell>
          <cell r="L2330" t="str">
            <v>Solar</v>
          </cell>
          <cell r="M2330" t="str">
            <v>Dx</v>
          </cell>
          <cell r="N2330" t="str">
            <v>Elmvale</v>
          </cell>
          <cell r="O2330" t="str">
            <v>Simcoe</v>
          </cell>
          <cell r="P2330" t="str">
            <v>Southwest</v>
          </cell>
        </row>
        <row r="2331">
          <cell r="C2331" t="str">
            <v>S01-271 Yorktech</v>
          </cell>
          <cell r="D2331" t="str">
            <v>8180792 Canada Inc.</v>
          </cell>
          <cell r="E2331" t="str">
            <v>CO</v>
          </cell>
          <cell r="F2331">
            <v>42089</v>
          </cell>
          <cell r="G2331">
            <v>42255</v>
          </cell>
          <cell r="H2331">
            <v>49393</v>
          </cell>
          <cell r="I2331" t="str">
            <v>19 years, 6 months, 17 days</v>
          </cell>
          <cell r="J2331" t="str">
            <v>Renewables</v>
          </cell>
          <cell r="K2331" t="str">
            <v>Solar (Rooftop)</v>
          </cell>
          <cell r="L2331" t="str">
            <v>Solar</v>
          </cell>
          <cell r="M2331" t="str">
            <v>Dx</v>
          </cell>
          <cell r="N2331" t="str">
            <v>Markham</v>
          </cell>
          <cell r="O2331" t="str">
            <v>York</v>
          </cell>
          <cell r="P2331" t="str">
            <v>Toronto</v>
          </cell>
        </row>
        <row r="2332">
          <cell r="C2332" t="str">
            <v>Abernant Vet Clinic</v>
          </cell>
          <cell r="D2332" t="str">
            <v>SCCEC LP</v>
          </cell>
          <cell r="E2332" t="str">
            <v>CO</v>
          </cell>
          <cell r="F2332">
            <v>42104</v>
          </cell>
          <cell r="G2332">
            <v>41988</v>
          </cell>
          <cell r="H2332">
            <v>49292</v>
          </cell>
          <cell r="I2332" t="str">
            <v>19 years, 11 months, 29 days</v>
          </cell>
          <cell r="J2332" t="str">
            <v>Renewables</v>
          </cell>
          <cell r="K2332" t="str">
            <v>Solar (Rooftop)</v>
          </cell>
          <cell r="L2332" t="str">
            <v>Solar</v>
          </cell>
          <cell r="M2332" t="str">
            <v>Dx</v>
          </cell>
          <cell r="N2332" t="str">
            <v>Stayner</v>
          </cell>
          <cell r="O2332" t="str">
            <v>Simcoe</v>
          </cell>
          <cell r="P2332" t="str">
            <v>Southwest</v>
          </cell>
        </row>
        <row r="2333">
          <cell r="C2333" t="str">
            <v>KER-28558 Kerwood</v>
          </cell>
          <cell r="D2333" t="str">
            <v>GSC RP5 LP</v>
          </cell>
          <cell r="E2333" t="str">
            <v>CO</v>
          </cell>
          <cell r="F2333">
            <v>42070</v>
          </cell>
          <cell r="G2333">
            <v>41982</v>
          </cell>
          <cell r="H2333">
            <v>49286</v>
          </cell>
          <cell r="I2333" t="str">
            <v>19 years, 11 months, 29 days</v>
          </cell>
          <cell r="J2333" t="str">
            <v>Renewables</v>
          </cell>
          <cell r="K2333" t="str">
            <v>Solar (Rooftop)</v>
          </cell>
          <cell r="L2333" t="str">
            <v>Solar</v>
          </cell>
          <cell r="M2333" t="str">
            <v>Dx</v>
          </cell>
          <cell r="N2333" t="str">
            <v>Kerwood</v>
          </cell>
          <cell r="O2333" t="str">
            <v>Middlesex</v>
          </cell>
          <cell r="P2333" t="str">
            <v>West</v>
          </cell>
        </row>
        <row r="2334">
          <cell r="C2334" t="str">
            <v>YCDSB - Notre Dame</v>
          </cell>
          <cell r="D2334" t="str">
            <v>Potentia Solar 7 Limited Partnership</v>
          </cell>
          <cell r="E2334" t="str">
            <v>CO</v>
          </cell>
          <cell r="F2334">
            <v>42075</v>
          </cell>
          <cell r="G2334">
            <v>42080</v>
          </cell>
          <cell r="H2334">
            <v>49379</v>
          </cell>
          <cell r="I2334" t="str">
            <v>19 years, 11 months, 22 days</v>
          </cell>
          <cell r="J2334" t="str">
            <v>Renewables</v>
          </cell>
          <cell r="K2334" t="str">
            <v>Solar (Rooftop)</v>
          </cell>
          <cell r="L2334" t="str">
            <v>Solar</v>
          </cell>
          <cell r="M2334" t="str">
            <v>Dx</v>
          </cell>
          <cell r="N2334" t="str">
            <v>Newmarket</v>
          </cell>
          <cell r="O2334" t="str">
            <v>York</v>
          </cell>
          <cell r="P2334" t="str">
            <v>Essa</v>
          </cell>
        </row>
        <row r="2335">
          <cell r="C2335" t="str">
            <v>Pelmo Park PS</v>
          </cell>
          <cell r="D2335" t="str">
            <v>TSPS (Portfolio 2) Limited Partnership</v>
          </cell>
          <cell r="E2335" t="str">
            <v>CO</v>
          </cell>
          <cell r="F2335">
            <v>42604</v>
          </cell>
          <cell r="G2335">
            <v>42613</v>
          </cell>
          <cell r="H2335">
            <v>49908</v>
          </cell>
          <cell r="I2335" t="str">
            <v>19 years, 11 months, 21 days</v>
          </cell>
          <cell r="J2335" t="str">
            <v>Renewables</v>
          </cell>
          <cell r="K2335" t="str">
            <v>Solar (Rooftop)</v>
          </cell>
          <cell r="L2335" t="str">
            <v>Solar</v>
          </cell>
          <cell r="M2335" t="str">
            <v>Dx</v>
          </cell>
          <cell r="N2335" t="str">
            <v>Toronto</v>
          </cell>
          <cell r="O2335" t="str">
            <v>Toronto</v>
          </cell>
          <cell r="P2335" t="str">
            <v>Toronto</v>
          </cell>
        </row>
        <row r="2336">
          <cell r="C2336" t="str">
            <v>Ernest Cumberland ES</v>
          </cell>
          <cell r="D2336" t="str">
            <v>Potentia Solar 5 Limited Partnership</v>
          </cell>
          <cell r="E2336" t="str">
            <v>CO</v>
          </cell>
          <cell r="F2336">
            <v>42063</v>
          </cell>
          <cell r="G2336">
            <v>42230</v>
          </cell>
          <cell r="H2336">
            <v>49367</v>
          </cell>
          <cell r="I2336" t="str">
            <v>19 years, 6 months, 13 days</v>
          </cell>
          <cell r="J2336" t="str">
            <v>Renewables</v>
          </cell>
          <cell r="K2336" t="str">
            <v>Solar (Rooftop)</v>
          </cell>
          <cell r="L2336" t="str">
            <v>Solar</v>
          </cell>
          <cell r="M2336" t="str">
            <v>Dx</v>
          </cell>
          <cell r="N2336" t="str">
            <v>Alliston</v>
          </cell>
          <cell r="O2336" t="str">
            <v>Simcoe</v>
          </cell>
          <cell r="P2336" t="str">
            <v>Southwest</v>
          </cell>
        </row>
        <row r="2337">
          <cell r="C2337" t="str">
            <v>St. Clements Catholic Elementary School</v>
          </cell>
          <cell r="D2337" t="str">
            <v>Potentia Solar 6 Limited Partnership</v>
          </cell>
          <cell r="E2337" t="str">
            <v>CO</v>
          </cell>
          <cell r="F2337">
            <v>42097</v>
          </cell>
          <cell r="G2337">
            <v>42180</v>
          </cell>
          <cell r="H2337">
            <v>49401</v>
          </cell>
          <cell r="I2337" t="str">
            <v>19 years, 9 months, 8 days</v>
          </cell>
          <cell r="J2337" t="str">
            <v>Renewables</v>
          </cell>
          <cell r="K2337" t="str">
            <v>Solar (Rooftop)</v>
          </cell>
          <cell r="L2337" t="str">
            <v>Solar</v>
          </cell>
          <cell r="M2337" t="str">
            <v>Dx</v>
          </cell>
          <cell r="N2337" t="str">
            <v>St. Clements</v>
          </cell>
          <cell r="O2337" t="str">
            <v>Waterloo</v>
          </cell>
          <cell r="P2337" t="str">
            <v>Southwest</v>
          </cell>
        </row>
        <row r="2338">
          <cell r="C2338" t="str">
            <v>Solar@169RamForestRd</v>
          </cell>
          <cell r="D2338" t="str">
            <v>345388 Ontario Limited and 1632770 Ontario Inc., as Joint Venturers c.o.b. Ram Forest Storage</v>
          </cell>
          <cell r="E2338" t="str">
            <v>CO</v>
          </cell>
          <cell r="F2338">
            <v>42095</v>
          </cell>
          <cell r="G2338">
            <v>42233</v>
          </cell>
          <cell r="H2338">
            <v>49399</v>
          </cell>
          <cell r="I2338" t="str">
            <v>19 years, 7 months, 14 days</v>
          </cell>
          <cell r="J2338" t="str">
            <v>Renewables</v>
          </cell>
          <cell r="K2338" t="str">
            <v>Solar (Rooftop)</v>
          </cell>
          <cell r="L2338" t="str">
            <v>Solar</v>
          </cell>
          <cell r="M2338" t="str">
            <v>Dx</v>
          </cell>
          <cell r="N2338" t="str">
            <v>Gormley</v>
          </cell>
          <cell r="O2338" t="str">
            <v>York</v>
          </cell>
          <cell r="P2338" t="str">
            <v>Essa</v>
          </cell>
        </row>
        <row r="2339">
          <cell r="C2339" t="str">
            <v>Tollendale290</v>
          </cell>
          <cell r="D2339" t="str">
            <v>Simcoe County Christian Senior Home Inc.</v>
          </cell>
          <cell r="E2339" t="str">
            <v>CO</v>
          </cell>
          <cell r="F2339">
            <v>42095</v>
          </cell>
          <cell r="G2339">
            <v>42079</v>
          </cell>
          <cell r="H2339">
            <v>49383</v>
          </cell>
          <cell r="I2339" t="str">
            <v>19 years, 11 months, 27 days</v>
          </cell>
          <cell r="J2339" t="str">
            <v>Renewables</v>
          </cell>
          <cell r="K2339" t="str">
            <v>Solar (Rooftop)</v>
          </cell>
          <cell r="L2339" t="str">
            <v>Solar</v>
          </cell>
          <cell r="M2339" t="str">
            <v>Dx</v>
          </cell>
          <cell r="N2339" t="str">
            <v>Barrie</v>
          </cell>
          <cell r="O2339" t="str">
            <v>Simcoe</v>
          </cell>
          <cell r="P2339" t="str">
            <v>Essa</v>
          </cell>
        </row>
        <row r="2340">
          <cell r="C2340" t="str">
            <v>Jobo Farms Barn 1</v>
          </cell>
          <cell r="D2340" t="str">
            <v>Jobo Farms Inc.</v>
          </cell>
          <cell r="E2340" t="str">
            <v>CO</v>
          </cell>
          <cell r="F2340">
            <v>42061</v>
          </cell>
          <cell r="G2340">
            <v>41864</v>
          </cell>
          <cell r="H2340">
            <v>49168</v>
          </cell>
          <cell r="I2340" t="str">
            <v>19 years, 11 months, 30 days</v>
          </cell>
          <cell r="J2340" t="str">
            <v>Renewables</v>
          </cell>
          <cell r="K2340" t="str">
            <v>Solar (Rooftop)</v>
          </cell>
          <cell r="L2340" t="str">
            <v>Solar</v>
          </cell>
          <cell r="M2340" t="str">
            <v>Dx</v>
          </cell>
          <cell r="N2340" t="str">
            <v>North Augusta</v>
          </cell>
          <cell r="O2340" t="str">
            <v>Leeds and Grenville</v>
          </cell>
          <cell r="P2340" t="str">
            <v>East</v>
          </cell>
        </row>
        <row r="2341">
          <cell r="C2341" t="str">
            <v>Nelson Mandela Park P.S</v>
          </cell>
          <cell r="D2341" t="str">
            <v>TSPS (Portfolio 2) Limited Partnership</v>
          </cell>
          <cell r="E2341" t="str">
            <v>CO</v>
          </cell>
          <cell r="F2341">
            <v>42604</v>
          </cell>
          <cell r="G2341">
            <v>42471</v>
          </cell>
          <cell r="H2341">
            <v>49775</v>
          </cell>
          <cell r="I2341" t="str">
            <v>19 years, 11 months, 30 days</v>
          </cell>
          <cell r="J2341" t="str">
            <v>Renewables</v>
          </cell>
          <cell r="K2341" t="str">
            <v>Solar (Rooftop)</v>
          </cell>
          <cell r="L2341" t="str">
            <v>Solar</v>
          </cell>
          <cell r="M2341" t="str">
            <v>Dx</v>
          </cell>
          <cell r="N2341" t="str">
            <v>Toronto</v>
          </cell>
          <cell r="O2341" t="str">
            <v>Toronto</v>
          </cell>
          <cell r="P2341" t="str">
            <v>Toronto</v>
          </cell>
        </row>
        <row r="2342">
          <cell r="C2342" t="str">
            <v>Grasshopper 120 McLevin</v>
          </cell>
          <cell r="D2342" t="str">
            <v>ICM Realty Group Solar 2013 Inc.</v>
          </cell>
          <cell r="E2342" t="str">
            <v>CO</v>
          </cell>
          <cell r="F2342">
            <v>42117</v>
          </cell>
          <cell r="G2342">
            <v>42202</v>
          </cell>
          <cell r="H2342">
            <v>49421</v>
          </cell>
          <cell r="I2342" t="str">
            <v>19 years, 9 months, 5 days</v>
          </cell>
          <cell r="J2342" t="str">
            <v>Renewables</v>
          </cell>
          <cell r="K2342" t="str">
            <v>Solar (Rooftop)</v>
          </cell>
          <cell r="L2342" t="str">
            <v>Solar</v>
          </cell>
          <cell r="M2342" t="str">
            <v>Dx</v>
          </cell>
          <cell r="N2342" t="str">
            <v>Toronto</v>
          </cell>
          <cell r="O2342" t="str">
            <v>Toronto</v>
          </cell>
          <cell r="P2342" t="str">
            <v>Toronto</v>
          </cell>
        </row>
        <row r="2343">
          <cell r="C2343" t="str">
            <v>Westway JS</v>
          </cell>
          <cell r="D2343" t="str">
            <v>TSPS (Portfolio 2) Limited Partnership</v>
          </cell>
          <cell r="E2343" t="str">
            <v>CO</v>
          </cell>
          <cell r="F2343">
            <v>42611</v>
          </cell>
          <cell r="G2343">
            <v>42674</v>
          </cell>
          <cell r="H2343">
            <v>49915</v>
          </cell>
          <cell r="I2343" t="str">
            <v>19 years, 9 months, 28 days</v>
          </cell>
          <cell r="J2343" t="str">
            <v>Renewables</v>
          </cell>
          <cell r="K2343" t="str">
            <v>Solar (Rooftop)</v>
          </cell>
          <cell r="L2343" t="str">
            <v>Solar</v>
          </cell>
          <cell r="M2343" t="str">
            <v>Dx</v>
          </cell>
          <cell r="N2343" t="str">
            <v>Toronto</v>
          </cell>
          <cell r="O2343" t="str">
            <v>Toronto</v>
          </cell>
          <cell r="P2343" t="str">
            <v>Toronto</v>
          </cell>
        </row>
        <row r="2344">
          <cell r="C2344" t="str">
            <v>GROUP 6</v>
          </cell>
          <cell r="D2344" t="str">
            <v>DENNIS PAUL RIVEST</v>
          </cell>
          <cell r="E2344" t="str">
            <v>CO</v>
          </cell>
          <cell r="F2344">
            <v>42209</v>
          </cell>
          <cell r="G2344">
            <v>42044</v>
          </cell>
          <cell r="H2344">
            <v>49348</v>
          </cell>
          <cell r="I2344" t="str">
            <v>19 years, 11 months, 30 days</v>
          </cell>
          <cell r="J2344" t="str">
            <v>Renewables</v>
          </cell>
          <cell r="K2344" t="str">
            <v>Solar (Rooftop)</v>
          </cell>
          <cell r="L2344" t="str">
            <v>Solar</v>
          </cell>
          <cell r="M2344" t="str">
            <v>Dx</v>
          </cell>
          <cell r="N2344" t="str">
            <v>Windsor</v>
          </cell>
          <cell r="O2344" t="str">
            <v>Essex</v>
          </cell>
          <cell r="P2344" t="str">
            <v>West</v>
          </cell>
        </row>
        <row r="2345">
          <cell r="C2345" t="str">
            <v>Bonnechere Manor</v>
          </cell>
          <cell r="D2345" t="str">
            <v>Corporation of the County of Renfrew, Bonnechere Manor - Home For The Aged</v>
          </cell>
          <cell r="E2345" t="str">
            <v>CO</v>
          </cell>
          <cell r="F2345">
            <v>42070</v>
          </cell>
          <cell r="G2345">
            <v>41884</v>
          </cell>
          <cell r="H2345">
            <v>49188</v>
          </cell>
          <cell r="I2345" t="str">
            <v>19 years, 11 months, 30 days</v>
          </cell>
          <cell r="J2345" t="str">
            <v>Renewables</v>
          </cell>
          <cell r="K2345" t="str">
            <v>Solar (Rooftop)</v>
          </cell>
          <cell r="L2345" t="str">
            <v>Solar</v>
          </cell>
          <cell r="M2345" t="str">
            <v>Dx</v>
          </cell>
          <cell r="N2345" t="str">
            <v>Renfrew</v>
          </cell>
          <cell r="O2345" t="str">
            <v>Renfrew</v>
          </cell>
          <cell r="P2345" t="str">
            <v>East</v>
          </cell>
        </row>
        <row r="2346">
          <cell r="C2346" t="str">
            <v>SMART-M 002PV</v>
          </cell>
          <cell r="D2346" t="str">
            <v>SSTI Mavis Mississauga, LLC</v>
          </cell>
          <cell r="E2346" t="str">
            <v>CO</v>
          </cell>
          <cell r="F2346">
            <v>42102</v>
          </cell>
          <cell r="G2346">
            <v>41904</v>
          </cell>
          <cell r="H2346">
            <v>49208</v>
          </cell>
          <cell r="I2346" t="str">
            <v>19 years, 11 months, 30 days</v>
          </cell>
          <cell r="J2346" t="str">
            <v>Renewables</v>
          </cell>
          <cell r="K2346" t="str">
            <v>Solar (Rooftop)</v>
          </cell>
          <cell r="L2346" t="str">
            <v>Solar</v>
          </cell>
          <cell r="M2346" t="str">
            <v>Dx</v>
          </cell>
          <cell r="N2346" t="str">
            <v>Mississauga</v>
          </cell>
          <cell r="O2346" t="str">
            <v>Peel</v>
          </cell>
          <cell r="P2346" t="str">
            <v>Toronto</v>
          </cell>
        </row>
        <row r="2347">
          <cell r="C2347" t="str">
            <v>STR-456 Albert</v>
          </cell>
          <cell r="D2347" t="str">
            <v>Métis Nation of Ontario - BrightRoof Solar LP</v>
          </cell>
          <cell r="E2347" t="str">
            <v>CO</v>
          </cell>
          <cell r="F2347">
            <v>42075</v>
          </cell>
          <cell r="G2347">
            <v>41970</v>
          </cell>
          <cell r="H2347">
            <v>49274</v>
          </cell>
          <cell r="I2347" t="str">
            <v>19 years, 11 months, 30 days</v>
          </cell>
          <cell r="J2347" t="str">
            <v>Renewables</v>
          </cell>
          <cell r="K2347" t="str">
            <v>Solar (Rooftop)</v>
          </cell>
          <cell r="L2347" t="str">
            <v>Solar</v>
          </cell>
          <cell r="M2347" t="str">
            <v>Dx</v>
          </cell>
          <cell r="N2347" t="str">
            <v>Strathroy</v>
          </cell>
          <cell r="O2347" t="str">
            <v>Middlesex</v>
          </cell>
          <cell r="P2347" t="str">
            <v>West</v>
          </cell>
        </row>
        <row r="2348">
          <cell r="C2348" t="str">
            <v>YCDSB - St. Theresa of Lisieux</v>
          </cell>
          <cell r="D2348" t="str">
            <v>Potentia Solar 7 Limited Partnership</v>
          </cell>
          <cell r="E2348" t="str">
            <v>CO</v>
          </cell>
          <cell r="F2348">
            <v>42075</v>
          </cell>
          <cell r="G2348">
            <v>42177</v>
          </cell>
          <cell r="H2348">
            <v>49379</v>
          </cell>
          <cell r="I2348" t="str">
            <v>19 years, 8 months, 17 days</v>
          </cell>
          <cell r="J2348" t="str">
            <v>Renewables</v>
          </cell>
          <cell r="K2348" t="str">
            <v>Solar (Rooftop)</v>
          </cell>
          <cell r="L2348" t="str">
            <v>Solar</v>
          </cell>
          <cell r="M2348" t="str">
            <v>Dx</v>
          </cell>
          <cell r="N2348" t="str">
            <v>Richmond Hill</v>
          </cell>
          <cell r="O2348" t="str">
            <v>York</v>
          </cell>
          <cell r="P2348" t="str">
            <v>Toronto</v>
          </cell>
        </row>
        <row r="2349">
          <cell r="C2349" t="str">
            <v>Etobicoke CI</v>
          </cell>
          <cell r="D2349" t="str">
            <v>TSPS (Portfolio 1) Limited Partnership</v>
          </cell>
          <cell r="E2349" t="str">
            <v>CO</v>
          </cell>
          <cell r="F2349">
            <v>42590</v>
          </cell>
          <cell r="G2349">
            <v>42298</v>
          </cell>
          <cell r="H2349">
            <v>49602</v>
          </cell>
          <cell r="I2349" t="str">
            <v>19 years, 11 months, 29 days</v>
          </cell>
          <cell r="J2349" t="str">
            <v>Renewables</v>
          </cell>
          <cell r="K2349" t="str">
            <v>Solar (Rooftop)</v>
          </cell>
          <cell r="L2349" t="str">
            <v>Solar</v>
          </cell>
          <cell r="M2349" t="str">
            <v>Dx</v>
          </cell>
          <cell r="N2349" t="str">
            <v>Toronto</v>
          </cell>
          <cell r="O2349" t="str">
            <v>Toronto</v>
          </cell>
          <cell r="P2349" t="str">
            <v>Toronto</v>
          </cell>
        </row>
        <row r="2350">
          <cell r="C2350" t="str">
            <v>LON-2391 Huron</v>
          </cell>
          <cell r="D2350" t="str">
            <v>Métis Nation of Ontario - BrightRoof Solar LP</v>
          </cell>
          <cell r="E2350" t="str">
            <v>CO</v>
          </cell>
          <cell r="F2350">
            <v>42112</v>
          </cell>
          <cell r="G2350">
            <v>42165</v>
          </cell>
          <cell r="H2350">
            <v>49416</v>
          </cell>
          <cell r="I2350" t="str">
            <v>19 years, 10 months, 7 days</v>
          </cell>
          <cell r="J2350" t="str">
            <v>Renewables</v>
          </cell>
          <cell r="K2350" t="str">
            <v>Solar (Rooftop)</v>
          </cell>
          <cell r="L2350" t="str">
            <v>Solar</v>
          </cell>
          <cell r="M2350" t="str">
            <v>Dx</v>
          </cell>
          <cell r="N2350" t="str">
            <v>London</v>
          </cell>
          <cell r="O2350" t="str">
            <v>Middlesex</v>
          </cell>
          <cell r="P2350" t="str">
            <v>West</v>
          </cell>
        </row>
        <row r="2351">
          <cell r="C2351" t="str">
            <v>Elliott Grain</v>
          </cell>
          <cell r="D2351" t="str">
            <v>SE 2012 LP</v>
          </cell>
          <cell r="E2351" t="str">
            <v>CO</v>
          </cell>
          <cell r="F2351">
            <v>42117</v>
          </cell>
          <cell r="G2351">
            <v>41976</v>
          </cell>
          <cell r="H2351">
            <v>49280</v>
          </cell>
          <cell r="I2351" t="str">
            <v>19 years, 11 months, 29 days</v>
          </cell>
          <cell r="J2351" t="str">
            <v>Renewables</v>
          </cell>
          <cell r="K2351" t="str">
            <v>Solar (Rooftop)</v>
          </cell>
          <cell r="L2351" t="str">
            <v>Solar</v>
          </cell>
          <cell r="M2351" t="str">
            <v>Dx</v>
          </cell>
          <cell r="N2351" t="str">
            <v>Thorndale</v>
          </cell>
          <cell r="O2351" t="str">
            <v>Middlesex</v>
          </cell>
          <cell r="P2351" t="str">
            <v>West</v>
          </cell>
        </row>
        <row r="2352">
          <cell r="C2352" t="str">
            <v>Jarvis CI</v>
          </cell>
          <cell r="D2352" t="str">
            <v>TSPS (Portfolio 1) Limited Partnership</v>
          </cell>
          <cell r="E2352" t="str">
            <v>CO</v>
          </cell>
          <cell r="F2352">
            <v>42597</v>
          </cell>
          <cell r="G2352">
            <v>42335</v>
          </cell>
          <cell r="H2352">
            <v>49639</v>
          </cell>
          <cell r="I2352" t="str">
            <v>19 years, 11 months, 30 days</v>
          </cell>
          <cell r="J2352" t="str">
            <v>Renewables</v>
          </cell>
          <cell r="K2352" t="str">
            <v>Solar (Rooftop)</v>
          </cell>
          <cell r="L2352" t="str">
            <v>Solar</v>
          </cell>
          <cell r="M2352" t="str">
            <v>Dx</v>
          </cell>
          <cell r="N2352" t="str">
            <v>Toronto</v>
          </cell>
          <cell r="O2352" t="str">
            <v>Toronto</v>
          </cell>
          <cell r="P2352" t="str">
            <v>Toronto</v>
          </cell>
        </row>
        <row r="2353">
          <cell r="C2353" t="str">
            <v>640 Rowntree Dairy Rd</v>
          </cell>
          <cell r="D2353" t="str">
            <v>1465236 Ontario Inc</v>
          </cell>
          <cell r="E2353" t="str">
            <v>CO</v>
          </cell>
          <cell r="F2353">
            <v>42112</v>
          </cell>
          <cell r="G2353">
            <v>42145</v>
          </cell>
          <cell r="H2353">
            <v>49416</v>
          </cell>
          <cell r="I2353" t="str">
            <v>19 years, 10 months, 27 days</v>
          </cell>
          <cell r="J2353" t="str">
            <v>Renewables</v>
          </cell>
          <cell r="K2353" t="str">
            <v>Solar (Rooftop)</v>
          </cell>
          <cell r="L2353" t="str">
            <v>Solar</v>
          </cell>
          <cell r="M2353" t="str">
            <v>Dx</v>
          </cell>
          <cell r="N2353" t="str">
            <v>Woodbridge</v>
          </cell>
          <cell r="O2353" t="str">
            <v>York</v>
          </cell>
          <cell r="P2353" t="str">
            <v>Toronto</v>
          </cell>
        </row>
        <row r="2354">
          <cell r="C2354" t="str">
            <v>Wedgewood JS</v>
          </cell>
          <cell r="D2354" t="str">
            <v>TSPS (Portfolio 2) Limited Partnership</v>
          </cell>
          <cell r="E2354" t="str">
            <v>CO</v>
          </cell>
          <cell r="F2354">
            <v>42611</v>
          </cell>
          <cell r="G2354">
            <v>42685</v>
          </cell>
          <cell r="H2354">
            <v>49915</v>
          </cell>
          <cell r="I2354" t="str">
            <v>19 years, 9 months, 17 days</v>
          </cell>
          <cell r="J2354" t="str">
            <v>Renewables</v>
          </cell>
          <cell r="K2354" t="str">
            <v>Solar (Rooftop)</v>
          </cell>
          <cell r="L2354" t="str">
            <v>Solar</v>
          </cell>
          <cell r="M2354" t="str">
            <v>Dx</v>
          </cell>
          <cell r="N2354" t="str">
            <v>Toronto</v>
          </cell>
          <cell r="O2354" t="str">
            <v>Toronto</v>
          </cell>
          <cell r="P2354" t="str">
            <v>Toronto</v>
          </cell>
        </row>
        <row r="2355">
          <cell r="C2355" t="str">
            <v>Solexica - 462 Kingston</v>
          </cell>
          <cell r="D2355" t="str">
            <v>Solexica Solar Ajax GP</v>
          </cell>
          <cell r="E2355" t="str">
            <v>CO</v>
          </cell>
          <cell r="F2355">
            <v>42112</v>
          </cell>
          <cell r="G2355">
            <v>42121</v>
          </cell>
          <cell r="H2355">
            <v>49416</v>
          </cell>
          <cell r="I2355" t="str">
            <v>19 years, 11 months, 21 days</v>
          </cell>
          <cell r="J2355" t="str">
            <v>Renewables</v>
          </cell>
          <cell r="K2355" t="str">
            <v>Solar (Rooftop)</v>
          </cell>
          <cell r="L2355" t="str">
            <v>Solar</v>
          </cell>
          <cell r="M2355" t="str">
            <v>Dx</v>
          </cell>
          <cell r="N2355" t="str">
            <v>Ajax</v>
          </cell>
          <cell r="O2355" t="str">
            <v>Durham</v>
          </cell>
          <cell r="P2355" t="str">
            <v>Toronto</v>
          </cell>
        </row>
        <row r="2356">
          <cell r="C2356" t="str">
            <v>Crestline Solar Project</v>
          </cell>
          <cell r="D2356" t="str">
            <v>CRESTLINE INVESTMENTS LIMITED</v>
          </cell>
          <cell r="E2356" t="str">
            <v>CO</v>
          </cell>
          <cell r="F2356">
            <v>42054</v>
          </cell>
          <cell r="G2356">
            <v>41944</v>
          </cell>
          <cell r="H2356">
            <v>49248</v>
          </cell>
          <cell r="I2356" t="str">
            <v>19 years, 11 months, 30 days</v>
          </cell>
          <cell r="J2356" t="str">
            <v>Renewables</v>
          </cell>
          <cell r="K2356" t="str">
            <v>Solar (Rooftop)</v>
          </cell>
          <cell r="L2356" t="str">
            <v>Solar</v>
          </cell>
          <cell r="M2356" t="str">
            <v>Dx</v>
          </cell>
          <cell r="N2356" t="str">
            <v>Aurora</v>
          </cell>
          <cell r="O2356" t="str">
            <v>York</v>
          </cell>
          <cell r="P2356" t="str">
            <v>Essa</v>
          </cell>
        </row>
        <row r="2357">
          <cell r="C2357" t="str">
            <v>M03-328 Passmore</v>
          </cell>
          <cell r="D2357" t="str">
            <v>SHY1 2012 FIT2 LTD.</v>
          </cell>
          <cell r="E2357" t="str">
            <v>CO</v>
          </cell>
          <cell r="F2357">
            <v>42095</v>
          </cell>
          <cell r="G2357">
            <v>42247</v>
          </cell>
          <cell r="H2357">
            <v>49399</v>
          </cell>
          <cell r="I2357" t="str">
            <v>19 years, 7 months, 0 days</v>
          </cell>
          <cell r="J2357" t="str">
            <v>Renewables</v>
          </cell>
          <cell r="K2357" t="str">
            <v>Solar (Rooftop)</v>
          </cell>
          <cell r="L2357" t="str">
            <v>Solar</v>
          </cell>
          <cell r="M2357" t="str">
            <v>Dx</v>
          </cell>
          <cell r="N2357" t="str">
            <v>Toronto</v>
          </cell>
          <cell r="O2357" t="str">
            <v>Toronto</v>
          </cell>
          <cell r="P2357" t="str">
            <v>Toronto</v>
          </cell>
        </row>
        <row r="2358">
          <cell r="C2358" t="str">
            <v>St Andrew's JHS</v>
          </cell>
          <cell r="D2358" t="str">
            <v>TSPS (Portfolio 2) Limited Partnership</v>
          </cell>
          <cell r="E2358" t="str">
            <v>CO</v>
          </cell>
          <cell r="F2358">
            <v>42611</v>
          </cell>
          <cell r="G2358">
            <v>42489</v>
          </cell>
          <cell r="H2358">
            <v>49793</v>
          </cell>
          <cell r="I2358" t="str">
            <v>19 years, 11 months, 30 days</v>
          </cell>
          <cell r="J2358" t="str">
            <v>Renewables</v>
          </cell>
          <cell r="K2358" t="str">
            <v>Solar (Rooftop)</v>
          </cell>
          <cell r="L2358" t="str">
            <v>Solar</v>
          </cell>
          <cell r="M2358" t="str">
            <v>Dx</v>
          </cell>
          <cell r="N2358" t="str">
            <v>Toronto</v>
          </cell>
          <cell r="O2358" t="str">
            <v>Toronto</v>
          </cell>
          <cell r="P2358" t="str">
            <v>Toronto</v>
          </cell>
        </row>
        <row r="2359">
          <cell r="C2359" t="str">
            <v>Guildwood Jr PS</v>
          </cell>
          <cell r="D2359" t="str">
            <v>TSPS (Portfolio 2) Limited Partnership</v>
          </cell>
          <cell r="E2359" t="str">
            <v>CO</v>
          </cell>
          <cell r="F2359">
            <v>42597</v>
          </cell>
          <cell r="G2359">
            <v>42368</v>
          </cell>
          <cell r="H2359">
            <v>49672</v>
          </cell>
          <cell r="I2359" t="str">
            <v>19 years, 11 months, 29 days</v>
          </cell>
          <cell r="J2359" t="str">
            <v>Renewables</v>
          </cell>
          <cell r="K2359" t="str">
            <v>Solar (Rooftop)</v>
          </cell>
          <cell r="L2359" t="str">
            <v>Solar</v>
          </cell>
          <cell r="M2359" t="str">
            <v>Dx</v>
          </cell>
          <cell r="N2359" t="str">
            <v>Toronto</v>
          </cell>
          <cell r="O2359" t="str">
            <v>Toronto</v>
          </cell>
          <cell r="P2359" t="str">
            <v>Toronto</v>
          </cell>
        </row>
        <row r="2360">
          <cell r="C2360" t="str">
            <v>Sloane PS</v>
          </cell>
          <cell r="D2360" t="str">
            <v>TSPS (Portfolio 2) Limited Partnership</v>
          </cell>
          <cell r="E2360" t="str">
            <v>CO</v>
          </cell>
          <cell r="F2360">
            <v>42611</v>
          </cell>
          <cell r="G2360">
            <v>42495</v>
          </cell>
          <cell r="H2360">
            <v>49799</v>
          </cell>
          <cell r="I2360" t="str">
            <v>19 years, 11 months, 29 days</v>
          </cell>
          <cell r="J2360" t="str">
            <v>Renewables</v>
          </cell>
          <cell r="K2360" t="str">
            <v>Solar (Rooftop)</v>
          </cell>
          <cell r="L2360" t="str">
            <v>Solar</v>
          </cell>
          <cell r="M2360" t="str">
            <v>Dx</v>
          </cell>
          <cell r="N2360" t="str">
            <v>Toronto</v>
          </cell>
          <cell r="O2360" t="str">
            <v>Toronto</v>
          </cell>
          <cell r="P2360" t="str">
            <v>Toronto</v>
          </cell>
        </row>
        <row r="2361">
          <cell r="C2361" t="str">
            <v>YCDSB - St. Padre Pio</v>
          </cell>
          <cell r="D2361" t="str">
            <v>Potentia Solar 7 Limited Partnership</v>
          </cell>
          <cell r="E2361" t="str">
            <v>CO</v>
          </cell>
          <cell r="F2361">
            <v>42068</v>
          </cell>
          <cell r="G2361">
            <v>42080</v>
          </cell>
          <cell r="H2361">
            <v>49372</v>
          </cell>
          <cell r="I2361" t="str">
            <v>19 years, 11 months, 15 days</v>
          </cell>
          <cell r="J2361" t="str">
            <v>Renewables</v>
          </cell>
          <cell r="K2361" t="str">
            <v>Solar (Rooftop)</v>
          </cell>
          <cell r="L2361" t="str">
            <v>Solar</v>
          </cell>
          <cell r="M2361" t="str">
            <v>Dx</v>
          </cell>
          <cell r="N2361" t="str">
            <v>Woodbridge</v>
          </cell>
          <cell r="O2361" t="str">
            <v>York</v>
          </cell>
          <cell r="P2361" t="str">
            <v>Toronto</v>
          </cell>
        </row>
        <row r="2362">
          <cell r="C2362" t="str">
            <v>Scheurwater Project</v>
          </cell>
          <cell r="D2362" t="str">
            <v>SE 2012 LP</v>
          </cell>
          <cell r="E2362" t="str">
            <v>CO</v>
          </cell>
          <cell r="F2362">
            <v>42117</v>
          </cell>
          <cell r="G2362">
            <v>41914</v>
          </cell>
          <cell r="H2362">
            <v>49218</v>
          </cell>
          <cell r="I2362" t="str">
            <v>19 years, 11 months, 29 days</v>
          </cell>
          <cell r="J2362" t="str">
            <v>Renewables</v>
          </cell>
          <cell r="K2362" t="str">
            <v>Solar (Rooftop)</v>
          </cell>
          <cell r="L2362" t="str">
            <v>Solar</v>
          </cell>
          <cell r="M2362" t="str">
            <v>Dx</v>
          </cell>
          <cell r="N2362" t="str">
            <v>Teeswater</v>
          </cell>
          <cell r="O2362" t="str">
            <v>Bruce</v>
          </cell>
          <cell r="P2362" t="str">
            <v>Southwest</v>
          </cell>
        </row>
        <row r="2363">
          <cell r="C2363" t="str">
            <v>Midland CI</v>
          </cell>
          <cell r="D2363" t="str">
            <v>TSPS (Portfolio 1) Limited Partnership</v>
          </cell>
          <cell r="E2363" t="str">
            <v>CO</v>
          </cell>
          <cell r="F2363">
            <v>42604</v>
          </cell>
          <cell r="G2363">
            <v>42185</v>
          </cell>
          <cell r="H2363">
            <v>49489</v>
          </cell>
          <cell r="I2363" t="str">
            <v>19 years, 11 months, 30 days</v>
          </cell>
          <cell r="J2363" t="str">
            <v>Renewables</v>
          </cell>
          <cell r="K2363" t="str">
            <v>Solar (Rooftop)</v>
          </cell>
          <cell r="L2363" t="str">
            <v>Solar</v>
          </cell>
          <cell r="M2363" t="str">
            <v>Dx</v>
          </cell>
          <cell r="N2363" t="str">
            <v>Toronto</v>
          </cell>
          <cell r="O2363" t="str">
            <v>Toronto</v>
          </cell>
          <cell r="P2363" t="str">
            <v>Toronto</v>
          </cell>
        </row>
        <row r="2364">
          <cell r="C2364" t="str">
            <v>Birchview Dunes ES</v>
          </cell>
          <cell r="D2364" t="str">
            <v>Potentia Solar 5 Limited Partnership</v>
          </cell>
          <cell r="E2364" t="str">
            <v>CO</v>
          </cell>
          <cell r="F2364">
            <v>42097</v>
          </cell>
          <cell r="G2364">
            <v>42248</v>
          </cell>
          <cell r="H2364">
            <v>49401</v>
          </cell>
          <cell r="I2364" t="str">
            <v>19 years, 7 months, 1 days</v>
          </cell>
          <cell r="J2364" t="str">
            <v>Renewables</v>
          </cell>
          <cell r="K2364" t="str">
            <v>Solar (Rooftop)</v>
          </cell>
          <cell r="L2364" t="str">
            <v>Solar</v>
          </cell>
          <cell r="M2364" t="str">
            <v>Dx</v>
          </cell>
          <cell r="N2364" t="str">
            <v>Wasaga Beach</v>
          </cell>
          <cell r="O2364" t="str">
            <v>Simcoe</v>
          </cell>
          <cell r="P2364" t="str">
            <v>Southwest</v>
          </cell>
        </row>
        <row r="2365">
          <cell r="C2365" t="str">
            <v>187GeorgeCarter10</v>
          </cell>
          <cell r="D2365" t="str">
            <v>Carter Automotive</v>
          </cell>
          <cell r="E2365" t="str">
            <v>CO</v>
          </cell>
          <cell r="F2365">
            <v>42102</v>
          </cell>
          <cell r="G2365">
            <v>42173</v>
          </cell>
          <cell r="H2365">
            <v>49406</v>
          </cell>
          <cell r="I2365" t="str">
            <v>19 years, 9 months, 20 days</v>
          </cell>
          <cell r="J2365" t="str">
            <v>Renewables</v>
          </cell>
          <cell r="K2365" t="str">
            <v>Solar (Rooftop)</v>
          </cell>
          <cell r="L2365" t="str">
            <v>Solar</v>
          </cell>
          <cell r="M2365" t="str">
            <v>Dx</v>
          </cell>
          <cell r="N2365" t="str">
            <v>Omemee</v>
          </cell>
          <cell r="O2365" t="str">
            <v>Kawartha Lakes</v>
          </cell>
          <cell r="P2365" t="str">
            <v>East</v>
          </cell>
        </row>
        <row r="2366">
          <cell r="C2366" t="str">
            <v>Solexica - 130 Royal Crest</v>
          </cell>
          <cell r="D2366" t="str">
            <v>Solexica Solar Markham GP</v>
          </cell>
          <cell r="E2366" t="str">
            <v>CO</v>
          </cell>
          <cell r="F2366">
            <v>42110</v>
          </cell>
          <cell r="G2366">
            <v>42010</v>
          </cell>
          <cell r="H2366">
            <v>49314</v>
          </cell>
          <cell r="I2366" t="str">
            <v>19 years, 11 months, 30 days</v>
          </cell>
          <cell r="J2366" t="str">
            <v>Renewables</v>
          </cell>
          <cell r="K2366" t="str">
            <v>Solar (Rooftop)</v>
          </cell>
          <cell r="L2366" t="str">
            <v>Solar</v>
          </cell>
          <cell r="M2366" t="str">
            <v>Dx</v>
          </cell>
          <cell r="N2366" t="str">
            <v>Markham</v>
          </cell>
          <cell r="O2366" t="str">
            <v>York</v>
          </cell>
          <cell r="P2366" t="str">
            <v>Toronto</v>
          </cell>
        </row>
        <row r="2367">
          <cell r="C2367" t="str">
            <v>Greenlife Centre</v>
          </cell>
          <cell r="D2367" t="str">
            <v>Kennison Properties Inc.</v>
          </cell>
          <cell r="E2367" t="str">
            <v>CO</v>
          </cell>
          <cell r="F2367">
            <v>42117</v>
          </cell>
          <cell r="G2367">
            <v>42075</v>
          </cell>
          <cell r="H2367">
            <v>49379</v>
          </cell>
          <cell r="I2367" t="str">
            <v>19 years, 11 months, 27 days</v>
          </cell>
          <cell r="J2367" t="str">
            <v>Renewables</v>
          </cell>
          <cell r="K2367" t="str">
            <v>Solar (Rooftop)</v>
          </cell>
          <cell r="L2367" t="str">
            <v>Solar</v>
          </cell>
          <cell r="M2367" t="str">
            <v>Dx</v>
          </cell>
          <cell r="N2367" t="str">
            <v>Markham</v>
          </cell>
          <cell r="O2367" t="str">
            <v>York</v>
          </cell>
          <cell r="P2367" t="str">
            <v>Toronto</v>
          </cell>
        </row>
        <row r="2368">
          <cell r="C2368" t="str">
            <v>Terraview-Willowfield PS</v>
          </cell>
          <cell r="D2368" t="str">
            <v>TSPS (Portfolio 2) Limited Partnership</v>
          </cell>
          <cell r="E2368" t="str">
            <v>CO</v>
          </cell>
          <cell r="F2368">
            <v>42611</v>
          </cell>
          <cell r="G2368">
            <v>42247</v>
          </cell>
          <cell r="H2368">
            <v>49551</v>
          </cell>
          <cell r="I2368" t="str">
            <v>19 years, 11 months, 30 days</v>
          </cell>
          <cell r="J2368" t="str">
            <v>Renewables</v>
          </cell>
          <cell r="K2368" t="str">
            <v>Solar (Rooftop)</v>
          </cell>
          <cell r="L2368" t="str">
            <v>Solar</v>
          </cell>
          <cell r="M2368" t="str">
            <v>Dx</v>
          </cell>
          <cell r="N2368" t="str">
            <v>Toronto</v>
          </cell>
          <cell r="O2368" t="str">
            <v>Toronto</v>
          </cell>
          <cell r="P2368" t="str">
            <v>Toronto</v>
          </cell>
        </row>
        <row r="2369">
          <cell r="C2369" t="str">
            <v>Mono Cliffs Outdoor Ed. &amp; Con. Ctr</v>
          </cell>
          <cell r="D2369" t="str">
            <v>TSPS (Portfolio 2) Limited Partnership</v>
          </cell>
          <cell r="E2369" t="str">
            <v>CO</v>
          </cell>
          <cell r="F2369">
            <v>42611</v>
          </cell>
          <cell r="G2369">
            <v>42703</v>
          </cell>
          <cell r="H2369">
            <v>49915</v>
          </cell>
          <cell r="I2369" t="str">
            <v>19 years, 8 months, 30 days</v>
          </cell>
          <cell r="J2369" t="str">
            <v>Renewables</v>
          </cell>
          <cell r="K2369" t="str">
            <v>Solar (Rooftop)</v>
          </cell>
          <cell r="L2369" t="str">
            <v>Solar</v>
          </cell>
          <cell r="M2369" t="str">
            <v>Dx</v>
          </cell>
          <cell r="N2369" t="str">
            <v>Orangeville</v>
          </cell>
          <cell r="O2369" t="str">
            <v>Dufferin</v>
          </cell>
          <cell r="P2369" t="str">
            <v>Southwest</v>
          </cell>
        </row>
        <row r="2370">
          <cell r="C2370" t="str">
            <v>Hollywood PS</v>
          </cell>
          <cell r="D2370" t="str">
            <v>TSPS (Portfolio 2) Limited Partnership</v>
          </cell>
          <cell r="E2370" t="str">
            <v>CO</v>
          </cell>
          <cell r="F2370">
            <v>42597</v>
          </cell>
          <cell r="G2370">
            <v>42702</v>
          </cell>
          <cell r="H2370">
            <v>49901</v>
          </cell>
          <cell r="I2370" t="str">
            <v>19 years, 8 months, 17 days</v>
          </cell>
          <cell r="J2370" t="str">
            <v>Renewables</v>
          </cell>
          <cell r="K2370" t="str">
            <v>Solar (Rooftop)</v>
          </cell>
          <cell r="L2370" t="str">
            <v>Solar</v>
          </cell>
          <cell r="M2370" t="str">
            <v>Dx</v>
          </cell>
          <cell r="N2370" t="str">
            <v>Toronto</v>
          </cell>
          <cell r="O2370" t="str">
            <v>Toronto</v>
          </cell>
          <cell r="P2370" t="str">
            <v>Toronto</v>
          </cell>
        </row>
        <row r="2371">
          <cell r="C2371" t="str">
            <v>Pleasant View JHS</v>
          </cell>
          <cell r="D2371" t="str">
            <v>TSPS (Portfolio 2) Limited Partnership</v>
          </cell>
          <cell r="E2371" t="str">
            <v>CO</v>
          </cell>
          <cell r="F2371">
            <v>42604</v>
          </cell>
          <cell r="G2371">
            <v>42584</v>
          </cell>
          <cell r="H2371">
            <v>49888</v>
          </cell>
          <cell r="I2371" t="str">
            <v>19 years, 11 months, 30 days</v>
          </cell>
          <cell r="J2371" t="str">
            <v>Renewables</v>
          </cell>
          <cell r="K2371" t="str">
            <v>Solar (Rooftop)</v>
          </cell>
          <cell r="L2371" t="str">
            <v>Solar</v>
          </cell>
          <cell r="M2371" t="str">
            <v>Dx</v>
          </cell>
          <cell r="N2371" t="str">
            <v>Toronto</v>
          </cell>
          <cell r="O2371" t="str">
            <v>Toronto</v>
          </cell>
          <cell r="P2371" t="str">
            <v>Toronto</v>
          </cell>
        </row>
        <row r="2372">
          <cell r="C2372" t="str">
            <v>50 McCleary Court</v>
          </cell>
          <cell r="D2372" t="str">
            <v>2344215 Ontario Inc.</v>
          </cell>
          <cell r="E2372" t="str">
            <v>CO</v>
          </cell>
          <cell r="F2372">
            <v>42112</v>
          </cell>
          <cell r="G2372">
            <v>42180</v>
          </cell>
          <cell r="H2372">
            <v>49416</v>
          </cell>
          <cell r="I2372" t="str">
            <v>19 years, 9 months, 23 days</v>
          </cell>
          <cell r="J2372" t="str">
            <v>Renewables</v>
          </cell>
          <cell r="K2372" t="str">
            <v>Solar (Rooftop)</v>
          </cell>
          <cell r="L2372" t="str">
            <v>Solar</v>
          </cell>
          <cell r="M2372" t="str">
            <v>Dx</v>
          </cell>
          <cell r="N2372" t="str">
            <v>Concord</v>
          </cell>
          <cell r="O2372" t="str">
            <v>York</v>
          </cell>
          <cell r="P2372" t="str">
            <v>Toronto</v>
          </cell>
        </row>
        <row r="2373">
          <cell r="C2373" t="str">
            <v>John English JMS</v>
          </cell>
          <cell r="D2373" t="str">
            <v>TSPS (Portfolio 2) Limited Partnership</v>
          </cell>
          <cell r="E2373" t="str">
            <v>CO</v>
          </cell>
          <cell r="F2373">
            <v>42597</v>
          </cell>
          <cell r="G2373">
            <v>42703</v>
          </cell>
          <cell r="H2373">
            <v>49901</v>
          </cell>
          <cell r="I2373" t="str">
            <v>19 years, 8 months, 16 days</v>
          </cell>
          <cell r="J2373" t="str">
            <v>Renewables</v>
          </cell>
          <cell r="K2373" t="str">
            <v>Solar (Rooftop)</v>
          </cell>
          <cell r="L2373" t="str">
            <v>Solar</v>
          </cell>
          <cell r="M2373" t="str">
            <v>Dx</v>
          </cell>
          <cell r="N2373" t="str">
            <v>Toronto</v>
          </cell>
          <cell r="O2373" t="str">
            <v>Toronto</v>
          </cell>
          <cell r="P2373" t="str">
            <v>Toronto</v>
          </cell>
        </row>
        <row r="2374">
          <cell r="C2374" t="str">
            <v>YCDSB - St. Thomas Aquinas</v>
          </cell>
          <cell r="D2374" t="str">
            <v>Potentia Solar 7 Limited Partnership</v>
          </cell>
          <cell r="E2374" t="str">
            <v>CO</v>
          </cell>
          <cell r="F2374">
            <v>42095</v>
          </cell>
          <cell r="G2374">
            <v>42184</v>
          </cell>
          <cell r="H2374">
            <v>49399</v>
          </cell>
          <cell r="I2374" t="str">
            <v>19 years, 9 months, 2 days</v>
          </cell>
          <cell r="J2374" t="str">
            <v>Renewables</v>
          </cell>
          <cell r="K2374" t="str">
            <v>Solar (Rooftop)</v>
          </cell>
          <cell r="L2374" t="str">
            <v>Solar</v>
          </cell>
          <cell r="M2374" t="str">
            <v>Dx</v>
          </cell>
          <cell r="N2374" t="str">
            <v>Keswick</v>
          </cell>
          <cell r="O2374" t="str">
            <v>York</v>
          </cell>
          <cell r="P2374" t="str">
            <v>Essa</v>
          </cell>
        </row>
        <row r="2375">
          <cell r="C2375" t="str">
            <v>SOMEREN SOLAR (Hydro Line Road)</v>
          </cell>
          <cell r="D2375" t="str">
            <v>PRI Solar Gardens LP</v>
          </cell>
          <cell r="E2375" t="str">
            <v>CO</v>
          </cell>
          <cell r="F2375">
            <v>42715</v>
          </cell>
          <cell r="G2375">
            <v>42467</v>
          </cell>
          <cell r="H2375">
            <v>49771</v>
          </cell>
          <cell r="I2375" t="str">
            <v>19 years, 11 months, 30 days</v>
          </cell>
          <cell r="J2375" t="str">
            <v>Renewables</v>
          </cell>
          <cell r="K2375" t="str">
            <v>Solar (Ground Mounted)</v>
          </cell>
          <cell r="L2375" t="str">
            <v>Solar</v>
          </cell>
          <cell r="M2375" t="str">
            <v>Dx</v>
          </cell>
          <cell r="N2375" t="str">
            <v>Thornloe</v>
          </cell>
          <cell r="O2375" t="str">
            <v>Timiskaming</v>
          </cell>
          <cell r="P2375" t="str">
            <v>Northeast</v>
          </cell>
        </row>
        <row r="2376">
          <cell r="C2376" t="str">
            <v>YCDSB - San Lorenzo Ruiz CES</v>
          </cell>
          <cell r="D2376" t="str">
            <v>Potentia Solar 7 Limited Partnership</v>
          </cell>
          <cell r="E2376" t="str">
            <v>CO</v>
          </cell>
          <cell r="F2376">
            <v>42075</v>
          </cell>
          <cell r="G2376">
            <v>41992</v>
          </cell>
          <cell r="H2376">
            <v>49296</v>
          </cell>
          <cell r="I2376" t="str">
            <v>19 years, 11 months, 29 days</v>
          </cell>
          <cell r="J2376" t="str">
            <v>Renewables</v>
          </cell>
          <cell r="K2376" t="str">
            <v>Solar (Rooftop)</v>
          </cell>
          <cell r="L2376" t="str">
            <v>Solar</v>
          </cell>
          <cell r="M2376" t="str">
            <v>Dx</v>
          </cell>
          <cell r="N2376" t="str">
            <v>Markham</v>
          </cell>
          <cell r="O2376" t="str">
            <v>York</v>
          </cell>
          <cell r="P2376" t="str">
            <v>Toronto</v>
          </cell>
        </row>
        <row r="2377">
          <cell r="C2377" t="str">
            <v>C D Farquharson JPS</v>
          </cell>
          <cell r="D2377" t="str">
            <v>TSPS (Portfolio 1) Limited Partnership</v>
          </cell>
          <cell r="E2377" t="str">
            <v>CO</v>
          </cell>
          <cell r="F2377">
            <v>42581</v>
          </cell>
          <cell r="G2377">
            <v>42149</v>
          </cell>
          <cell r="H2377">
            <v>49453</v>
          </cell>
          <cell r="I2377" t="str">
            <v>19 years, 11 months, 29 days</v>
          </cell>
          <cell r="J2377" t="str">
            <v>Renewables</v>
          </cell>
          <cell r="K2377" t="str">
            <v>Solar (Rooftop)</v>
          </cell>
          <cell r="L2377" t="str">
            <v>Solar</v>
          </cell>
          <cell r="M2377" t="str">
            <v>Dx</v>
          </cell>
          <cell r="N2377" t="str">
            <v>Toronto</v>
          </cell>
          <cell r="O2377" t="str">
            <v>Toronto</v>
          </cell>
          <cell r="P2377" t="str">
            <v>Toronto</v>
          </cell>
        </row>
        <row r="2378">
          <cell r="C2378" t="str">
            <v>Chalkfarm PS</v>
          </cell>
          <cell r="D2378" t="str">
            <v>TSPS (Portfolio 2) Limited Partnership</v>
          </cell>
          <cell r="E2378" t="str">
            <v>CO</v>
          </cell>
          <cell r="F2378">
            <v>42583</v>
          </cell>
          <cell r="G2378">
            <v>42671</v>
          </cell>
          <cell r="H2378">
            <v>49887</v>
          </cell>
          <cell r="I2378" t="str">
            <v>19 years, 9 months, 3 days</v>
          </cell>
          <cell r="J2378" t="str">
            <v>Renewables</v>
          </cell>
          <cell r="K2378" t="str">
            <v>Solar (Rooftop)</v>
          </cell>
          <cell r="L2378" t="str">
            <v>Solar</v>
          </cell>
          <cell r="M2378" t="str">
            <v>Dx</v>
          </cell>
          <cell r="N2378" t="str">
            <v>Toronto</v>
          </cell>
          <cell r="O2378" t="str">
            <v>Toronto</v>
          </cell>
          <cell r="P2378" t="str">
            <v>Toronto</v>
          </cell>
        </row>
        <row r="2379">
          <cell r="C2379" t="str">
            <v>Solar@381WestSt</v>
          </cell>
          <cell r="D2379" t="str">
            <v>1315161 Ontario Inc.</v>
          </cell>
          <cell r="E2379" t="str">
            <v>CO</v>
          </cell>
          <cell r="F2379">
            <v>42095</v>
          </cell>
          <cell r="G2379">
            <v>42079</v>
          </cell>
          <cell r="H2379">
            <v>49383</v>
          </cell>
          <cell r="I2379" t="str">
            <v>19 years, 11 months, 27 days</v>
          </cell>
          <cell r="J2379" t="str">
            <v>Renewables</v>
          </cell>
          <cell r="K2379" t="str">
            <v>Solar (Rooftop)</v>
          </cell>
          <cell r="L2379" t="str">
            <v>Solar</v>
          </cell>
          <cell r="M2379" t="str">
            <v>Dx</v>
          </cell>
          <cell r="N2379" t="str">
            <v>Orillia</v>
          </cell>
          <cell r="O2379" t="str">
            <v>Simcoe</v>
          </cell>
          <cell r="P2379" t="str">
            <v>Essa</v>
          </cell>
        </row>
        <row r="2380">
          <cell r="C2380" t="str">
            <v>Riverdale CI</v>
          </cell>
          <cell r="D2380" t="str">
            <v>TSPS (Portfolio 2) Limited Partnership</v>
          </cell>
          <cell r="E2380" t="str">
            <v>CO</v>
          </cell>
          <cell r="F2380">
            <v>42609</v>
          </cell>
          <cell r="G2380">
            <v>42396</v>
          </cell>
          <cell r="H2380">
            <v>49700</v>
          </cell>
          <cell r="I2380" t="str">
            <v>19 years, 11 months, 30 days</v>
          </cell>
          <cell r="J2380" t="str">
            <v>Renewables</v>
          </cell>
          <cell r="K2380" t="str">
            <v>Solar (Rooftop)</v>
          </cell>
          <cell r="L2380" t="str">
            <v>Solar</v>
          </cell>
          <cell r="M2380" t="str">
            <v>Dx</v>
          </cell>
          <cell r="N2380" t="str">
            <v>Toronto</v>
          </cell>
          <cell r="O2380" t="str">
            <v>Toronto</v>
          </cell>
          <cell r="P2380" t="str">
            <v>Toronto</v>
          </cell>
        </row>
        <row r="2381">
          <cell r="C2381" t="str">
            <v>GTEC Micro ReLo</v>
          </cell>
          <cell r="D2381" t="str">
            <v>The Corporation of the Town of Blind River</v>
          </cell>
          <cell r="E2381" t="str">
            <v>CO</v>
          </cell>
          <cell r="F2381">
            <v>42699</v>
          </cell>
          <cell r="G2381">
            <v>42102</v>
          </cell>
          <cell r="H2381">
            <v>49406</v>
          </cell>
          <cell r="I2381" t="str">
            <v>19 years, 11 months, 30 days</v>
          </cell>
          <cell r="J2381" t="str">
            <v>Renewables</v>
          </cell>
          <cell r="K2381" t="str">
            <v>Solar (Ground Mounted)</v>
          </cell>
          <cell r="L2381" t="str">
            <v>Solar</v>
          </cell>
          <cell r="M2381" t="str">
            <v>Dx</v>
          </cell>
          <cell r="N2381" t="str">
            <v>Blind River</v>
          </cell>
          <cell r="O2381" t="str">
            <v>Algoma</v>
          </cell>
          <cell r="P2381" t="str">
            <v>Northeast</v>
          </cell>
        </row>
        <row r="2382">
          <cell r="C2382" t="str">
            <v>RS Atlantic Court</v>
          </cell>
          <cell r="D2382" t="str">
            <v>N&amp;G LP</v>
          </cell>
          <cell r="E2382" t="str">
            <v>CO</v>
          </cell>
          <cell r="F2382">
            <v>42056</v>
          </cell>
          <cell r="G2382">
            <v>42184</v>
          </cell>
          <cell r="H2382">
            <v>49360</v>
          </cell>
          <cell r="I2382" t="str">
            <v>19 years, 7 months, 22 days</v>
          </cell>
          <cell r="J2382" t="str">
            <v>Renewables</v>
          </cell>
          <cell r="K2382" t="str">
            <v>Solar (Rooftop)</v>
          </cell>
          <cell r="L2382" t="str">
            <v>Solar</v>
          </cell>
          <cell r="M2382" t="str">
            <v>Dx</v>
          </cell>
          <cell r="N2382" t="str">
            <v>London</v>
          </cell>
          <cell r="O2382" t="str">
            <v>Middlesex</v>
          </cell>
          <cell r="P2382" t="str">
            <v>West</v>
          </cell>
        </row>
        <row r="2383">
          <cell r="C2383" t="str">
            <v>Sir William Osler HS</v>
          </cell>
          <cell r="D2383" t="str">
            <v>TSPS (Portfolio 1) Limited Partnership</v>
          </cell>
          <cell r="E2383" t="str">
            <v>CO</v>
          </cell>
          <cell r="F2383">
            <v>42611</v>
          </cell>
          <cell r="G2383">
            <v>42279</v>
          </cell>
          <cell r="H2383">
            <v>49583</v>
          </cell>
          <cell r="I2383" t="str">
            <v>19 years, 11 months, 29 days</v>
          </cell>
          <cell r="J2383" t="str">
            <v>Renewables</v>
          </cell>
          <cell r="K2383" t="str">
            <v>Solar (Rooftop)</v>
          </cell>
          <cell r="L2383" t="str">
            <v>Solar</v>
          </cell>
          <cell r="M2383" t="str">
            <v>Dx</v>
          </cell>
          <cell r="N2383" t="str">
            <v>Toronto</v>
          </cell>
          <cell r="O2383" t="str">
            <v>Toronto</v>
          </cell>
          <cell r="P2383" t="str">
            <v>Toronto</v>
          </cell>
        </row>
        <row r="2384">
          <cell r="C2384" t="str">
            <v>25 Hunter Ground</v>
          </cell>
          <cell r="D2384" t="str">
            <v>Charter Construction Limited</v>
          </cell>
          <cell r="E2384" t="str">
            <v>CO</v>
          </cell>
          <cell r="F2384">
            <v>42761</v>
          </cell>
          <cell r="G2384">
            <v>42129</v>
          </cell>
          <cell r="H2384">
            <v>49433</v>
          </cell>
          <cell r="I2384" t="str">
            <v>19 years, 11 months, 29 days</v>
          </cell>
          <cell r="J2384" t="str">
            <v>Renewables</v>
          </cell>
          <cell r="K2384" t="str">
            <v>Solar (Ground Mounted)</v>
          </cell>
          <cell r="L2384" t="str">
            <v>Solar</v>
          </cell>
          <cell r="M2384" t="str">
            <v>Dx</v>
          </cell>
          <cell r="N2384" t="str">
            <v>Orillia</v>
          </cell>
          <cell r="O2384" t="str">
            <v>Simcoe</v>
          </cell>
          <cell r="P2384" t="str">
            <v>Essa</v>
          </cell>
        </row>
        <row r="2385">
          <cell r="C2385" t="str">
            <v>Rye Park Solar</v>
          </cell>
          <cell r="D2385" t="str">
            <v>Rye Park Solar LP</v>
          </cell>
          <cell r="E2385" t="str">
            <v>CO</v>
          </cell>
          <cell r="F2385">
            <v>42112</v>
          </cell>
          <cell r="G2385">
            <v>41932</v>
          </cell>
          <cell r="H2385">
            <v>49236</v>
          </cell>
          <cell r="I2385" t="str">
            <v>19 years, 11 months, 29 days</v>
          </cell>
          <cell r="J2385" t="str">
            <v>Renewables</v>
          </cell>
          <cell r="K2385" t="str">
            <v>Solar (Rooftop)</v>
          </cell>
          <cell r="L2385" t="str">
            <v>Solar</v>
          </cell>
          <cell r="M2385" t="str">
            <v>Dx</v>
          </cell>
          <cell r="N2385" t="str">
            <v>Peterborough</v>
          </cell>
          <cell r="O2385" t="str">
            <v>Peterborough</v>
          </cell>
          <cell r="P2385" t="str">
            <v>East</v>
          </cell>
        </row>
        <row r="2386">
          <cell r="C2386" t="str">
            <v>Gleeson-McGuire PV Solar</v>
          </cell>
          <cell r="D2386" t="str">
            <v>Gleeson Solar Farms Ltd.</v>
          </cell>
          <cell r="E2386" t="str">
            <v>CO</v>
          </cell>
          <cell r="F2386">
            <v>42104</v>
          </cell>
          <cell r="G2386">
            <v>42170</v>
          </cell>
          <cell r="H2386">
            <v>49408</v>
          </cell>
          <cell r="I2386" t="str">
            <v>19 years, 9 months, 25 days</v>
          </cell>
          <cell r="J2386" t="str">
            <v>Renewables</v>
          </cell>
          <cell r="K2386" t="str">
            <v>Solar (Rooftop)</v>
          </cell>
          <cell r="L2386" t="str">
            <v>Solar</v>
          </cell>
          <cell r="M2386" t="str">
            <v>Dx</v>
          </cell>
          <cell r="N2386" t="str">
            <v>Moorefield</v>
          </cell>
          <cell r="O2386" t="str">
            <v>Wellington</v>
          </cell>
          <cell r="P2386" t="str">
            <v>Southwest</v>
          </cell>
        </row>
        <row r="2387">
          <cell r="C2387" t="str">
            <v>HORLINGS 55 BERNHARDT RD</v>
          </cell>
          <cell r="D2387" t="str">
            <v>WILLIAM HORLINGS &amp; SONS LIMITED</v>
          </cell>
          <cell r="E2387" t="str">
            <v>CO</v>
          </cell>
          <cell r="F2387">
            <v>42102</v>
          </cell>
          <cell r="G2387">
            <v>42241</v>
          </cell>
          <cell r="H2387">
            <v>49406</v>
          </cell>
          <cell r="I2387" t="str">
            <v>19 years, 7 months, 13 days</v>
          </cell>
          <cell r="J2387" t="str">
            <v>Renewables</v>
          </cell>
          <cell r="K2387" t="str">
            <v>Solar (Rooftop)</v>
          </cell>
          <cell r="L2387" t="str">
            <v>Solar</v>
          </cell>
          <cell r="M2387" t="str">
            <v>Dx</v>
          </cell>
          <cell r="N2387" t="str">
            <v>Newmarket</v>
          </cell>
          <cell r="O2387" t="str">
            <v>York</v>
          </cell>
          <cell r="P2387" t="str">
            <v>Essa</v>
          </cell>
        </row>
        <row r="2388">
          <cell r="C2388" t="str">
            <v>Martingrove CI</v>
          </cell>
          <cell r="D2388" t="str">
            <v>TSPS (Portfolio 1) Limited Partnership</v>
          </cell>
          <cell r="E2388" t="str">
            <v>CO</v>
          </cell>
          <cell r="F2388">
            <v>42604</v>
          </cell>
          <cell r="G2388">
            <v>42306</v>
          </cell>
          <cell r="H2388">
            <v>49610</v>
          </cell>
          <cell r="I2388" t="str">
            <v>19 years, 11 months, 29 days</v>
          </cell>
          <cell r="J2388" t="str">
            <v>Renewables</v>
          </cell>
          <cell r="K2388" t="str">
            <v>Solar (Rooftop)</v>
          </cell>
          <cell r="L2388" t="str">
            <v>Solar</v>
          </cell>
          <cell r="M2388" t="str">
            <v>Dx</v>
          </cell>
          <cell r="N2388" t="str">
            <v>Toronto</v>
          </cell>
          <cell r="O2388" t="str">
            <v>Toronto</v>
          </cell>
          <cell r="P2388" t="str">
            <v>Toronto</v>
          </cell>
        </row>
        <row r="2389">
          <cell r="C2389" t="str">
            <v>Endura Energy - 520 Abilene</v>
          </cell>
          <cell r="D2389" t="str">
            <v>Community Solar Assets 2 Limited</v>
          </cell>
          <cell r="E2389" t="str">
            <v>CO</v>
          </cell>
          <cell r="F2389">
            <v>42061</v>
          </cell>
          <cell r="G2389">
            <v>42198</v>
          </cell>
          <cell r="H2389">
            <v>49365</v>
          </cell>
          <cell r="I2389" t="str">
            <v>19 years, 7 months, 12 days</v>
          </cell>
          <cell r="J2389" t="str">
            <v>Renewables</v>
          </cell>
          <cell r="K2389" t="str">
            <v>Solar (Rooftop)</v>
          </cell>
          <cell r="L2389" t="str">
            <v>Solar</v>
          </cell>
          <cell r="M2389" t="str">
            <v>Dx</v>
          </cell>
          <cell r="N2389" t="str">
            <v>Mississauga</v>
          </cell>
          <cell r="O2389" t="str">
            <v>Peel</v>
          </cell>
          <cell r="P2389" t="str">
            <v>Toronto</v>
          </cell>
        </row>
        <row r="2390">
          <cell r="C2390" t="str">
            <v>Resurrection Catholic High School</v>
          </cell>
          <cell r="D2390" t="str">
            <v>Potentia Solar 6 Limited Partnership</v>
          </cell>
          <cell r="E2390" t="str">
            <v>CO</v>
          </cell>
          <cell r="F2390">
            <v>42102</v>
          </cell>
          <cell r="G2390">
            <v>42249</v>
          </cell>
          <cell r="H2390">
            <v>49406</v>
          </cell>
          <cell r="I2390" t="str">
            <v>19 years, 7 months, 5 days</v>
          </cell>
          <cell r="J2390" t="str">
            <v>Renewables</v>
          </cell>
          <cell r="K2390" t="str">
            <v>Solar (Rooftop)</v>
          </cell>
          <cell r="L2390" t="str">
            <v>Solar</v>
          </cell>
          <cell r="M2390" t="str">
            <v>Dx</v>
          </cell>
          <cell r="N2390" t="str">
            <v>Kitchener</v>
          </cell>
          <cell r="O2390" t="str">
            <v>Waterloo</v>
          </cell>
          <cell r="P2390" t="str">
            <v>Southwest</v>
          </cell>
        </row>
        <row r="2391">
          <cell r="C2391" t="str">
            <v>Yorkshire Solar 1</v>
          </cell>
          <cell r="D2391" t="str">
            <v>Yorkshire Farms Ltd.</v>
          </cell>
          <cell r="E2391" t="str">
            <v>CO</v>
          </cell>
          <cell r="F2391">
            <v>42104</v>
          </cell>
          <cell r="G2391">
            <v>41990</v>
          </cell>
          <cell r="H2391">
            <v>49294</v>
          </cell>
          <cell r="I2391" t="str">
            <v>19 years, 11 months, 29 days</v>
          </cell>
          <cell r="J2391" t="str">
            <v>Renewables</v>
          </cell>
          <cell r="K2391" t="str">
            <v>Solar (Rooftop)</v>
          </cell>
          <cell r="L2391" t="str">
            <v>Solar</v>
          </cell>
          <cell r="M2391" t="str">
            <v>Dx</v>
          </cell>
          <cell r="N2391" t="str">
            <v>Lakehurst</v>
          </cell>
          <cell r="O2391" t="str">
            <v>Peterborough</v>
          </cell>
          <cell r="P2391" t="str">
            <v>East</v>
          </cell>
        </row>
        <row r="2392">
          <cell r="C2392" t="str">
            <v>Claremont Community Centre</v>
          </cell>
          <cell r="D2392" t="str">
            <v>Elexicon Energy Inc., Solera Sustainable Energies Company Limited, TREC SolarShare Co-operative (No. 1) Inc.</v>
          </cell>
          <cell r="E2392" t="str">
            <v>CO</v>
          </cell>
          <cell r="F2392">
            <v>42061</v>
          </cell>
          <cell r="G2392">
            <v>42170</v>
          </cell>
          <cell r="H2392">
            <v>49365</v>
          </cell>
          <cell r="I2392" t="str">
            <v>19 years, 8 months, 10 days</v>
          </cell>
          <cell r="J2392" t="str">
            <v>Renewables</v>
          </cell>
          <cell r="K2392" t="str">
            <v>Solar (Rooftop)</v>
          </cell>
          <cell r="L2392" t="str">
            <v>Solar</v>
          </cell>
          <cell r="M2392" t="str">
            <v>Dx</v>
          </cell>
          <cell r="N2392" t="str">
            <v>Pickering</v>
          </cell>
          <cell r="O2392" t="str">
            <v>Durham</v>
          </cell>
          <cell r="P2392" t="str">
            <v>Toronto</v>
          </cell>
        </row>
        <row r="2393">
          <cell r="C2393" t="str">
            <v>Mall Solar I</v>
          </cell>
          <cell r="D2393" t="str">
            <v>CEW SUPERIOR VI LIMITED PARTNERSHIP</v>
          </cell>
          <cell r="E2393" t="str">
            <v>CO</v>
          </cell>
          <cell r="F2393">
            <v>42117</v>
          </cell>
          <cell r="G2393">
            <v>42276</v>
          </cell>
          <cell r="H2393">
            <v>49421</v>
          </cell>
          <cell r="I2393" t="str">
            <v>19 years, 6 months, 24 days</v>
          </cell>
          <cell r="J2393" t="str">
            <v>Renewables</v>
          </cell>
          <cell r="K2393" t="str">
            <v>Solar (Rooftop)</v>
          </cell>
          <cell r="L2393" t="str">
            <v>Solar</v>
          </cell>
          <cell r="M2393" t="str">
            <v>Dx</v>
          </cell>
          <cell r="N2393" t="str">
            <v>Cobourg</v>
          </cell>
          <cell r="O2393" t="str">
            <v>Northumberland</v>
          </cell>
          <cell r="P2393" t="str">
            <v>East</v>
          </cell>
        </row>
        <row r="2394">
          <cell r="C2394" t="str">
            <v>Forest Hill PS</v>
          </cell>
          <cell r="D2394" t="str">
            <v>Potentia Solar 5 Limited Partnership</v>
          </cell>
          <cell r="E2394" t="str">
            <v>CO</v>
          </cell>
          <cell r="F2394">
            <v>42075</v>
          </cell>
          <cell r="G2394">
            <v>42243</v>
          </cell>
          <cell r="H2394">
            <v>49379</v>
          </cell>
          <cell r="I2394" t="str">
            <v>19 years, 6 months, 12 days</v>
          </cell>
          <cell r="J2394" t="str">
            <v>Renewables</v>
          </cell>
          <cell r="K2394" t="str">
            <v>Solar (Rooftop)</v>
          </cell>
          <cell r="L2394" t="str">
            <v>Solar</v>
          </cell>
          <cell r="M2394" t="str">
            <v>Dx</v>
          </cell>
          <cell r="N2394" t="str">
            <v>Midhurst</v>
          </cell>
          <cell r="O2394" t="str">
            <v>Simcoe</v>
          </cell>
          <cell r="P2394" t="str">
            <v>Essa</v>
          </cell>
        </row>
        <row r="2395">
          <cell r="C2395" t="str">
            <v>Parkwood 2.0</v>
          </cell>
          <cell r="D2395" t="str">
            <v>PARKWOOD NON-PROFIT HOUSING CORPORATION (WINDSOR)</v>
          </cell>
          <cell r="E2395" t="str">
            <v>CO</v>
          </cell>
          <cell r="F2395">
            <v>42095</v>
          </cell>
          <cell r="G2395">
            <v>42250</v>
          </cell>
          <cell r="H2395">
            <v>49399</v>
          </cell>
          <cell r="I2395" t="str">
            <v>19 years, 6 months, 28 days</v>
          </cell>
          <cell r="J2395" t="str">
            <v>Renewables</v>
          </cell>
          <cell r="K2395" t="str">
            <v>Solar (Rooftop)</v>
          </cell>
          <cell r="L2395" t="str">
            <v>Solar</v>
          </cell>
          <cell r="M2395" t="str">
            <v>Dx</v>
          </cell>
          <cell r="N2395" t="str">
            <v>Windsor</v>
          </cell>
          <cell r="O2395" t="str">
            <v>Essex</v>
          </cell>
          <cell r="P2395" t="str">
            <v>West</v>
          </cell>
        </row>
        <row r="2396">
          <cell r="C2396" t="str">
            <v>1126 Sutton St, Kincardine</v>
          </cell>
          <cell r="D2396" t="str">
            <v>Solartek Green Earth Rooftop LP</v>
          </cell>
          <cell r="E2396" t="str">
            <v>CO</v>
          </cell>
          <cell r="F2396">
            <v>42117</v>
          </cell>
          <cell r="G2396">
            <v>42282</v>
          </cell>
          <cell r="H2396">
            <v>49421</v>
          </cell>
          <cell r="I2396" t="str">
            <v>19 years, 6 months, 17 days</v>
          </cell>
          <cell r="J2396" t="str">
            <v>Renewables</v>
          </cell>
          <cell r="K2396" t="str">
            <v>Solar (Rooftop)</v>
          </cell>
          <cell r="L2396" t="str">
            <v>Solar</v>
          </cell>
          <cell r="M2396" t="str">
            <v>Dx</v>
          </cell>
          <cell r="N2396" t="str">
            <v>Kincardine</v>
          </cell>
          <cell r="O2396" t="str">
            <v>Bruce</v>
          </cell>
          <cell r="P2396" t="str">
            <v>Bruce</v>
          </cell>
        </row>
        <row r="2397">
          <cell r="C2397" t="str">
            <v>Guelph Community Christian School</v>
          </cell>
          <cell r="D2397" t="str">
            <v>John Calvin Christian School Society</v>
          </cell>
          <cell r="E2397" t="str">
            <v>CO</v>
          </cell>
          <cell r="F2397">
            <v>42104</v>
          </cell>
          <cell r="G2397">
            <v>42212</v>
          </cell>
          <cell r="H2397">
            <v>49408</v>
          </cell>
          <cell r="I2397" t="str">
            <v>19 years, 8 months, 13 days</v>
          </cell>
          <cell r="J2397" t="str">
            <v>Renewables</v>
          </cell>
          <cell r="K2397" t="str">
            <v>Solar (Rooftop)</v>
          </cell>
          <cell r="L2397" t="str">
            <v>Solar</v>
          </cell>
          <cell r="M2397" t="str">
            <v>Dx</v>
          </cell>
          <cell r="N2397" t="str">
            <v>Guelph</v>
          </cell>
          <cell r="O2397" t="str">
            <v>Wellington</v>
          </cell>
          <cell r="P2397" t="str">
            <v>Southwest</v>
          </cell>
        </row>
        <row r="2398">
          <cell r="C2398" t="str">
            <v>Scarborough Village PS</v>
          </cell>
          <cell r="D2398" t="str">
            <v>TSPS (Portfolio 1) Limited Partnership</v>
          </cell>
          <cell r="E2398" t="str">
            <v>CO</v>
          </cell>
          <cell r="F2398">
            <v>42609</v>
          </cell>
          <cell r="G2398">
            <v>41988</v>
          </cell>
          <cell r="H2398">
            <v>49292</v>
          </cell>
          <cell r="I2398" t="str">
            <v>19 years, 11 months, 29 days</v>
          </cell>
          <cell r="J2398" t="str">
            <v>Renewables</v>
          </cell>
          <cell r="K2398" t="str">
            <v>Solar (Rooftop)</v>
          </cell>
          <cell r="L2398" t="str">
            <v>Solar</v>
          </cell>
          <cell r="M2398" t="str">
            <v>Dx</v>
          </cell>
          <cell r="N2398" t="str">
            <v>Toronto</v>
          </cell>
          <cell r="O2398" t="str">
            <v>Toronto</v>
          </cell>
          <cell r="P2398" t="str">
            <v>Toronto</v>
          </cell>
        </row>
        <row r="2399">
          <cell r="C2399" t="str">
            <v>SWM Arena 150kW</v>
          </cell>
          <cell r="D2399" t="str">
            <v>Solar Income Fund LP (#5)</v>
          </cell>
          <cell r="E2399" t="str">
            <v>CO</v>
          </cell>
          <cell r="F2399">
            <v>42151</v>
          </cell>
          <cell r="G2399">
            <v>42276</v>
          </cell>
          <cell r="H2399">
            <v>49455</v>
          </cell>
          <cell r="I2399" t="str">
            <v>19 years, 7 months, 27 days</v>
          </cell>
          <cell r="J2399" t="str">
            <v>Renewables</v>
          </cell>
          <cell r="K2399" t="str">
            <v>Solar (Rooftop)</v>
          </cell>
          <cell r="L2399" t="str">
            <v>Solar</v>
          </cell>
          <cell r="M2399" t="str">
            <v>Dx</v>
          </cell>
          <cell r="N2399" t="str">
            <v>Glencoe</v>
          </cell>
          <cell r="O2399" t="str">
            <v>Middlesex</v>
          </cell>
          <cell r="P2399" t="str">
            <v>West</v>
          </cell>
        </row>
        <row r="2400">
          <cell r="C2400" t="str">
            <v>Geene Solar PV</v>
          </cell>
          <cell r="D2400" t="str">
            <v>Gerardus Geene</v>
          </cell>
          <cell r="E2400" t="str">
            <v>CO</v>
          </cell>
          <cell r="F2400">
            <v>42110</v>
          </cell>
          <cell r="G2400">
            <v>42192</v>
          </cell>
          <cell r="H2400">
            <v>49414</v>
          </cell>
          <cell r="I2400" t="str">
            <v>19 years, 9 months, 8 days</v>
          </cell>
          <cell r="J2400" t="str">
            <v>Renewables</v>
          </cell>
          <cell r="K2400" t="str">
            <v>Solar (Rooftop)</v>
          </cell>
          <cell r="L2400" t="str">
            <v>Solar</v>
          </cell>
          <cell r="M2400" t="str">
            <v>Dx</v>
          </cell>
          <cell r="N2400" t="str">
            <v>Goderich</v>
          </cell>
          <cell r="O2400" t="str">
            <v>Huron</v>
          </cell>
          <cell r="P2400" t="str">
            <v>Bruce</v>
          </cell>
        </row>
        <row r="2401">
          <cell r="C2401" t="str">
            <v>Constrained Rooftop</v>
          </cell>
          <cell r="D2401" t="str">
            <v>J.C.K.G. Holdings Inc.</v>
          </cell>
          <cell r="E2401" t="str">
            <v>CO</v>
          </cell>
          <cell r="F2401">
            <v>42488</v>
          </cell>
          <cell r="G2401">
            <v>42578</v>
          </cell>
          <cell r="H2401">
            <v>49792</v>
          </cell>
          <cell r="I2401" t="str">
            <v>19 years, 9 months, 0 days</v>
          </cell>
          <cell r="J2401" t="str">
            <v>Renewables</v>
          </cell>
          <cell r="K2401" t="str">
            <v>Solar (Rooftop)</v>
          </cell>
          <cell r="L2401" t="str">
            <v>Solar</v>
          </cell>
          <cell r="M2401" t="str">
            <v>Dx</v>
          </cell>
          <cell r="N2401" t="str">
            <v>Chepstow</v>
          </cell>
          <cell r="O2401" t="str">
            <v>Bruce</v>
          </cell>
          <cell r="P2401" t="str">
            <v>Southwest</v>
          </cell>
        </row>
        <row r="2402">
          <cell r="C2402" t="str">
            <v>1855 Drew</v>
          </cell>
          <cell r="D2402" t="str">
            <v>FRC MANAGEMENT INC.</v>
          </cell>
          <cell r="E2402" t="str">
            <v>CO</v>
          </cell>
          <cell r="F2402">
            <v>42054</v>
          </cell>
          <cell r="G2402">
            <v>42164</v>
          </cell>
          <cell r="H2402">
            <v>49358</v>
          </cell>
          <cell r="I2402" t="str">
            <v>19 years, 8 months, 9 days</v>
          </cell>
          <cell r="J2402" t="str">
            <v>Renewables</v>
          </cell>
          <cell r="K2402" t="str">
            <v>Solar (Rooftop)</v>
          </cell>
          <cell r="L2402" t="str">
            <v>Solar</v>
          </cell>
          <cell r="M2402" t="str">
            <v>Dx</v>
          </cell>
          <cell r="N2402" t="str">
            <v>Mississauga</v>
          </cell>
          <cell r="O2402" t="str">
            <v>Peel</v>
          </cell>
          <cell r="P2402" t="str">
            <v>Toronto</v>
          </cell>
        </row>
        <row r="2403">
          <cell r="C2403" t="str">
            <v>LIFE SOLAR 2</v>
          </cell>
          <cell r="D2403" t="str">
            <v>LIFE SOLAR 2 INC.</v>
          </cell>
          <cell r="E2403" t="str">
            <v>CO</v>
          </cell>
          <cell r="F2403">
            <v>42056</v>
          </cell>
          <cell r="G2403">
            <v>42229</v>
          </cell>
          <cell r="H2403">
            <v>49360</v>
          </cell>
          <cell r="I2403" t="str">
            <v>19 years, 6 months, 7 days</v>
          </cell>
          <cell r="J2403" t="str">
            <v>Renewables</v>
          </cell>
          <cell r="K2403" t="str">
            <v>Solar (Rooftop)</v>
          </cell>
          <cell r="L2403" t="str">
            <v>Solar</v>
          </cell>
          <cell r="M2403" t="str">
            <v>Dx</v>
          </cell>
          <cell r="N2403" t="str">
            <v>Cambridge</v>
          </cell>
          <cell r="O2403" t="str">
            <v>Waterloo</v>
          </cell>
          <cell r="P2403" t="str">
            <v>Southwest</v>
          </cell>
        </row>
        <row r="2404">
          <cell r="C2404" t="str">
            <v>Churchill PS</v>
          </cell>
          <cell r="D2404" t="str">
            <v>TSPS (Portfolio 2) Limited Partnership</v>
          </cell>
          <cell r="E2404" t="str">
            <v>CO</v>
          </cell>
          <cell r="F2404">
            <v>42583</v>
          </cell>
          <cell r="G2404">
            <v>42236</v>
          </cell>
          <cell r="H2404">
            <v>49540</v>
          </cell>
          <cell r="I2404" t="str">
            <v>19 years, 11 months, 30 days</v>
          </cell>
          <cell r="J2404" t="str">
            <v>Renewables</v>
          </cell>
          <cell r="K2404" t="str">
            <v>Solar (Rooftop)</v>
          </cell>
          <cell r="L2404" t="str">
            <v>Solar</v>
          </cell>
          <cell r="M2404" t="str">
            <v>Dx</v>
          </cell>
          <cell r="N2404" t="str">
            <v>Toronto</v>
          </cell>
          <cell r="O2404" t="str">
            <v>Toronto</v>
          </cell>
          <cell r="P2404" t="str">
            <v>Toronto</v>
          </cell>
        </row>
        <row r="2405">
          <cell r="C2405" t="str">
            <v>AGRIS Solar (LT 5 CON 2 HARLEY)</v>
          </cell>
          <cell r="D2405" t="str">
            <v>AGRIS Solar Co-operative Inc.</v>
          </cell>
          <cell r="E2405" t="str">
            <v>CO</v>
          </cell>
          <cell r="F2405">
            <v>42715</v>
          </cell>
          <cell r="G2405">
            <v>42122</v>
          </cell>
          <cell r="H2405">
            <v>49426</v>
          </cell>
          <cell r="I2405" t="str">
            <v>19 years, 11 months, 30 days</v>
          </cell>
          <cell r="J2405" t="str">
            <v>Renewables</v>
          </cell>
          <cell r="K2405" t="str">
            <v>Solar (Ground Mounted)</v>
          </cell>
          <cell r="L2405" t="str">
            <v>Solar</v>
          </cell>
          <cell r="M2405" t="str">
            <v>Dx</v>
          </cell>
          <cell r="N2405" t="str">
            <v>Thornloe</v>
          </cell>
          <cell r="O2405" t="str">
            <v>Timiskaming</v>
          </cell>
          <cell r="P2405" t="str">
            <v>Northeast</v>
          </cell>
        </row>
        <row r="2406">
          <cell r="C2406" t="str">
            <v>RS Brantford</v>
          </cell>
          <cell r="D2406" t="str">
            <v>Nautilus Eagle Lake Solar I Limited Partnership</v>
          </cell>
          <cell r="E2406" t="str">
            <v>CO</v>
          </cell>
          <cell r="F2406">
            <v>42089</v>
          </cell>
          <cell r="G2406">
            <v>42135</v>
          </cell>
          <cell r="H2406">
            <v>49393</v>
          </cell>
          <cell r="I2406" t="str">
            <v>19 years, 10 months, 14 days</v>
          </cell>
          <cell r="J2406" t="str">
            <v>Renewables</v>
          </cell>
          <cell r="K2406" t="str">
            <v>Solar (Rooftop)</v>
          </cell>
          <cell r="L2406" t="str">
            <v>Solar</v>
          </cell>
          <cell r="M2406" t="str">
            <v>Dx</v>
          </cell>
          <cell r="N2406" t="str">
            <v>Brantford</v>
          </cell>
          <cell r="O2406" t="str">
            <v>Brant</v>
          </cell>
          <cell r="P2406" t="str">
            <v>Southwest</v>
          </cell>
        </row>
        <row r="2407">
          <cell r="C2407" t="str">
            <v>TNT-274 Humberline</v>
          </cell>
          <cell r="D2407" t="str">
            <v>Métis Nation of Ontario - BrightRoof Solar LP</v>
          </cell>
          <cell r="E2407" t="str">
            <v>CO</v>
          </cell>
          <cell r="F2407">
            <v>42075</v>
          </cell>
          <cell r="G2407">
            <v>42026</v>
          </cell>
          <cell r="H2407">
            <v>49330</v>
          </cell>
          <cell r="I2407" t="str">
            <v>19 years, 11 months, 30 days</v>
          </cell>
          <cell r="J2407" t="str">
            <v>Renewables</v>
          </cell>
          <cell r="K2407" t="str">
            <v>Solar (Rooftop)</v>
          </cell>
          <cell r="L2407" t="str">
            <v>Solar</v>
          </cell>
          <cell r="M2407" t="str">
            <v>Dx</v>
          </cell>
          <cell r="N2407" t="str">
            <v>Toronto</v>
          </cell>
          <cell r="O2407" t="str">
            <v>Toronto</v>
          </cell>
          <cell r="P2407" t="str">
            <v>Toronto</v>
          </cell>
        </row>
        <row r="2408">
          <cell r="C2408" t="str">
            <v>Highview PS</v>
          </cell>
          <cell r="D2408" t="str">
            <v>TSPS (Portfolio 2) Limited Partnership</v>
          </cell>
          <cell r="E2408" t="str">
            <v>CO</v>
          </cell>
          <cell r="F2408">
            <v>42597</v>
          </cell>
          <cell r="G2408">
            <v>42643</v>
          </cell>
          <cell r="H2408">
            <v>49901</v>
          </cell>
          <cell r="I2408" t="str">
            <v>19 years, 10 months, 15 days</v>
          </cell>
          <cell r="J2408" t="str">
            <v>Renewables</v>
          </cell>
          <cell r="K2408" t="str">
            <v>Solar (Rooftop)</v>
          </cell>
          <cell r="L2408" t="str">
            <v>Solar</v>
          </cell>
          <cell r="M2408" t="str">
            <v>Dx</v>
          </cell>
          <cell r="N2408" t="str">
            <v>Toronto</v>
          </cell>
          <cell r="O2408" t="str">
            <v>Toronto</v>
          </cell>
          <cell r="P2408" t="str">
            <v>Toronto</v>
          </cell>
        </row>
        <row r="2409">
          <cell r="C2409" t="str">
            <v>Cherokee PS</v>
          </cell>
          <cell r="D2409" t="str">
            <v>TSPS (Portfolio 2) Limited Partnership</v>
          </cell>
          <cell r="E2409" t="str">
            <v>CO</v>
          </cell>
          <cell r="F2409">
            <v>42583</v>
          </cell>
          <cell r="G2409">
            <v>42643</v>
          </cell>
          <cell r="H2409">
            <v>49887</v>
          </cell>
          <cell r="I2409" t="str">
            <v>19 years, 10 months, 1 days</v>
          </cell>
          <cell r="J2409" t="str">
            <v>Renewables</v>
          </cell>
          <cell r="K2409" t="str">
            <v>Solar (Rooftop)</v>
          </cell>
          <cell r="L2409" t="str">
            <v>Solar</v>
          </cell>
          <cell r="M2409" t="str">
            <v>Dx</v>
          </cell>
          <cell r="N2409" t="str">
            <v>Toronto</v>
          </cell>
          <cell r="O2409" t="str">
            <v>Toronto</v>
          </cell>
          <cell r="P2409" t="str">
            <v>Toronto</v>
          </cell>
        </row>
        <row r="2410">
          <cell r="C2410" t="str">
            <v>Terry Fox PS</v>
          </cell>
          <cell r="D2410" t="str">
            <v>TSPS (Portfolio 1) Limited Partnership</v>
          </cell>
          <cell r="E2410" t="str">
            <v>CO</v>
          </cell>
          <cell r="F2410">
            <v>42611</v>
          </cell>
          <cell r="G2410">
            <v>42368</v>
          </cell>
          <cell r="H2410">
            <v>49672</v>
          </cell>
          <cell r="I2410" t="str">
            <v>19 years, 11 months, 29 days</v>
          </cell>
          <cell r="J2410" t="str">
            <v>Renewables</v>
          </cell>
          <cell r="K2410" t="str">
            <v>Solar (Rooftop)</v>
          </cell>
          <cell r="L2410" t="str">
            <v>Solar</v>
          </cell>
          <cell r="M2410" t="str">
            <v>Dx</v>
          </cell>
          <cell r="N2410" t="str">
            <v>Toronto</v>
          </cell>
          <cell r="O2410" t="str">
            <v>Toronto</v>
          </cell>
          <cell r="P2410" t="str">
            <v>Toronto</v>
          </cell>
        </row>
        <row r="2411">
          <cell r="C2411" t="str">
            <v>North Bendale Jr PS</v>
          </cell>
          <cell r="D2411" t="str">
            <v>TSPS (Portfolio 2) Limited Partnership</v>
          </cell>
          <cell r="E2411" t="str">
            <v>CO</v>
          </cell>
          <cell r="F2411">
            <v>42604</v>
          </cell>
          <cell r="G2411">
            <v>42702</v>
          </cell>
          <cell r="H2411">
            <v>49908</v>
          </cell>
          <cell r="I2411" t="str">
            <v>19 years, 8 months, 24 days</v>
          </cell>
          <cell r="J2411" t="str">
            <v>Renewables</v>
          </cell>
          <cell r="K2411" t="str">
            <v>Solar (Rooftop)</v>
          </cell>
          <cell r="L2411" t="str">
            <v>Solar</v>
          </cell>
          <cell r="M2411" t="str">
            <v>Dx</v>
          </cell>
          <cell r="N2411" t="str">
            <v>Toronto</v>
          </cell>
          <cell r="O2411" t="str">
            <v>Toronto</v>
          </cell>
          <cell r="P2411" t="str">
            <v>Toronto</v>
          </cell>
        </row>
        <row r="2412">
          <cell r="C2412" t="str">
            <v>YCDSB - St. Joan of Arc CHS</v>
          </cell>
          <cell r="D2412" t="str">
            <v>Potentia Solar 7 Limited Partnership</v>
          </cell>
          <cell r="E2412" t="str">
            <v>CO</v>
          </cell>
          <cell r="F2412">
            <v>42068</v>
          </cell>
          <cell r="G2412">
            <v>42226</v>
          </cell>
          <cell r="H2412">
            <v>49372</v>
          </cell>
          <cell r="I2412" t="str">
            <v>19 years, 6 months, 22 days</v>
          </cell>
          <cell r="J2412" t="str">
            <v>Renewables</v>
          </cell>
          <cell r="K2412" t="str">
            <v>Solar (Rooftop)</v>
          </cell>
          <cell r="L2412" t="str">
            <v>Solar</v>
          </cell>
          <cell r="M2412" t="str">
            <v>Dx</v>
          </cell>
          <cell r="N2412" t="str">
            <v>Vaughan</v>
          </cell>
          <cell r="O2412" t="str">
            <v>York</v>
          </cell>
          <cell r="P2412" t="str">
            <v>Toronto</v>
          </cell>
        </row>
        <row r="2413">
          <cell r="C2413" t="str">
            <v>Cosburn MS</v>
          </cell>
          <cell r="D2413" t="str">
            <v>TSPS (Portfolio 2) Limited Partnership</v>
          </cell>
          <cell r="E2413" t="str">
            <v>CO</v>
          </cell>
          <cell r="F2413">
            <v>42583</v>
          </cell>
          <cell r="G2413">
            <v>42703</v>
          </cell>
          <cell r="H2413">
            <v>49887</v>
          </cell>
          <cell r="I2413" t="str">
            <v>19 years, 8 months, 2 days</v>
          </cell>
          <cell r="J2413" t="str">
            <v>Renewables</v>
          </cell>
          <cell r="K2413" t="str">
            <v>Solar (Rooftop)</v>
          </cell>
          <cell r="L2413" t="str">
            <v>Solar</v>
          </cell>
          <cell r="M2413" t="str">
            <v>Dx</v>
          </cell>
          <cell r="N2413" t="str">
            <v>Toronto</v>
          </cell>
          <cell r="O2413" t="str">
            <v>Toronto</v>
          </cell>
          <cell r="P2413" t="str">
            <v>Toronto</v>
          </cell>
        </row>
        <row r="2414">
          <cell r="C2414" t="str">
            <v>SS Kyle Solar LP</v>
          </cell>
          <cell r="D2414" t="str">
            <v>SS Kyle Solar LP</v>
          </cell>
          <cell r="E2414" t="str">
            <v>CO</v>
          </cell>
          <cell r="F2414">
            <v>42112</v>
          </cell>
          <cell r="G2414">
            <v>41996</v>
          </cell>
          <cell r="H2414">
            <v>49300</v>
          </cell>
          <cell r="I2414" t="str">
            <v>19 years, 11 months, 29 days</v>
          </cell>
          <cell r="J2414" t="str">
            <v>Renewables</v>
          </cell>
          <cell r="K2414" t="str">
            <v>Solar (Rooftop)</v>
          </cell>
          <cell r="L2414" t="str">
            <v>Solar</v>
          </cell>
          <cell r="M2414" t="str">
            <v>Dx</v>
          </cell>
          <cell r="N2414" t="str">
            <v>Lancaster</v>
          </cell>
          <cell r="O2414" t="str">
            <v>Stormont, Dundas and Glengarry</v>
          </cell>
          <cell r="P2414" t="str">
            <v>East</v>
          </cell>
        </row>
        <row r="2415">
          <cell r="C2415" t="str">
            <v>Verner Home Furniture Solar</v>
          </cell>
          <cell r="D2415" t="str">
            <v>2869727 Ontario Inc.</v>
          </cell>
          <cell r="E2415" t="str">
            <v>CO</v>
          </cell>
          <cell r="F2415">
            <v>42070</v>
          </cell>
          <cell r="G2415">
            <v>42119</v>
          </cell>
          <cell r="H2415">
            <v>49374</v>
          </cell>
          <cell r="I2415" t="str">
            <v>19 years, 10 months, 9 days</v>
          </cell>
          <cell r="J2415" t="str">
            <v>Renewables</v>
          </cell>
          <cell r="K2415" t="str">
            <v>Solar (Rooftop)</v>
          </cell>
          <cell r="L2415" t="str">
            <v>Solar</v>
          </cell>
          <cell r="M2415" t="str">
            <v>Dx</v>
          </cell>
          <cell r="N2415" t="str">
            <v>Verner</v>
          </cell>
          <cell r="O2415" t="str">
            <v>Nipissing</v>
          </cell>
          <cell r="P2415" t="str">
            <v>Northeast</v>
          </cell>
        </row>
        <row r="2416">
          <cell r="C2416" t="str">
            <v>CCS/Stan Adams Fanshawe 80kW</v>
          </cell>
          <cell r="D2416" t="str">
            <v>Solar Income Fund LP (#5)</v>
          </cell>
          <cell r="E2416" t="str">
            <v>CO</v>
          </cell>
          <cell r="F2416">
            <v>42151</v>
          </cell>
          <cell r="G2416">
            <v>42321</v>
          </cell>
          <cell r="H2416">
            <v>49455</v>
          </cell>
          <cell r="I2416" t="str">
            <v>19 years, 6 months, 13 days</v>
          </cell>
          <cell r="J2416" t="str">
            <v>Renewables</v>
          </cell>
          <cell r="K2416" t="str">
            <v>Solar (Rooftop)</v>
          </cell>
          <cell r="L2416" t="str">
            <v>Solar</v>
          </cell>
          <cell r="M2416" t="str">
            <v>Dx</v>
          </cell>
          <cell r="N2416" t="str">
            <v>London</v>
          </cell>
          <cell r="O2416" t="str">
            <v>Middlesex</v>
          </cell>
          <cell r="P2416" t="str">
            <v>West</v>
          </cell>
        </row>
        <row r="2417">
          <cell r="C2417" t="str">
            <v>YCDSB - St. Elizabeth CHS</v>
          </cell>
          <cell r="D2417" t="str">
            <v>Potentia Solar 7 Limited Partnership</v>
          </cell>
          <cell r="E2417" t="str">
            <v>CO</v>
          </cell>
          <cell r="F2417">
            <v>42068</v>
          </cell>
          <cell r="G2417">
            <v>42009</v>
          </cell>
          <cell r="H2417">
            <v>49313</v>
          </cell>
          <cell r="I2417" t="str">
            <v>19 years, 11 months, 30 days</v>
          </cell>
          <cell r="J2417" t="str">
            <v>Renewables</v>
          </cell>
          <cell r="K2417" t="str">
            <v>Solar (Rooftop)</v>
          </cell>
          <cell r="L2417" t="str">
            <v>Solar</v>
          </cell>
          <cell r="M2417" t="str">
            <v>Dx</v>
          </cell>
          <cell r="N2417" t="str">
            <v>Thornhill</v>
          </cell>
          <cell r="O2417" t="str">
            <v>York</v>
          </cell>
          <cell r="P2417" t="str">
            <v>Toronto</v>
          </cell>
        </row>
        <row r="2418">
          <cell r="C2418" t="str">
            <v>Garden Avenue Jr PS</v>
          </cell>
          <cell r="D2418" t="str">
            <v>TSPS (Portfolio 2) Limited Partnership</v>
          </cell>
          <cell r="E2418" t="str">
            <v>CO</v>
          </cell>
          <cell r="F2418">
            <v>42590</v>
          </cell>
          <cell r="G2418">
            <v>42401</v>
          </cell>
          <cell r="H2418">
            <v>49705</v>
          </cell>
          <cell r="I2418" t="str">
            <v>19 years, 11 months, 30 days</v>
          </cell>
          <cell r="J2418" t="str">
            <v>Renewables</v>
          </cell>
          <cell r="K2418" t="str">
            <v>Solar (Rooftop)</v>
          </cell>
          <cell r="L2418" t="str">
            <v>Solar</v>
          </cell>
          <cell r="M2418" t="str">
            <v>Dx</v>
          </cell>
          <cell r="N2418" t="str">
            <v>Toronto</v>
          </cell>
          <cell r="O2418" t="str">
            <v>Toronto</v>
          </cell>
          <cell r="P2418" t="str">
            <v>Toronto</v>
          </cell>
        </row>
        <row r="2419">
          <cell r="C2419" t="str">
            <v>Sir Oliver Mowat CI</v>
          </cell>
          <cell r="D2419" t="str">
            <v>TSPS (Portfolio 1) Limited Partnership</v>
          </cell>
          <cell r="E2419" t="str">
            <v>CO</v>
          </cell>
          <cell r="F2419">
            <v>42611</v>
          </cell>
          <cell r="G2419">
            <v>42180</v>
          </cell>
          <cell r="H2419">
            <v>49484</v>
          </cell>
          <cell r="I2419" t="str">
            <v>19 years, 11 months, 30 days</v>
          </cell>
          <cell r="J2419" t="str">
            <v>Renewables</v>
          </cell>
          <cell r="K2419" t="str">
            <v>Solar (Rooftop)</v>
          </cell>
          <cell r="L2419" t="str">
            <v>Solar</v>
          </cell>
          <cell r="M2419" t="str">
            <v>Dx</v>
          </cell>
          <cell r="N2419" t="str">
            <v>Toronto</v>
          </cell>
          <cell r="O2419" t="str">
            <v>Toronto</v>
          </cell>
          <cell r="P2419" t="str">
            <v>Toronto</v>
          </cell>
        </row>
        <row r="2420">
          <cell r="C2420" t="str">
            <v>FLT ENERGY INC WALLACEBURG</v>
          </cell>
          <cell r="D2420" t="str">
            <v>FLT ENERGY INC.</v>
          </cell>
          <cell r="E2420" t="str">
            <v>CO</v>
          </cell>
          <cell r="F2420">
            <v>42723</v>
          </cell>
          <cell r="G2420">
            <v>41886</v>
          </cell>
          <cell r="H2420">
            <v>49190</v>
          </cell>
          <cell r="I2420" t="str">
            <v>19 years, 11 months, 30 days</v>
          </cell>
          <cell r="J2420" t="str">
            <v>Renewables</v>
          </cell>
          <cell r="K2420" t="str">
            <v>Solar (Ground Mounted)</v>
          </cell>
          <cell r="L2420" t="str">
            <v>Solar</v>
          </cell>
          <cell r="M2420" t="str">
            <v>Dx</v>
          </cell>
          <cell r="N2420" t="str">
            <v>Wallaceburg</v>
          </cell>
          <cell r="O2420" t="str">
            <v>Chatham-Kent</v>
          </cell>
          <cell r="P2420" t="str">
            <v>West</v>
          </cell>
        </row>
        <row r="2421">
          <cell r="C2421" t="str">
            <v>Solvation-F</v>
          </cell>
          <cell r="D2421" t="str">
            <v>SUNSHARE1 LP</v>
          </cell>
          <cell r="E2421" t="str">
            <v>CO</v>
          </cell>
          <cell r="F2421">
            <v>42761</v>
          </cell>
          <cell r="G2421">
            <v>42614</v>
          </cell>
          <cell r="H2421">
            <v>49918</v>
          </cell>
          <cell r="I2421" t="str">
            <v>19 years, 11 months, 30 days</v>
          </cell>
          <cell r="J2421" t="str">
            <v>Renewables</v>
          </cell>
          <cell r="K2421" t="str">
            <v>Solar (Ground Mounted)</v>
          </cell>
          <cell r="L2421" t="str">
            <v>Solar</v>
          </cell>
          <cell r="M2421" t="str">
            <v>Dx</v>
          </cell>
          <cell r="N2421" t="str">
            <v>Blind River</v>
          </cell>
          <cell r="O2421" t="str">
            <v>Algoma</v>
          </cell>
          <cell r="P2421" t="str">
            <v>Northeast</v>
          </cell>
        </row>
        <row r="2422">
          <cell r="C2422" t="str">
            <v>Clairlea PS</v>
          </cell>
          <cell r="D2422" t="str">
            <v>TSPS (Portfolio 1) Limited Partnership</v>
          </cell>
          <cell r="E2422" t="str">
            <v>CO</v>
          </cell>
          <cell r="F2422">
            <v>42583</v>
          </cell>
          <cell r="G2422">
            <v>42003</v>
          </cell>
          <cell r="H2422">
            <v>49307</v>
          </cell>
          <cell r="I2422" t="str">
            <v>19 years, 11 months, 29 days</v>
          </cell>
          <cell r="J2422" t="str">
            <v>Renewables</v>
          </cell>
          <cell r="K2422" t="str">
            <v>Solar (Rooftop)</v>
          </cell>
          <cell r="L2422" t="str">
            <v>Solar</v>
          </cell>
          <cell r="M2422" t="str">
            <v>Dx</v>
          </cell>
          <cell r="N2422" t="str">
            <v>Toronto</v>
          </cell>
          <cell r="O2422" t="str">
            <v>Toronto</v>
          </cell>
          <cell r="P2422" t="str">
            <v>Toronto</v>
          </cell>
        </row>
        <row r="2423">
          <cell r="C2423" t="str">
            <v>Gulfstream PS</v>
          </cell>
          <cell r="D2423" t="str">
            <v>TSPS (Portfolio 1) Limited Partnership</v>
          </cell>
          <cell r="E2423" t="str">
            <v>CO</v>
          </cell>
          <cell r="F2423">
            <v>42597</v>
          </cell>
          <cell r="G2423">
            <v>42118</v>
          </cell>
          <cell r="H2423">
            <v>49422</v>
          </cell>
          <cell r="I2423" t="str">
            <v>19 years, 11 months, 30 days</v>
          </cell>
          <cell r="J2423" t="str">
            <v>Renewables</v>
          </cell>
          <cell r="K2423" t="str">
            <v>Solar (Rooftop)</v>
          </cell>
          <cell r="L2423" t="str">
            <v>Solar</v>
          </cell>
          <cell r="M2423" t="str">
            <v>Dx</v>
          </cell>
          <cell r="N2423" t="str">
            <v>Toronto</v>
          </cell>
          <cell r="O2423" t="str">
            <v>Toronto</v>
          </cell>
          <cell r="P2423" t="str">
            <v>Toronto</v>
          </cell>
        </row>
        <row r="2424">
          <cell r="C2424" t="str">
            <v>FRITZ (Hallowell - West)</v>
          </cell>
          <cell r="D2424" t="str">
            <v>PRI Solar Gardens LP</v>
          </cell>
          <cell r="E2424" t="str">
            <v>CO</v>
          </cell>
          <cell r="F2424">
            <v>42715</v>
          </cell>
          <cell r="G2424">
            <v>42460</v>
          </cell>
          <cell r="H2424">
            <v>49764</v>
          </cell>
          <cell r="I2424" t="str">
            <v>19 years, 11 months, 28 days</v>
          </cell>
          <cell r="J2424" t="str">
            <v>Renewables</v>
          </cell>
          <cell r="K2424" t="str">
            <v>Solar (Ground Mounted)</v>
          </cell>
          <cell r="L2424" t="str">
            <v>Solar</v>
          </cell>
          <cell r="M2424" t="str">
            <v>Dx</v>
          </cell>
          <cell r="N2424" t="str">
            <v>Demorestville</v>
          </cell>
          <cell r="O2424" t="str">
            <v>Prince Edward</v>
          </cell>
          <cell r="P2424" t="str">
            <v>East</v>
          </cell>
        </row>
        <row r="2425">
          <cell r="C2425" t="str">
            <v>Langman Meadow Farms Ltd #2</v>
          </cell>
          <cell r="D2425" t="str">
            <v>SCCEC LP</v>
          </cell>
          <cell r="E2425" t="str">
            <v>CO</v>
          </cell>
          <cell r="F2425">
            <v>42095</v>
          </cell>
          <cell r="G2425">
            <v>41976</v>
          </cell>
          <cell r="H2425">
            <v>49280</v>
          </cell>
          <cell r="I2425" t="str">
            <v>19 years, 11 months, 29 days</v>
          </cell>
          <cell r="J2425" t="str">
            <v>Renewables</v>
          </cell>
          <cell r="K2425" t="str">
            <v>Solar (Rooftop)</v>
          </cell>
          <cell r="L2425" t="str">
            <v>Solar</v>
          </cell>
          <cell r="M2425" t="str">
            <v>Dx</v>
          </cell>
          <cell r="N2425" t="str">
            <v>Elmvale</v>
          </cell>
          <cell r="O2425" t="str">
            <v>Simcoe</v>
          </cell>
          <cell r="P2425" t="str">
            <v>Essa</v>
          </cell>
        </row>
        <row r="2426">
          <cell r="C2426" t="str">
            <v>Maryvale PS</v>
          </cell>
          <cell r="D2426" t="str">
            <v>TSPS (Portfolio 2) Limited Partnership</v>
          </cell>
          <cell r="E2426" t="str">
            <v>CO</v>
          </cell>
          <cell r="F2426">
            <v>42604</v>
          </cell>
          <cell r="G2426">
            <v>42361</v>
          </cell>
          <cell r="H2426">
            <v>49665</v>
          </cell>
          <cell r="I2426" t="str">
            <v>19 years, 11 months, 29 days</v>
          </cell>
          <cell r="J2426" t="str">
            <v>Renewables</v>
          </cell>
          <cell r="K2426" t="str">
            <v>Solar (Rooftop)</v>
          </cell>
          <cell r="L2426" t="str">
            <v>Solar</v>
          </cell>
          <cell r="M2426" t="str">
            <v>Dx</v>
          </cell>
          <cell r="N2426" t="str">
            <v>Toronto</v>
          </cell>
          <cell r="O2426" t="str">
            <v>Toronto</v>
          </cell>
          <cell r="P2426" t="str">
            <v>Toronto</v>
          </cell>
        </row>
        <row r="2427">
          <cell r="C2427" t="str">
            <v>Toronto Zoo Biogas</v>
          </cell>
          <cell r="D2427" t="str">
            <v>ZooShare Biogas LP</v>
          </cell>
          <cell r="E2427" t="str">
            <v>CO</v>
          </cell>
          <cell r="F2427">
            <v>42753</v>
          </cell>
          <cell r="G2427">
            <v>43299</v>
          </cell>
          <cell r="H2427">
            <v>50057</v>
          </cell>
          <cell r="I2427" t="str">
            <v>18 years, 5 months, 30 days</v>
          </cell>
          <cell r="J2427" t="str">
            <v>Renewables</v>
          </cell>
          <cell r="K2427" t="str">
            <v>Bioenergy</v>
          </cell>
          <cell r="L2427" t="str">
            <v>Biogas</v>
          </cell>
          <cell r="M2427" t="str">
            <v>Dx</v>
          </cell>
          <cell r="N2427" t="str">
            <v>Toronto</v>
          </cell>
          <cell r="O2427" t="str">
            <v>Toronto</v>
          </cell>
          <cell r="P2427" t="str">
            <v>Toronto</v>
          </cell>
        </row>
        <row r="2428">
          <cell r="C2428" t="str">
            <v>P169</v>
          </cell>
          <cell r="D2428" t="str">
            <v>Reliant First Nation Limited Partnership</v>
          </cell>
          <cell r="E2428" t="str">
            <v>CO</v>
          </cell>
          <cell r="F2428">
            <v>42989</v>
          </cell>
          <cell r="G2428">
            <v>43090</v>
          </cell>
          <cell r="H2428">
            <v>50293</v>
          </cell>
          <cell r="I2428" t="str">
            <v>19 years, 8 months, 20 days</v>
          </cell>
          <cell r="J2428" t="str">
            <v>Renewables</v>
          </cell>
          <cell r="K2428" t="str">
            <v>Solar (Rooftop)</v>
          </cell>
          <cell r="L2428" t="str">
            <v>Solar</v>
          </cell>
          <cell r="M2428" t="str">
            <v>Dx</v>
          </cell>
          <cell r="N2428" t="str">
            <v>Brampton</v>
          </cell>
          <cell r="O2428" t="str">
            <v>Peel</v>
          </cell>
          <cell r="P2428" t="str">
            <v>Toronto</v>
          </cell>
        </row>
        <row r="2429">
          <cell r="C2429" t="str">
            <v>EMP-2315 FAIRGROUNDS</v>
          </cell>
          <cell r="D2429" t="str">
            <v>2387276 Ontario Inc.</v>
          </cell>
          <cell r="E2429" t="str">
            <v>CO</v>
          </cell>
          <cell r="F2429">
            <v>42657</v>
          </cell>
          <cell r="G2429">
            <v>42843</v>
          </cell>
          <cell r="H2429">
            <v>49961</v>
          </cell>
          <cell r="I2429" t="str">
            <v>19 years, 5 months, 25 days</v>
          </cell>
          <cell r="J2429" t="str">
            <v>Renewables</v>
          </cell>
          <cell r="K2429" t="str">
            <v>Solar (Rooftop)</v>
          </cell>
          <cell r="L2429" t="str">
            <v>Solar</v>
          </cell>
          <cell r="M2429" t="str">
            <v>Dx</v>
          </cell>
          <cell r="N2429" t="str">
            <v>Wasaga Beach</v>
          </cell>
          <cell r="O2429" t="str">
            <v>Simcoe</v>
          </cell>
          <cell r="P2429" t="str">
            <v>Southwest</v>
          </cell>
        </row>
        <row r="2430">
          <cell r="C2430" t="str">
            <v>LDCSB Riverbend</v>
          </cell>
          <cell r="D2430" t="str">
            <v>Ameresco LDCSB Solar Inc.</v>
          </cell>
          <cell r="E2430" t="str">
            <v>CO</v>
          </cell>
          <cell r="F2430">
            <v>42609</v>
          </cell>
          <cell r="G2430">
            <v>42576</v>
          </cell>
          <cell r="H2430">
            <v>49880</v>
          </cell>
          <cell r="I2430" t="str">
            <v>19 years, 11 months, 29 days</v>
          </cell>
          <cell r="J2430" t="str">
            <v>Renewables</v>
          </cell>
          <cell r="K2430" t="str">
            <v>Solar (Rooftop)</v>
          </cell>
          <cell r="L2430" t="str">
            <v>Solar</v>
          </cell>
          <cell r="M2430" t="str">
            <v>Dx</v>
          </cell>
          <cell r="N2430" t="str">
            <v>London</v>
          </cell>
          <cell r="O2430" t="str">
            <v>Middlesex</v>
          </cell>
          <cell r="P2430" t="str">
            <v>West</v>
          </cell>
        </row>
        <row r="2431">
          <cell r="C2431" t="str">
            <v>GG3-016</v>
          </cell>
          <cell r="D2431" t="str">
            <v>GSC Southlake Solar LP</v>
          </cell>
          <cell r="E2431" t="str">
            <v>CO</v>
          </cell>
          <cell r="F2431">
            <v>42981</v>
          </cell>
          <cell r="G2431">
            <v>43517</v>
          </cell>
          <cell r="H2431">
            <v>50285</v>
          </cell>
          <cell r="I2431" t="str">
            <v>18 years, 6 months, 12 days</v>
          </cell>
          <cell r="J2431" t="str">
            <v>Renewables</v>
          </cell>
          <cell r="K2431" t="str">
            <v>Solar (Ground Mounted)</v>
          </cell>
          <cell r="L2431" t="str">
            <v>Solar</v>
          </cell>
          <cell r="M2431" t="str">
            <v>Dx</v>
          </cell>
          <cell r="N2431" t="str">
            <v>Sturgeon Falls</v>
          </cell>
          <cell r="O2431" t="str">
            <v>Nipissing</v>
          </cell>
          <cell r="P2431" t="str">
            <v>Northeast</v>
          </cell>
        </row>
        <row r="2432">
          <cell r="C2432" t="str">
            <v>EEC Lakeshore MURF Solar PV Project</v>
          </cell>
          <cell r="D2432" t="str">
            <v>Essex Energy Corporation</v>
          </cell>
          <cell r="E2432" t="str">
            <v>CO</v>
          </cell>
          <cell r="F2432">
            <v>42609</v>
          </cell>
          <cell r="G2432">
            <v>42342</v>
          </cell>
          <cell r="H2432">
            <v>49646</v>
          </cell>
          <cell r="I2432" t="str">
            <v>19 years, 11 months, 29 days</v>
          </cell>
          <cell r="J2432" t="str">
            <v>Renewables</v>
          </cell>
          <cell r="K2432" t="str">
            <v>Solar (Rooftop)</v>
          </cell>
          <cell r="L2432" t="str">
            <v>Solar</v>
          </cell>
          <cell r="M2432" t="str">
            <v>Dx</v>
          </cell>
          <cell r="N2432" t="str">
            <v>Belle River</v>
          </cell>
          <cell r="O2432" t="str">
            <v>Essex</v>
          </cell>
          <cell r="P2432" t="str">
            <v>West</v>
          </cell>
        </row>
        <row r="2433">
          <cell r="C2433" t="str">
            <v>13 - Field and Flock Farms</v>
          </cell>
          <cell r="D2433" t="str">
            <v>Amber Solar Inc.</v>
          </cell>
          <cell r="E2433" t="str">
            <v>CO</v>
          </cell>
          <cell r="F2433">
            <v>42653</v>
          </cell>
          <cell r="G2433">
            <v>42873</v>
          </cell>
          <cell r="H2433">
            <v>49957</v>
          </cell>
          <cell r="I2433" t="str">
            <v>19 years, 4 months, 21 days</v>
          </cell>
          <cell r="J2433" t="str">
            <v>Renewables</v>
          </cell>
          <cell r="K2433" t="str">
            <v>Solar (Rooftop)</v>
          </cell>
          <cell r="L2433" t="str">
            <v>Solar</v>
          </cell>
          <cell r="M2433" t="str">
            <v>Dx</v>
          </cell>
          <cell r="N2433" t="str">
            <v>Aylmer</v>
          </cell>
          <cell r="O2433" t="str">
            <v>Elgin</v>
          </cell>
          <cell r="P2433" t="str">
            <v>West</v>
          </cell>
        </row>
        <row r="2434">
          <cell r="C2434" t="str">
            <v>P039</v>
          </cell>
          <cell r="D2434" t="str">
            <v>Reliant First Nation Limited Partnership</v>
          </cell>
          <cell r="E2434" t="str">
            <v>CO</v>
          </cell>
          <cell r="F2434">
            <v>42987</v>
          </cell>
          <cell r="G2434">
            <v>42803</v>
          </cell>
          <cell r="H2434">
            <v>50107</v>
          </cell>
          <cell r="I2434" t="str">
            <v>19 years, 11 months, 27 days</v>
          </cell>
          <cell r="J2434" t="str">
            <v>Renewables</v>
          </cell>
          <cell r="K2434" t="str">
            <v>Solar (Rooftop)</v>
          </cell>
          <cell r="L2434" t="str">
            <v>Solar</v>
          </cell>
          <cell r="M2434" t="str">
            <v>Dx</v>
          </cell>
          <cell r="N2434" t="str">
            <v>Mississauga</v>
          </cell>
          <cell r="O2434" t="str">
            <v>Peel</v>
          </cell>
          <cell r="P2434" t="str">
            <v>Toronto</v>
          </cell>
        </row>
        <row r="2435">
          <cell r="C2435" t="str">
            <v>P135</v>
          </cell>
          <cell r="D2435" t="str">
            <v>Reliant First Nation Limited Partnership</v>
          </cell>
          <cell r="E2435" t="str">
            <v>CO</v>
          </cell>
          <cell r="F2435">
            <v>42982</v>
          </cell>
          <cell r="G2435">
            <v>42794</v>
          </cell>
          <cell r="H2435">
            <v>50098</v>
          </cell>
          <cell r="I2435" t="str">
            <v>19 years, 11 months, 30 days</v>
          </cell>
          <cell r="J2435" t="str">
            <v>Renewables</v>
          </cell>
          <cell r="K2435" t="str">
            <v>Solar (Rooftop)</v>
          </cell>
          <cell r="L2435" t="str">
            <v>Solar</v>
          </cell>
          <cell r="M2435" t="str">
            <v>Dx</v>
          </cell>
          <cell r="N2435" t="str">
            <v>Brampton</v>
          </cell>
          <cell r="O2435" t="str">
            <v>Peel</v>
          </cell>
          <cell r="P2435" t="str">
            <v>Toronto</v>
          </cell>
        </row>
        <row r="2436">
          <cell r="C2436" t="str">
            <v>40 Lewis Rd (GTDL)</v>
          </cell>
          <cell r="D2436" t="str">
            <v>SUNSHARE3 LP</v>
          </cell>
          <cell r="E2436" t="str">
            <v>CO</v>
          </cell>
          <cell r="F2436">
            <v>42666</v>
          </cell>
          <cell r="G2436">
            <v>42614</v>
          </cell>
          <cell r="H2436">
            <v>49918</v>
          </cell>
          <cell r="I2436" t="str">
            <v>19 years, 11 months, 30 days</v>
          </cell>
          <cell r="J2436" t="str">
            <v>Renewables</v>
          </cell>
          <cell r="K2436" t="str">
            <v>Solar (Rooftop)</v>
          </cell>
          <cell r="L2436" t="str">
            <v>Solar</v>
          </cell>
          <cell r="M2436" t="str">
            <v>Dx</v>
          </cell>
          <cell r="N2436" t="str">
            <v>Guelph</v>
          </cell>
          <cell r="O2436" t="str">
            <v>Wellington</v>
          </cell>
          <cell r="P2436" t="str">
            <v>Southwest</v>
          </cell>
        </row>
        <row r="2437">
          <cell r="C2437" t="str">
            <v>367 Woodlawn Rd W (Woodlawn Investments)</v>
          </cell>
          <cell r="D2437" t="str">
            <v>SUNSHARE2 LP</v>
          </cell>
          <cell r="E2437" t="str">
            <v>CO</v>
          </cell>
          <cell r="F2437">
            <v>42653</v>
          </cell>
          <cell r="G2437">
            <v>42534</v>
          </cell>
          <cell r="H2437">
            <v>49838</v>
          </cell>
          <cell r="I2437" t="str">
            <v>19 years, 11 months, 30 days</v>
          </cell>
          <cell r="J2437" t="str">
            <v>Renewables</v>
          </cell>
          <cell r="K2437" t="str">
            <v>Solar (Rooftop)</v>
          </cell>
          <cell r="L2437" t="str">
            <v>Solar</v>
          </cell>
          <cell r="M2437" t="str">
            <v>Dx</v>
          </cell>
          <cell r="N2437" t="str">
            <v>Guelph</v>
          </cell>
          <cell r="O2437" t="str">
            <v>Wellington</v>
          </cell>
          <cell r="P2437" t="str">
            <v>Southwest</v>
          </cell>
        </row>
        <row r="2438">
          <cell r="C2438" t="str">
            <v>35 Sinclair Ave.</v>
          </cell>
          <cell r="D2438" t="str">
            <v>2387280 Ontario Inc.</v>
          </cell>
          <cell r="E2438" t="str">
            <v>CO</v>
          </cell>
          <cell r="F2438">
            <v>42664</v>
          </cell>
          <cell r="G2438">
            <v>42846</v>
          </cell>
          <cell r="H2438">
            <v>49968</v>
          </cell>
          <cell r="I2438" t="str">
            <v>19 years, 5 months, 29 days</v>
          </cell>
          <cell r="J2438" t="str">
            <v>Renewables</v>
          </cell>
          <cell r="K2438" t="str">
            <v>Solar (Rooftop)</v>
          </cell>
          <cell r="L2438" t="str">
            <v>Solar</v>
          </cell>
          <cell r="M2438" t="str">
            <v>Dx</v>
          </cell>
          <cell r="N2438" t="str">
            <v>Halton Hills</v>
          </cell>
          <cell r="O2438" t="str">
            <v>Halton</v>
          </cell>
          <cell r="P2438" t="str">
            <v>Toronto</v>
          </cell>
        </row>
        <row r="2439">
          <cell r="C2439" t="str">
            <v>Carson Horse Arena</v>
          </cell>
          <cell r="D2439" t="str">
            <v>CK Solar Projects LP</v>
          </cell>
          <cell r="E2439" t="str">
            <v>CO</v>
          </cell>
          <cell r="F2439">
            <v>42428</v>
          </cell>
          <cell r="G2439">
            <v>42621</v>
          </cell>
          <cell r="H2439">
            <v>49732</v>
          </cell>
          <cell r="I2439" t="str">
            <v>19 years, 5 months, 19 days</v>
          </cell>
          <cell r="J2439" t="str">
            <v>Renewables</v>
          </cell>
          <cell r="K2439" t="str">
            <v>Solar (Rooftop)</v>
          </cell>
          <cell r="L2439" t="str">
            <v>Solar</v>
          </cell>
          <cell r="M2439" t="str">
            <v>Dx</v>
          </cell>
          <cell r="N2439" t="str">
            <v>Listowel</v>
          </cell>
          <cell r="O2439" t="str">
            <v>Perth</v>
          </cell>
          <cell r="P2439" t="str">
            <v>Southwest</v>
          </cell>
        </row>
        <row r="2440">
          <cell r="C2440" t="str">
            <v>GE065B</v>
          </cell>
          <cell r="D2440" t="str">
            <v>SIF #2 Reliant Essex LP</v>
          </cell>
          <cell r="E2440" t="str">
            <v>CO</v>
          </cell>
          <cell r="F2440">
            <v>42664</v>
          </cell>
          <cell r="G2440">
            <v>42846</v>
          </cell>
          <cell r="H2440">
            <v>49968</v>
          </cell>
          <cell r="I2440" t="str">
            <v>19 years, 5 months, 29 days</v>
          </cell>
          <cell r="J2440" t="str">
            <v>Renewables</v>
          </cell>
          <cell r="K2440" t="str">
            <v>Solar (Rooftop)</v>
          </cell>
          <cell r="L2440" t="str">
            <v>Solar</v>
          </cell>
          <cell r="M2440" t="str">
            <v>Dx</v>
          </cell>
          <cell r="N2440" t="str">
            <v>Windsor</v>
          </cell>
          <cell r="O2440" t="str">
            <v>Essex</v>
          </cell>
          <cell r="P2440" t="str">
            <v>West</v>
          </cell>
        </row>
        <row r="2441">
          <cell r="C2441" t="str">
            <v>P096</v>
          </cell>
          <cell r="D2441" t="str">
            <v>Reliant First Nation Limited Partnership</v>
          </cell>
          <cell r="E2441" t="str">
            <v>CO</v>
          </cell>
          <cell r="F2441">
            <v>42987</v>
          </cell>
          <cell r="G2441">
            <v>43145</v>
          </cell>
          <cell r="H2441">
            <v>50291</v>
          </cell>
          <cell r="I2441" t="str">
            <v>19 years, 6 months, 25 days</v>
          </cell>
          <cell r="J2441" t="str">
            <v>Renewables</v>
          </cell>
          <cell r="K2441" t="str">
            <v>Solar (Rooftop)</v>
          </cell>
          <cell r="L2441" t="str">
            <v>Solar</v>
          </cell>
          <cell r="M2441" t="str">
            <v>Dx</v>
          </cell>
          <cell r="N2441" t="str">
            <v>Mississauga</v>
          </cell>
          <cell r="O2441" t="str">
            <v>Peel</v>
          </cell>
          <cell r="P2441" t="str">
            <v>Toronto</v>
          </cell>
        </row>
        <row r="2442">
          <cell r="C2442" t="str">
            <v>P180</v>
          </cell>
          <cell r="D2442" t="str">
            <v>Reliant First Nation Limited Partnership</v>
          </cell>
          <cell r="E2442" t="str">
            <v>CO</v>
          </cell>
          <cell r="F2442">
            <v>42982</v>
          </cell>
          <cell r="G2442">
            <v>43076</v>
          </cell>
          <cell r="H2442">
            <v>50286</v>
          </cell>
          <cell r="I2442" t="str">
            <v>19 years, 8 months, 27 days</v>
          </cell>
          <cell r="J2442" t="str">
            <v>Renewables</v>
          </cell>
          <cell r="K2442" t="str">
            <v>Solar (Rooftop)</v>
          </cell>
          <cell r="L2442" t="str">
            <v>Solar</v>
          </cell>
          <cell r="M2442" t="str">
            <v>Dx</v>
          </cell>
          <cell r="N2442" t="str">
            <v>Brampton</v>
          </cell>
          <cell r="O2442" t="str">
            <v>Peel</v>
          </cell>
          <cell r="P2442" t="str">
            <v>Toronto</v>
          </cell>
        </row>
        <row r="2443">
          <cell r="C2443" t="str">
            <v>P063</v>
          </cell>
          <cell r="D2443" t="str">
            <v>Reliant First Nation Limited Partnership</v>
          </cell>
          <cell r="E2443" t="str">
            <v>CO</v>
          </cell>
          <cell r="F2443">
            <v>42994</v>
          </cell>
          <cell r="G2443">
            <v>43137</v>
          </cell>
          <cell r="H2443">
            <v>50298</v>
          </cell>
          <cell r="I2443" t="str">
            <v>19 years, 7 months, 9 days</v>
          </cell>
          <cell r="J2443" t="str">
            <v>Renewables</v>
          </cell>
          <cell r="K2443" t="str">
            <v>Solar (Rooftop)</v>
          </cell>
          <cell r="L2443" t="str">
            <v>Solar</v>
          </cell>
          <cell r="M2443" t="str">
            <v>Dx</v>
          </cell>
          <cell r="N2443" t="str">
            <v>Mississauga</v>
          </cell>
          <cell r="O2443" t="str">
            <v>Peel</v>
          </cell>
          <cell r="P2443" t="str">
            <v>Toronto</v>
          </cell>
        </row>
        <row r="2444">
          <cell r="C2444" t="str">
            <v>SPN 016</v>
          </cell>
          <cell r="D2444" t="str">
            <v>SPN LP 1</v>
          </cell>
          <cell r="E2444" t="str">
            <v>CO</v>
          </cell>
          <cell r="F2444">
            <v>42671</v>
          </cell>
          <cell r="G2444">
            <v>42831</v>
          </cell>
          <cell r="H2444">
            <v>49975</v>
          </cell>
          <cell r="I2444" t="str">
            <v>19 years, 6 months, 21 days</v>
          </cell>
          <cell r="J2444" t="str">
            <v>Renewables</v>
          </cell>
          <cell r="K2444" t="str">
            <v>Solar (Rooftop)</v>
          </cell>
          <cell r="L2444" t="str">
            <v>Solar</v>
          </cell>
          <cell r="M2444" t="str">
            <v>Dx</v>
          </cell>
          <cell r="N2444" t="str">
            <v>Windsor</v>
          </cell>
          <cell r="O2444" t="str">
            <v>Essex</v>
          </cell>
          <cell r="P2444" t="str">
            <v>West</v>
          </cell>
        </row>
        <row r="2445">
          <cell r="C2445" t="str">
            <v>QPA Grd 349 - Gravel Pit</v>
          </cell>
          <cell r="D2445" t="str">
            <v>QS4 2012 LP</v>
          </cell>
          <cell r="E2445" t="str">
            <v>CO</v>
          </cell>
          <cell r="F2445">
            <v>42976</v>
          </cell>
          <cell r="G2445">
            <v>43047</v>
          </cell>
          <cell r="H2445">
            <v>50280</v>
          </cell>
          <cell r="I2445" t="str">
            <v>19 years, 9 months, 20 days</v>
          </cell>
          <cell r="J2445" t="str">
            <v>Renewables</v>
          </cell>
          <cell r="K2445" t="str">
            <v>Solar (Ground Mounted)</v>
          </cell>
          <cell r="L2445" t="str">
            <v>Solar</v>
          </cell>
          <cell r="M2445" t="str">
            <v>Dx</v>
          </cell>
          <cell r="N2445" t="str">
            <v>Parkhill</v>
          </cell>
          <cell r="O2445" t="str">
            <v>Middlesex</v>
          </cell>
          <cell r="P2445" t="str">
            <v>Southwest</v>
          </cell>
        </row>
        <row r="2446">
          <cell r="C2446" t="str">
            <v>MALETTE DRAINAGE 250KW</v>
          </cell>
          <cell r="D2446" t="str">
            <v>AP SOLAR LP</v>
          </cell>
          <cell r="E2446" t="str">
            <v>CO</v>
          </cell>
          <cell r="F2446">
            <v>42609</v>
          </cell>
          <cell r="G2446">
            <v>42557</v>
          </cell>
          <cell r="H2446">
            <v>49861</v>
          </cell>
          <cell r="I2446" t="str">
            <v>19 years, 11 months, 29 days</v>
          </cell>
          <cell r="J2446" t="str">
            <v>Renewables</v>
          </cell>
          <cell r="K2446" t="str">
            <v>Solar (Rooftop)</v>
          </cell>
          <cell r="L2446" t="str">
            <v>Solar</v>
          </cell>
          <cell r="M2446" t="str">
            <v>Dx</v>
          </cell>
          <cell r="N2446" t="str">
            <v>Lefaivre</v>
          </cell>
          <cell r="O2446" t="str">
            <v>Prescott and Russell</v>
          </cell>
          <cell r="P2446" t="str">
            <v>Ottawa</v>
          </cell>
        </row>
        <row r="2447">
          <cell r="C2447" t="str">
            <v>P057A</v>
          </cell>
          <cell r="D2447" t="str">
            <v>Reliant First Nation Limited Partnership</v>
          </cell>
          <cell r="E2447" t="str">
            <v>CO</v>
          </cell>
          <cell r="F2447">
            <v>42989</v>
          </cell>
          <cell r="G2447">
            <v>43130</v>
          </cell>
          <cell r="H2447">
            <v>50293</v>
          </cell>
          <cell r="I2447" t="str">
            <v>19 years, 7 months, 11 days</v>
          </cell>
          <cell r="J2447" t="str">
            <v>Renewables</v>
          </cell>
          <cell r="K2447" t="str">
            <v>Solar (Rooftop)</v>
          </cell>
          <cell r="L2447" t="str">
            <v>Solar</v>
          </cell>
          <cell r="M2447" t="str">
            <v>Dx</v>
          </cell>
          <cell r="N2447" t="str">
            <v>Mississauga</v>
          </cell>
          <cell r="O2447" t="str">
            <v>Peel</v>
          </cell>
          <cell r="P2447" t="str">
            <v>Toronto</v>
          </cell>
        </row>
        <row r="2448">
          <cell r="C2448" t="str">
            <v>P149</v>
          </cell>
          <cell r="D2448" t="str">
            <v>Reliant First Nation Limited Partnership</v>
          </cell>
          <cell r="E2448" t="str">
            <v>CO</v>
          </cell>
          <cell r="F2448">
            <v>42989</v>
          </cell>
          <cell r="G2448">
            <v>43091</v>
          </cell>
          <cell r="H2448">
            <v>50293</v>
          </cell>
          <cell r="I2448" t="str">
            <v>19 years, 8 months, 19 days</v>
          </cell>
          <cell r="J2448" t="str">
            <v>Renewables</v>
          </cell>
          <cell r="K2448" t="str">
            <v>Solar (Rooftop)</v>
          </cell>
          <cell r="L2448" t="str">
            <v>Solar</v>
          </cell>
          <cell r="M2448" t="str">
            <v>Dx</v>
          </cell>
          <cell r="N2448" t="str">
            <v>Brampton</v>
          </cell>
          <cell r="O2448" t="str">
            <v>Peel</v>
          </cell>
          <cell r="P2448" t="str">
            <v>Toronto</v>
          </cell>
        </row>
        <row r="2449">
          <cell r="C2449" t="str">
            <v>NSPG Fixed 200 V2</v>
          </cell>
          <cell r="D2449" t="str">
            <v>NORTH SHORE POWER GROUP INC.</v>
          </cell>
          <cell r="E2449" t="str">
            <v>CO</v>
          </cell>
          <cell r="F2449">
            <v>42994</v>
          </cell>
          <cell r="G2449">
            <v>42892</v>
          </cell>
          <cell r="H2449">
            <v>50196</v>
          </cell>
          <cell r="I2449" t="str">
            <v>19 years, 11 months, 30 days</v>
          </cell>
          <cell r="J2449" t="str">
            <v>Renewables</v>
          </cell>
          <cell r="K2449" t="str">
            <v>Solar (Ground Mounted)</v>
          </cell>
          <cell r="L2449" t="str">
            <v>Solar</v>
          </cell>
          <cell r="M2449" t="str">
            <v>Dx</v>
          </cell>
          <cell r="N2449" t="str">
            <v>Blind River</v>
          </cell>
          <cell r="O2449" t="str">
            <v>Algoma</v>
          </cell>
          <cell r="P2449" t="str">
            <v>Northeast</v>
          </cell>
        </row>
        <row r="2450">
          <cell r="C2450" t="str">
            <v>SPN 361</v>
          </cell>
          <cell r="D2450" t="str">
            <v>SPN LP 3</v>
          </cell>
          <cell r="E2450" t="str">
            <v>CO</v>
          </cell>
          <cell r="F2450">
            <v>42653</v>
          </cell>
          <cell r="G2450">
            <v>42829</v>
          </cell>
          <cell r="H2450">
            <v>49957</v>
          </cell>
          <cell r="I2450" t="str">
            <v>19 years, 6 months, 5 days</v>
          </cell>
          <cell r="J2450" t="str">
            <v>Renewables</v>
          </cell>
          <cell r="K2450" t="str">
            <v>Solar (Rooftop)</v>
          </cell>
          <cell r="L2450" t="str">
            <v>Solar</v>
          </cell>
          <cell r="M2450" t="str">
            <v>Dx</v>
          </cell>
          <cell r="N2450" t="str">
            <v>Oakville</v>
          </cell>
          <cell r="O2450" t="str">
            <v>Halton</v>
          </cell>
          <cell r="P2450" t="str">
            <v>Southwest</v>
          </cell>
        </row>
        <row r="2451">
          <cell r="C2451" t="str">
            <v>South Sun 2</v>
          </cell>
          <cell r="D2451" t="str">
            <v>Liam George Thomas McCreery</v>
          </cell>
          <cell r="E2451" t="str">
            <v>CO</v>
          </cell>
          <cell r="F2451">
            <v>42609</v>
          </cell>
          <cell r="G2451">
            <v>42822</v>
          </cell>
          <cell r="H2451">
            <v>49913</v>
          </cell>
          <cell r="I2451" t="str">
            <v>19 years, 4 months, 29 days</v>
          </cell>
          <cell r="J2451" t="str">
            <v>Renewables</v>
          </cell>
          <cell r="K2451" t="str">
            <v>Solar (Rooftop)</v>
          </cell>
          <cell r="L2451" t="str">
            <v>Solar</v>
          </cell>
          <cell r="M2451" t="str">
            <v>Dx</v>
          </cell>
          <cell r="N2451" t="str">
            <v>Woodstock</v>
          </cell>
          <cell r="O2451" t="str">
            <v>Oxford</v>
          </cell>
          <cell r="P2451" t="str">
            <v>Southwest</v>
          </cell>
        </row>
        <row r="2452">
          <cell r="C2452" t="str">
            <v>GE056</v>
          </cell>
          <cell r="D2452" t="str">
            <v>SIF #2 Reliant Essex LP</v>
          </cell>
          <cell r="E2452" t="str">
            <v>CO</v>
          </cell>
          <cell r="F2452">
            <v>42440</v>
          </cell>
          <cell r="G2452">
            <v>42661</v>
          </cell>
          <cell r="H2452">
            <v>49744</v>
          </cell>
          <cell r="I2452" t="str">
            <v>19 years, 4 months, 21 days</v>
          </cell>
          <cell r="J2452" t="str">
            <v>Renewables</v>
          </cell>
          <cell r="K2452" t="str">
            <v>Solar (Rooftop)</v>
          </cell>
          <cell r="L2452" t="str">
            <v>Solar</v>
          </cell>
          <cell r="M2452" t="str">
            <v>Dx</v>
          </cell>
          <cell r="N2452" t="str">
            <v>Windsor</v>
          </cell>
          <cell r="O2452" t="str">
            <v>Essex</v>
          </cell>
          <cell r="P2452" t="str">
            <v>West</v>
          </cell>
        </row>
        <row r="2453">
          <cell r="C2453" t="str">
            <v>GE047</v>
          </cell>
          <cell r="D2453" t="str">
            <v>SIF #2 Reliant Essex LP</v>
          </cell>
          <cell r="E2453" t="str">
            <v>CO</v>
          </cell>
          <cell r="F2453">
            <v>42433</v>
          </cell>
          <cell r="G2453">
            <v>42725</v>
          </cell>
          <cell r="H2453">
            <v>49737</v>
          </cell>
          <cell r="I2453" t="str">
            <v>19 years, 2 months, 11 days</v>
          </cell>
          <cell r="J2453" t="str">
            <v>Renewables</v>
          </cell>
          <cell r="K2453" t="str">
            <v>Solar (Rooftop)</v>
          </cell>
          <cell r="L2453" t="str">
            <v>Solar</v>
          </cell>
          <cell r="M2453" t="str">
            <v>Dx</v>
          </cell>
          <cell r="N2453" t="str">
            <v>Harrow</v>
          </cell>
          <cell r="O2453" t="str">
            <v>Essex</v>
          </cell>
          <cell r="P2453" t="str">
            <v>West</v>
          </cell>
        </row>
        <row r="2454">
          <cell r="C2454" t="str">
            <v>St. Joseph's West 2</v>
          </cell>
          <cell r="D2454" t="str">
            <v>QS15 2012 LP</v>
          </cell>
          <cell r="E2454" t="str">
            <v>CO</v>
          </cell>
          <cell r="F2454">
            <v>42428</v>
          </cell>
          <cell r="G2454">
            <v>42572</v>
          </cell>
          <cell r="H2454">
            <v>49732</v>
          </cell>
          <cell r="I2454" t="str">
            <v>19 years, 7 months, 6 days</v>
          </cell>
          <cell r="J2454" t="str">
            <v>Renewables</v>
          </cell>
          <cell r="K2454" t="str">
            <v>Solar (Rooftop)</v>
          </cell>
          <cell r="L2454" t="str">
            <v>Solar</v>
          </cell>
          <cell r="M2454" t="str">
            <v>Dx</v>
          </cell>
          <cell r="N2454" t="str">
            <v>Hamilton</v>
          </cell>
          <cell r="O2454" t="str">
            <v>Hamilton</v>
          </cell>
          <cell r="P2454" t="str">
            <v>Southwest</v>
          </cell>
        </row>
        <row r="2455">
          <cell r="C2455" t="str">
            <v>P126</v>
          </cell>
          <cell r="D2455" t="str">
            <v>Reliant First Nation Limited Partnership</v>
          </cell>
          <cell r="E2455" t="str">
            <v>CO</v>
          </cell>
          <cell r="F2455">
            <v>42989</v>
          </cell>
          <cell r="G2455">
            <v>42961</v>
          </cell>
          <cell r="H2455">
            <v>50265</v>
          </cell>
          <cell r="I2455" t="str">
            <v>19 years, 11 months, 30 days</v>
          </cell>
          <cell r="J2455" t="str">
            <v>Renewables</v>
          </cell>
          <cell r="K2455" t="str">
            <v>Solar (Rooftop)</v>
          </cell>
          <cell r="L2455" t="str">
            <v>Solar</v>
          </cell>
          <cell r="M2455" t="str">
            <v>Dx</v>
          </cell>
          <cell r="N2455" t="str">
            <v>Mississauga</v>
          </cell>
          <cell r="O2455" t="str">
            <v>Peel</v>
          </cell>
          <cell r="P2455" t="str">
            <v>Southwest</v>
          </cell>
        </row>
        <row r="2456">
          <cell r="C2456" t="str">
            <v>SPN 353</v>
          </cell>
          <cell r="D2456" t="str">
            <v>SPN LP 2</v>
          </cell>
          <cell r="E2456" t="str">
            <v>CO</v>
          </cell>
          <cell r="F2456">
            <v>42671</v>
          </cell>
          <cell r="G2456">
            <v>42853</v>
          </cell>
          <cell r="H2456">
            <v>49975</v>
          </cell>
          <cell r="I2456" t="str">
            <v>19 years, 5 months, 29 days</v>
          </cell>
          <cell r="J2456" t="str">
            <v>Renewables</v>
          </cell>
          <cell r="K2456" t="str">
            <v>Solar (Rooftop)</v>
          </cell>
          <cell r="L2456" t="str">
            <v>Solar</v>
          </cell>
          <cell r="M2456" t="str">
            <v>Dx</v>
          </cell>
          <cell r="N2456" t="str">
            <v>Tilbury</v>
          </cell>
          <cell r="O2456" t="str">
            <v>Chatham-Kent</v>
          </cell>
          <cell r="P2456" t="str">
            <v>West</v>
          </cell>
        </row>
        <row r="2457">
          <cell r="C2457" t="str">
            <v>GE009</v>
          </cell>
          <cell r="D2457" t="str">
            <v>SIF #2 Reliant Essex LP</v>
          </cell>
          <cell r="E2457" t="str">
            <v>CO</v>
          </cell>
          <cell r="F2457">
            <v>42438</v>
          </cell>
          <cell r="G2457">
            <v>42598</v>
          </cell>
          <cell r="H2457">
            <v>49742</v>
          </cell>
          <cell r="I2457" t="str">
            <v>19 years, 6 months, 21 days</v>
          </cell>
          <cell r="J2457" t="str">
            <v>Renewables</v>
          </cell>
          <cell r="K2457" t="str">
            <v>Solar (Rooftop)</v>
          </cell>
          <cell r="L2457" t="str">
            <v>Solar</v>
          </cell>
          <cell r="M2457" t="str">
            <v>Dx</v>
          </cell>
          <cell r="N2457" t="str">
            <v>Windsor</v>
          </cell>
          <cell r="O2457" t="str">
            <v>Essex</v>
          </cell>
          <cell r="P2457" t="str">
            <v>West</v>
          </cell>
        </row>
        <row r="2458">
          <cell r="C2458" t="str">
            <v>SPN 334</v>
          </cell>
          <cell r="D2458" t="str">
            <v>SPN LP 2</v>
          </cell>
          <cell r="E2458" t="str">
            <v>CO</v>
          </cell>
          <cell r="F2458">
            <v>42671</v>
          </cell>
          <cell r="G2458">
            <v>42852</v>
          </cell>
          <cell r="H2458">
            <v>49975</v>
          </cell>
          <cell r="I2458" t="str">
            <v>19 years, 6 months, 0 days</v>
          </cell>
          <cell r="J2458" t="str">
            <v>Renewables</v>
          </cell>
          <cell r="K2458" t="str">
            <v>Solar (Rooftop)</v>
          </cell>
          <cell r="L2458" t="str">
            <v>Solar</v>
          </cell>
          <cell r="M2458" t="str">
            <v>Dx</v>
          </cell>
          <cell r="N2458" t="str">
            <v>Wallaceburg</v>
          </cell>
          <cell r="O2458" t="str">
            <v>Chatham-Kent</v>
          </cell>
          <cell r="P2458" t="str">
            <v>West</v>
          </cell>
        </row>
        <row r="2459">
          <cell r="C2459" t="str">
            <v>P218</v>
          </cell>
          <cell r="D2459" t="str">
            <v>Reliant First Nation Limited Partnership</v>
          </cell>
          <cell r="E2459" t="str">
            <v>CO</v>
          </cell>
          <cell r="F2459">
            <v>42994</v>
          </cell>
          <cell r="G2459">
            <v>42804</v>
          </cell>
          <cell r="H2459">
            <v>50108</v>
          </cell>
          <cell r="I2459" t="str">
            <v>19 years, 11 months, 27 days</v>
          </cell>
          <cell r="J2459" t="str">
            <v>Renewables</v>
          </cell>
          <cell r="K2459" t="str">
            <v>Solar (Rooftop)</v>
          </cell>
          <cell r="L2459" t="str">
            <v>Solar</v>
          </cell>
          <cell r="M2459" t="str">
            <v>Dx</v>
          </cell>
          <cell r="N2459" t="str">
            <v>Mississauga</v>
          </cell>
          <cell r="O2459" t="str">
            <v>Peel</v>
          </cell>
          <cell r="P2459" t="str">
            <v>Toronto</v>
          </cell>
        </row>
        <row r="2460">
          <cell r="C2460" t="str">
            <v>SFF 17</v>
          </cell>
          <cell r="D2460" t="str">
            <v>2387282 Ontario Inc.</v>
          </cell>
          <cell r="E2460" t="str">
            <v>CO</v>
          </cell>
          <cell r="F2460">
            <v>43206</v>
          </cell>
          <cell r="G2460">
            <v>43279</v>
          </cell>
          <cell r="H2460">
            <v>50510</v>
          </cell>
          <cell r="I2460" t="str">
            <v>19 years, 9 months, 18 days</v>
          </cell>
          <cell r="J2460" t="str">
            <v>Renewables</v>
          </cell>
          <cell r="K2460" t="str">
            <v>Solar (Ground Mounted)</v>
          </cell>
          <cell r="L2460" t="str">
            <v>Solar</v>
          </cell>
          <cell r="M2460" t="str">
            <v>Dx</v>
          </cell>
          <cell r="N2460" t="str">
            <v>Madoc</v>
          </cell>
          <cell r="O2460" t="str">
            <v>Hastings</v>
          </cell>
          <cell r="P2460" t="str">
            <v>East</v>
          </cell>
        </row>
        <row r="2461">
          <cell r="C2461" t="str">
            <v>P159</v>
          </cell>
          <cell r="D2461" t="str">
            <v>Reliant First Nation Limited Partnership</v>
          </cell>
          <cell r="E2461" t="str">
            <v>CO</v>
          </cell>
          <cell r="F2461">
            <v>42982</v>
          </cell>
          <cell r="G2461">
            <v>43035</v>
          </cell>
          <cell r="H2461">
            <v>50286</v>
          </cell>
          <cell r="I2461" t="str">
            <v>19 years, 10 months, 7 days</v>
          </cell>
          <cell r="J2461" t="str">
            <v>Renewables</v>
          </cell>
          <cell r="K2461" t="str">
            <v>Solar (Rooftop)</v>
          </cell>
          <cell r="L2461" t="str">
            <v>Solar</v>
          </cell>
          <cell r="M2461" t="str">
            <v>Dx</v>
          </cell>
          <cell r="N2461" t="str">
            <v>Brampton</v>
          </cell>
          <cell r="O2461" t="str">
            <v>Peel</v>
          </cell>
          <cell r="P2461" t="str">
            <v>Toronto</v>
          </cell>
        </row>
        <row r="2462">
          <cell r="C2462" t="str">
            <v>EEDI KI2</v>
          </cell>
          <cell r="D2462" t="str">
            <v>Community Solar Assets 4 Limited</v>
          </cell>
          <cell r="E2462" t="str">
            <v>CO</v>
          </cell>
          <cell r="F2462">
            <v>42976</v>
          </cell>
          <cell r="G2462">
            <v>42894</v>
          </cell>
          <cell r="H2462">
            <v>50198</v>
          </cell>
          <cell r="I2462" t="str">
            <v>19 years, 11 months, 30 days</v>
          </cell>
          <cell r="J2462" t="str">
            <v>Renewables</v>
          </cell>
          <cell r="K2462" t="str">
            <v>Solar (Ground Mounted)</v>
          </cell>
          <cell r="L2462" t="str">
            <v>Solar</v>
          </cell>
          <cell r="M2462" t="str">
            <v>Dx</v>
          </cell>
          <cell r="N2462" t="str">
            <v>Kingston</v>
          </cell>
          <cell r="O2462" t="str">
            <v>Frontenac</v>
          </cell>
          <cell r="P2462" t="str">
            <v>East</v>
          </cell>
        </row>
        <row r="2463">
          <cell r="C2463" t="str">
            <v>OT-3637 WESTON</v>
          </cell>
          <cell r="D2463" t="str">
            <v>2387276 Ontario Inc.</v>
          </cell>
          <cell r="E2463" t="str">
            <v>CO</v>
          </cell>
          <cell r="F2463">
            <v>42657</v>
          </cell>
          <cell r="G2463">
            <v>42838</v>
          </cell>
          <cell r="H2463">
            <v>49961</v>
          </cell>
          <cell r="I2463" t="str">
            <v>19 years, 6 months, 0 days</v>
          </cell>
          <cell r="J2463" t="str">
            <v>Renewables</v>
          </cell>
          <cell r="K2463" t="str">
            <v>Solar (Rooftop)</v>
          </cell>
          <cell r="L2463" t="str">
            <v>Solar</v>
          </cell>
          <cell r="M2463" t="str">
            <v>Dx</v>
          </cell>
          <cell r="N2463" t="str">
            <v>Toronto</v>
          </cell>
          <cell r="O2463" t="str">
            <v>Toronto</v>
          </cell>
          <cell r="P2463" t="str">
            <v>Toronto</v>
          </cell>
        </row>
        <row r="2464">
          <cell r="C2464" t="str">
            <v>SPN 333</v>
          </cell>
          <cell r="D2464" t="str">
            <v>SPN LP 2</v>
          </cell>
          <cell r="E2464" t="str">
            <v>CO</v>
          </cell>
          <cell r="F2464">
            <v>42671</v>
          </cell>
          <cell r="G2464">
            <v>42852</v>
          </cell>
          <cell r="H2464">
            <v>49975</v>
          </cell>
          <cell r="I2464" t="str">
            <v>19 years, 6 months, 0 days</v>
          </cell>
          <cell r="J2464" t="str">
            <v>Renewables</v>
          </cell>
          <cell r="K2464" t="str">
            <v>Solar (Rooftop)</v>
          </cell>
          <cell r="L2464" t="str">
            <v>Solar</v>
          </cell>
          <cell r="M2464" t="str">
            <v>Dx</v>
          </cell>
          <cell r="N2464" t="str">
            <v>Wallaceburg</v>
          </cell>
          <cell r="O2464" t="str">
            <v>Chatham-Kent</v>
          </cell>
          <cell r="P2464" t="str">
            <v>West</v>
          </cell>
        </row>
        <row r="2465">
          <cell r="C2465" t="str">
            <v>SunEdison ON-11-0707</v>
          </cell>
          <cell r="D2465" t="str">
            <v>GSC Southlake Solar LP</v>
          </cell>
          <cell r="E2465" t="str">
            <v>CO</v>
          </cell>
          <cell r="F2465">
            <v>42980</v>
          </cell>
          <cell r="G2465">
            <v>43266</v>
          </cell>
          <cell r="H2465">
            <v>50284</v>
          </cell>
          <cell r="I2465" t="str">
            <v>19 years, 2 months, 17 days</v>
          </cell>
          <cell r="J2465" t="str">
            <v>Renewables</v>
          </cell>
          <cell r="K2465" t="str">
            <v>Solar (Ground Mounted)</v>
          </cell>
          <cell r="L2465" t="str">
            <v>Solar</v>
          </cell>
          <cell r="M2465" t="str">
            <v>Dx</v>
          </cell>
          <cell r="N2465" t="str">
            <v>Hillsburgh</v>
          </cell>
          <cell r="O2465" t="str">
            <v>Wellington</v>
          </cell>
          <cell r="P2465" t="str">
            <v>Southwest</v>
          </cell>
        </row>
        <row r="2466">
          <cell r="C2466" t="str">
            <v>London Optimist Sports Centre</v>
          </cell>
          <cell r="D2466" t="str">
            <v>ME11 2012 LP</v>
          </cell>
          <cell r="E2466" t="str">
            <v>CO</v>
          </cell>
          <cell r="F2466">
            <v>42429</v>
          </cell>
          <cell r="G2466">
            <v>42396</v>
          </cell>
          <cell r="H2466">
            <v>49700</v>
          </cell>
          <cell r="I2466" t="str">
            <v>19 years, 11 months, 30 days</v>
          </cell>
          <cell r="J2466" t="str">
            <v>Renewables</v>
          </cell>
          <cell r="K2466" t="str">
            <v>Solar (Rooftop)</v>
          </cell>
          <cell r="L2466" t="str">
            <v>Solar</v>
          </cell>
          <cell r="M2466" t="str">
            <v>Dx</v>
          </cell>
          <cell r="N2466" t="str">
            <v>London</v>
          </cell>
          <cell r="O2466" t="str">
            <v>Middlesex</v>
          </cell>
          <cell r="P2466" t="str">
            <v>West</v>
          </cell>
        </row>
        <row r="2467">
          <cell r="C2467" t="str">
            <v>P205</v>
          </cell>
          <cell r="D2467" t="str">
            <v>Reliant First Nation Limited Partnership</v>
          </cell>
          <cell r="E2467" t="str">
            <v>CO</v>
          </cell>
          <cell r="F2467">
            <v>42989</v>
          </cell>
          <cell r="G2467">
            <v>42852</v>
          </cell>
          <cell r="H2467">
            <v>50156</v>
          </cell>
          <cell r="I2467" t="str">
            <v>19 years, 11 months, 30 days</v>
          </cell>
          <cell r="J2467" t="str">
            <v>Renewables</v>
          </cell>
          <cell r="K2467" t="str">
            <v>Solar (Rooftop)</v>
          </cell>
          <cell r="L2467" t="str">
            <v>Solar</v>
          </cell>
          <cell r="M2467" t="str">
            <v>Dx</v>
          </cell>
          <cell r="N2467" t="str">
            <v>Brampton</v>
          </cell>
          <cell r="O2467" t="str">
            <v>Peel</v>
          </cell>
          <cell r="P2467" t="str">
            <v>Toronto</v>
          </cell>
        </row>
        <row r="2468">
          <cell r="C2468" t="str">
            <v>Ron Van Geel</v>
          </cell>
          <cell r="D2468" t="str">
            <v>QS4 2012 LP</v>
          </cell>
          <cell r="E2468" t="str">
            <v>CO</v>
          </cell>
          <cell r="F2468">
            <v>42976</v>
          </cell>
          <cell r="G2468">
            <v>42996</v>
          </cell>
          <cell r="H2468">
            <v>50280</v>
          </cell>
          <cell r="I2468" t="str">
            <v>19 years, 11 months, 10 days</v>
          </cell>
          <cell r="J2468" t="str">
            <v>Renewables</v>
          </cell>
          <cell r="K2468" t="str">
            <v>Solar (Ground Mounted)</v>
          </cell>
          <cell r="L2468" t="str">
            <v>Solar</v>
          </cell>
          <cell r="M2468" t="str">
            <v>Dx</v>
          </cell>
          <cell r="N2468" t="str">
            <v>Lucan</v>
          </cell>
          <cell r="O2468" t="str">
            <v>Middlesex</v>
          </cell>
          <cell r="P2468" t="str">
            <v>Southwest</v>
          </cell>
        </row>
        <row r="2469">
          <cell r="C2469" t="str">
            <v>QPA 346 - Works Dept. Roof</v>
          </cell>
          <cell r="D2469" t="str">
            <v>QS4 2012 LP</v>
          </cell>
          <cell r="E2469" t="str">
            <v>CO</v>
          </cell>
          <cell r="F2469">
            <v>42428</v>
          </cell>
          <cell r="G2469">
            <v>42389</v>
          </cell>
          <cell r="H2469">
            <v>49693</v>
          </cell>
          <cell r="I2469" t="str">
            <v>19 years, 11 months, 30 days</v>
          </cell>
          <cell r="J2469" t="str">
            <v>Renewables</v>
          </cell>
          <cell r="K2469" t="str">
            <v>Solar (Rooftop)</v>
          </cell>
          <cell r="L2469" t="str">
            <v>Solar</v>
          </cell>
          <cell r="M2469" t="str">
            <v>Dx</v>
          </cell>
          <cell r="N2469" t="str">
            <v>Ailsa Craig</v>
          </cell>
          <cell r="O2469" t="str">
            <v>Middlesex</v>
          </cell>
          <cell r="P2469" t="str">
            <v>Southwest</v>
          </cell>
        </row>
        <row r="2470">
          <cell r="C2470" t="str">
            <v>Wheeler_10020842v4</v>
          </cell>
          <cell r="D2470" t="str">
            <v>Skyline Private Opportunities Corp.</v>
          </cell>
          <cell r="E2470" t="str">
            <v>CO</v>
          </cell>
          <cell r="F2470">
            <v>42609</v>
          </cell>
          <cell r="G2470">
            <v>42648</v>
          </cell>
          <cell r="H2470">
            <v>49913</v>
          </cell>
          <cell r="I2470" t="str">
            <v>19 years, 10 months, 21 days</v>
          </cell>
          <cell r="J2470" t="str">
            <v>Renewables</v>
          </cell>
          <cell r="K2470" t="str">
            <v>Solar (Rooftop)</v>
          </cell>
          <cell r="L2470" t="str">
            <v>Solar</v>
          </cell>
          <cell r="M2470" t="str">
            <v>Dx</v>
          </cell>
          <cell r="N2470" t="str">
            <v>Lanark</v>
          </cell>
          <cell r="O2470" t="str">
            <v>Lanark</v>
          </cell>
          <cell r="P2470" t="str">
            <v>East</v>
          </cell>
        </row>
        <row r="2471">
          <cell r="C2471" t="str">
            <v>SPN 318</v>
          </cell>
          <cell r="D2471" t="str">
            <v>SPN LP 7</v>
          </cell>
          <cell r="E2471" t="str">
            <v>CO</v>
          </cell>
          <cell r="F2471">
            <v>42659</v>
          </cell>
          <cell r="G2471">
            <v>42837</v>
          </cell>
          <cell r="H2471">
            <v>49963</v>
          </cell>
          <cell r="I2471" t="str">
            <v>19 years, 6 months, 3 days</v>
          </cell>
          <cell r="J2471" t="str">
            <v>Renewables</v>
          </cell>
          <cell r="K2471" t="str">
            <v>Solar (Rooftop)</v>
          </cell>
          <cell r="L2471" t="str">
            <v>Solar</v>
          </cell>
          <cell r="M2471" t="str">
            <v>Dx</v>
          </cell>
          <cell r="N2471" t="str">
            <v>Toronto</v>
          </cell>
          <cell r="O2471" t="str">
            <v>Toronto</v>
          </cell>
          <cell r="P2471" t="str">
            <v>Toronto</v>
          </cell>
        </row>
        <row r="2472">
          <cell r="C2472" t="str">
            <v>St. Gabriel Catholic Elementary School</v>
          </cell>
          <cell r="D2472" t="str">
            <v>Ottawa Catholic District School Board</v>
          </cell>
          <cell r="E2472" t="str">
            <v>CO</v>
          </cell>
          <cell r="F2472">
            <v>42447</v>
          </cell>
          <cell r="G2472">
            <v>42576</v>
          </cell>
          <cell r="H2472">
            <v>49751</v>
          </cell>
          <cell r="I2472" t="str">
            <v>19 years, 7 months, 21 days</v>
          </cell>
          <cell r="J2472" t="str">
            <v>Renewables</v>
          </cell>
          <cell r="K2472" t="str">
            <v>Solar (Rooftop)</v>
          </cell>
          <cell r="L2472" t="str">
            <v>Solar</v>
          </cell>
          <cell r="M2472" t="str">
            <v>Dx</v>
          </cell>
          <cell r="N2472" t="str">
            <v>Ottawa</v>
          </cell>
          <cell r="O2472" t="str">
            <v>Ottawa</v>
          </cell>
          <cell r="P2472" t="str">
            <v>Ottawa</v>
          </cell>
        </row>
        <row r="2473">
          <cell r="C2473" t="str">
            <v>Heart Lake CRC Rooftop Solar PV Project</v>
          </cell>
          <cell r="D2473" t="str">
            <v>The Regional Municipality of Peel</v>
          </cell>
          <cell r="E2473" t="str">
            <v>CO</v>
          </cell>
          <cell r="F2473">
            <v>42447</v>
          </cell>
          <cell r="G2473">
            <v>42444</v>
          </cell>
          <cell r="H2473">
            <v>49748</v>
          </cell>
          <cell r="I2473" t="str">
            <v>19 years, 11 months, 28 days</v>
          </cell>
          <cell r="J2473" t="str">
            <v>Renewables</v>
          </cell>
          <cell r="K2473" t="str">
            <v>Solar (Rooftop)</v>
          </cell>
          <cell r="L2473" t="str">
            <v>Solar</v>
          </cell>
          <cell r="M2473" t="str">
            <v>Dx</v>
          </cell>
          <cell r="N2473" t="str">
            <v>Brampton</v>
          </cell>
          <cell r="O2473" t="str">
            <v>Peel</v>
          </cell>
          <cell r="P2473" t="str">
            <v>Toronto</v>
          </cell>
        </row>
        <row r="2474">
          <cell r="C2474" t="str">
            <v>Solexica - 171 Esna Park</v>
          </cell>
          <cell r="D2474" t="str">
            <v>Solexica Solar Brampton GP</v>
          </cell>
          <cell r="E2474" t="str">
            <v>CO</v>
          </cell>
          <cell r="F2474">
            <v>42666</v>
          </cell>
          <cell r="G2474">
            <v>42830</v>
          </cell>
          <cell r="H2474">
            <v>49970</v>
          </cell>
          <cell r="I2474" t="str">
            <v>19 years, 6 months, 17 days</v>
          </cell>
          <cell r="J2474" t="str">
            <v>Renewables</v>
          </cell>
          <cell r="K2474" t="str">
            <v>Solar (Rooftop)</v>
          </cell>
          <cell r="L2474" t="str">
            <v>Solar</v>
          </cell>
          <cell r="M2474" t="str">
            <v>Dx</v>
          </cell>
          <cell r="N2474" t="str">
            <v>Markham</v>
          </cell>
          <cell r="O2474" t="str">
            <v>York</v>
          </cell>
          <cell r="P2474" t="str">
            <v>Toronto</v>
          </cell>
        </row>
        <row r="2475">
          <cell r="C2475" t="str">
            <v>SPN 534</v>
          </cell>
          <cell r="D2475" t="str">
            <v>SPN LP 3</v>
          </cell>
          <cell r="E2475" t="str">
            <v>CO</v>
          </cell>
          <cell r="F2475">
            <v>42429</v>
          </cell>
          <cell r="G2475">
            <v>42298</v>
          </cell>
          <cell r="H2475">
            <v>49602</v>
          </cell>
          <cell r="I2475" t="str">
            <v>19 years, 11 months, 29 days</v>
          </cell>
          <cell r="J2475" t="str">
            <v>Renewables</v>
          </cell>
          <cell r="K2475" t="str">
            <v>Solar (Rooftop)</v>
          </cell>
          <cell r="L2475" t="str">
            <v>Solar</v>
          </cell>
          <cell r="M2475" t="str">
            <v>Dx</v>
          </cell>
          <cell r="N2475" t="str">
            <v>Dresden</v>
          </cell>
          <cell r="O2475" t="str">
            <v>Chatham-Kent</v>
          </cell>
          <cell r="P2475" t="str">
            <v>West</v>
          </cell>
        </row>
        <row r="2476">
          <cell r="C2476" t="str">
            <v>P209</v>
          </cell>
          <cell r="D2476" t="str">
            <v>Reliant First Nation Limited Partnership</v>
          </cell>
          <cell r="E2476" t="str">
            <v>CO</v>
          </cell>
          <cell r="F2476">
            <v>42433</v>
          </cell>
          <cell r="G2476">
            <v>42613</v>
          </cell>
          <cell r="H2476">
            <v>49737</v>
          </cell>
          <cell r="I2476" t="str">
            <v>19 years, 6 months, 1 days</v>
          </cell>
          <cell r="J2476" t="str">
            <v>Renewables</v>
          </cell>
          <cell r="K2476" t="str">
            <v>Solar (Rooftop)</v>
          </cell>
          <cell r="L2476" t="str">
            <v>Solar</v>
          </cell>
          <cell r="M2476" t="str">
            <v>Dx</v>
          </cell>
          <cell r="N2476" t="str">
            <v>Brampton</v>
          </cell>
          <cell r="O2476" t="str">
            <v>Peel</v>
          </cell>
          <cell r="P2476" t="str">
            <v>Toronto</v>
          </cell>
        </row>
        <row r="2477">
          <cell r="C2477" t="str">
            <v>80 Regal Road 2</v>
          </cell>
          <cell r="D2477" t="str">
            <v>2356932 ONTARIO INC.</v>
          </cell>
          <cell r="E2477" t="str">
            <v>CO</v>
          </cell>
          <cell r="F2477">
            <v>42653</v>
          </cell>
          <cell r="G2477">
            <v>42828</v>
          </cell>
          <cell r="H2477">
            <v>49957</v>
          </cell>
          <cell r="I2477" t="str">
            <v>19 years, 6 months, 6 days</v>
          </cell>
          <cell r="J2477" t="str">
            <v>Renewables</v>
          </cell>
          <cell r="K2477" t="str">
            <v>Solar (Rooftop)</v>
          </cell>
          <cell r="L2477" t="str">
            <v>Solar</v>
          </cell>
          <cell r="M2477" t="str">
            <v>Dx</v>
          </cell>
          <cell r="N2477" t="str">
            <v>Guelph</v>
          </cell>
          <cell r="O2477" t="str">
            <v>Wellington</v>
          </cell>
          <cell r="P2477" t="str">
            <v>Southwest</v>
          </cell>
        </row>
        <row r="2478">
          <cell r="C2478" t="str">
            <v>Northam Building 5</v>
          </cell>
          <cell r="D2478" t="str">
            <v>Orillia Power Generation Corporation</v>
          </cell>
          <cell r="E2478" t="str">
            <v>CO</v>
          </cell>
          <cell r="F2478">
            <v>42445</v>
          </cell>
          <cell r="G2478">
            <v>42626</v>
          </cell>
          <cell r="H2478">
            <v>49749</v>
          </cell>
          <cell r="I2478" t="str">
            <v>19 years, 6 months, 2 days</v>
          </cell>
          <cell r="J2478" t="str">
            <v>Renewables</v>
          </cell>
          <cell r="K2478" t="str">
            <v>Solar (Rooftop)</v>
          </cell>
          <cell r="L2478" t="str">
            <v>Solar</v>
          </cell>
          <cell r="M2478" t="str">
            <v>Dx</v>
          </cell>
          <cell r="N2478" t="str">
            <v>Cobourg</v>
          </cell>
          <cell r="O2478" t="str">
            <v>Northumberland</v>
          </cell>
          <cell r="P2478" t="str">
            <v>East</v>
          </cell>
        </row>
        <row r="2479">
          <cell r="C2479" t="str">
            <v>SPN 094</v>
          </cell>
          <cell r="D2479" t="str">
            <v>SPN LP 3</v>
          </cell>
          <cell r="E2479" t="str">
            <v>CO</v>
          </cell>
          <cell r="F2479">
            <v>42428</v>
          </cell>
          <cell r="G2479">
            <v>42627</v>
          </cell>
          <cell r="H2479">
            <v>49732</v>
          </cell>
          <cell r="I2479" t="str">
            <v>19 years, 5 months, 13 days</v>
          </cell>
          <cell r="J2479" t="str">
            <v>Renewables</v>
          </cell>
          <cell r="K2479" t="str">
            <v>Solar (Rooftop)</v>
          </cell>
          <cell r="L2479" t="str">
            <v>Solar</v>
          </cell>
          <cell r="M2479" t="str">
            <v>Dx</v>
          </cell>
          <cell r="N2479" t="str">
            <v>Toronto</v>
          </cell>
          <cell r="O2479" t="str">
            <v>Toronto</v>
          </cell>
          <cell r="P2479" t="str">
            <v>Toronto</v>
          </cell>
        </row>
        <row r="2480">
          <cell r="C2480" t="str">
            <v>GreenLife Solar 6</v>
          </cell>
          <cell r="D2480" t="str">
            <v>GreenLife Solar Projects Inc.</v>
          </cell>
          <cell r="E2480" t="str">
            <v>CO</v>
          </cell>
          <cell r="F2480">
            <v>43200</v>
          </cell>
          <cell r="G2480">
            <v>43552</v>
          </cell>
          <cell r="H2480">
            <v>50504</v>
          </cell>
          <cell r="I2480" t="str">
            <v>19 years, 0 months, 12 days</v>
          </cell>
          <cell r="J2480" t="str">
            <v>Renewables</v>
          </cell>
          <cell r="K2480" t="str">
            <v>Solar (Ground Mounted)</v>
          </cell>
          <cell r="L2480" t="str">
            <v>Solar</v>
          </cell>
          <cell r="M2480" t="str">
            <v>Dx</v>
          </cell>
          <cell r="N2480" t="str">
            <v>Castleton</v>
          </cell>
          <cell r="O2480" t="str">
            <v>Northumberland</v>
          </cell>
          <cell r="P2480" t="str">
            <v>East</v>
          </cell>
        </row>
        <row r="2481">
          <cell r="C2481" t="str">
            <v>SFF 23</v>
          </cell>
          <cell r="D2481" t="str">
            <v>2387282 Ontario Inc.</v>
          </cell>
          <cell r="E2481" t="str">
            <v>CO</v>
          </cell>
          <cell r="F2481">
            <v>43204</v>
          </cell>
          <cell r="G2481">
            <v>43278</v>
          </cell>
          <cell r="H2481">
            <v>50508</v>
          </cell>
          <cell r="I2481" t="str">
            <v>19 years, 9 months, 17 days</v>
          </cell>
          <cell r="J2481" t="str">
            <v>Renewables</v>
          </cell>
          <cell r="K2481" t="str">
            <v>Solar (Ground Mounted)</v>
          </cell>
          <cell r="L2481" t="str">
            <v>Solar</v>
          </cell>
          <cell r="M2481" t="str">
            <v>Dx</v>
          </cell>
          <cell r="N2481" t="str">
            <v>Enterprise</v>
          </cell>
          <cell r="O2481" t="str">
            <v>Lennox and Addington</v>
          </cell>
          <cell r="P2481" t="str">
            <v>East</v>
          </cell>
        </row>
        <row r="2482">
          <cell r="C2482" t="str">
            <v>SPN 528</v>
          </cell>
          <cell r="D2482" t="str">
            <v>SPN LP 3</v>
          </cell>
          <cell r="E2482" t="str">
            <v>CO</v>
          </cell>
          <cell r="F2482">
            <v>42429</v>
          </cell>
          <cell r="G2482">
            <v>42509</v>
          </cell>
          <cell r="H2482">
            <v>49733</v>
          </cell>
          <cell r="I2482" t="str">
            <v>19 years, 9 months, 9 days</v>
          </cell>
          <cell r="J2482" t="str">
            <v>Renewables</v>
          </cell>
          <cell r="K2482" t="str">
            <v>Solar (Rooftop)</v>
          </cell>
          <cell r="L2482" t="str">
            <v>Solar</v>
          </cell>
          <cell r="M2482" t="str">
            <v>Dx</v>
          </cell>
          <cell r="N2482" t="str">
            <v>Wallaceburg</v>
          </cell>
          <cell r="O2482" t="str">
            <v>Chatham-Kent</v>
          </cell>
          <cell r="P2482" t="str">
            <v>West</v>
          </cell>
        </row>
        <row r="2483">
          <cell r="C2483" t="str">
            <v>Kipling Acres Phase 2</v>
          </cell>
          <cell r="D2483" t="str">
            <v>City of Toronto</v>
          </cell>
          <cell r="E2483" t="str">
            <v>CO</v>
          </cell>
          <cell r="F2483">
            <v>42609</v>
          </cell>
          <cell r="G2483">
            <v>42934</v>
          </cell>
          <cell r="H2483">
            <v>49913</v>
          </cell>
          <cell r="I2483" t="str">
            <v>19 years, 1 months, 8 days</v>
          </cell>
          <cell r="J2483" t="str">
            <v>Renewables</v>
          </cell>
          <cell r="K2483" t="str">
            <v>Solar (Rooftop)</v>
          </cell>
          <cell r="L2483" t="str">
            <v>Solar</v>
          </cell>
          <cell r="M2483" t="str">
            <v>Dx</v>
          </cell>
          <cell r="N2483" t="str">
            <v>Toronto</v>
          </cell>
          <cell r="O2483" t="str">
            <v>Toronto</v>
          </cell>
          <cell r="P2483" t="str">
            <v>Toronto</v>
          </cell>
        </row>
        <row r="2484">
          <cell r="C2484" t="str">
            <v>P048</v>
          </cell>
          <cell r="D2484" t="str">
            <v>Reliant First Nation Limited Partnership</v>
          </cell>
          <cell r="E2484" t="str">
            <v>CO</v>
          </cell>
          <cell r="F2484">
            <v>42987</v>
          </cell>
          <cell r="G2484">
            <v>42853</v>
          </cell>
          <cell r="H2484">
            <v>50157</v>
          </cell>
          <cell r="I2484" t="str">
            <v>19 years, 11 months, 30 days</v>
          </cell>
          <cell r="J2484" t="str">
            <v>Renewables</v>
          </cell>
          <cell r="K2484" t="str">
            <v>Solar (Rooftop)</v>
          </cell>
          <cell r="L2484" t="str">
            <v>Solar</v>
          </cell>
          <cell r="M2484" t="str">
            <v>Dx</v>
          </cell>
          <cell r="N2484" t="str">
            <v>Brampton</v>
          </cell>
          <cell r="O2484" t="str">
            <v>Peel</v>
          </cell>
          <cell r="P2484" t="str">
            <v>Toronto</v>
          </cell>
        </row>
        <row r="2485">
          <cell r="C2485" t="str">
            <v>SPN 380</v>
          </cell>
          <cell r="D2485" t="str">
            <v>SPN LP 7</v>
          </cell>
          <cell r="E2485" t="str">
            <v>CO</v>
          </cell>
          <cell r="F2485">
            <v>42659</v>
          </cell>
          <cell r="G2485">
            <v>42855</v>
          </cell>
          <cell r="H2485">
            <v>49963</v>
          </cell>
          <cell r="I2485" t="str">
            <v>19 years, 5 months, 15 days</v>
          </cell>
          <cell r="J2485" t="str">
            <v>Renewables</v>
          </cell>
          <cell r="K2485" t="str">
            <v>Solar (Rooftop)</v>
          </cell>
          <cell r="L2485" t="str">
            <v>Solar</v>
          </cell>
          <cell r="M2485" t="str">
            <v>Dx</v>
          </cell>
          <cell r="N2485" t="str">
            <v>Aurora</v>
          </cell>
          <cell r="O2485" t="str">
            <v>York</v>
          </cell>
          <cell r="P2485" t="str">
            <v>Essa</v>
          </cell>
        </row>
        <row r="2486">
          <cell r="C2486" t="str">
            <v>GreenLife Solar 2</v>
          </cell>
          <cell r="D2486" t="str">
            <v>GreenLife Solar Projects Inc.</v>
          </cell>
          <cell r="E2486" t="str">
            <v>CO</v>
          </cell>
          <cell r="F2486">
            <v>43200</v>
          </cell>
          <cell r="G2486">
            <v>43676</v>
          </cell>
          <cell r="H2486">
            <v>50504</v>
          </cell>
          <cell r="I2486" t="str">
            <v>18 years, 8 months, 10 days</v>
          </cell>
          <cell r="J2486" t="str">
            <v>Renewables</v>
          </cell>
          <cell r="K2486" t="str">
            <v>Solar (Ground Mounted)</v>
          </cell>
          <cell r="L2486" t="str">
            <v>Solar</v>
          </cell>
          <cell r="M2486" t="str">
            <v>Dx</v>
          </cell>
          <cell r="N2486" t="str">
            <v>Buckhorn</v>
          </cell>
          <cell r="O2486" t="str">
            <v>Peterborough</v>
          </cell>
          <cell r="P2486" t="str">
            <v>East</v>
          </cell>
        </row>
        <row r="2487">
          <cell r="C2487" t="str">
            <v>OT-475 GARYRAY</v>
          </cell>
          <cell r="D2487" t="str">
            <v>OFIT GM INC.</v>
          </cell>
          <cell r="E2487" t="str">
            <v>CO</v>
          </cell>
          <cell r="F2487">
            <v>42657</v>
          </cell>
          <cell r="G2487">
            <v>42975</v>
          </cell>
          <cell r="H2487">
            <v>49961</v>
          </cell>
          <cell r="I2487" t="str">
            <v>19 years, 1 months, 15 days</v>
          </cell>
          <cell r="J2487" t="str">
            <v>Renewables</v>
          </cell>
          <cell r="K2487" t="str">
            <v>Solar (Rooftop)</v>
          </cell>
          <cell r="L2487" t="str">
            <v>Solar</v>
          </cell>
          <cell r="M2487" t="str">
            <v>Dx</v>
          </cell>
          <cell r="N2487" t="str">
            <v>Toronto</v>
          </cell>
          <cell r="O2487" t="str">
            <v>Toronto</v>
          </cell>
          <cell r="P2487" t="str">
            <v>Toronto</v>
          </cell>
        </row>
        <row r="2488">
          <cell r="C2488" t="str">
            <v>Northam Building 4</v>
          </cell>
          <cell r="D2488" t="str">
            <v>Orillia Power Generation Corporation</v>
          </cell>
          <cell r="E2488" t="str">
            <v>CO</v>
          </cell>
          <cell r="F2488">
            <v>42445</v>
          </cell>
          <cell r="G2488">
            <v>42626</v>
          </cell>
          <cell r="H2488">
            <v>49749</v>
          </cell>
          <cell r="I2488" t="str">
            <v>19 years, 6 months, 2 days</v>
          </cell>
          <cell r="J2488" t="str">
            <v>Renewables</v>
          </cell>
          <cell r="K2488" t="str">
            <v>Solar (Rooftop)</v>
          </cell>
          <cell r="L2488" t="str">
            <v>Solar</v>
          </cell>
          <cell r="M2488" t="str">
            <v>Dx</v>
          </cell>
          <cell r="N2488" t="str">
            <v>Cobourg</v>
          </cell>
          <cell r="O2488" t="str">
            <v>Northumberland</v>
          </cell>
          <cell r="P2488" t="str">
            <v>East</v>
          </cell>
        </row>
        <row r="2489">
          <cell r="C2489" t="str">
            <v>La Cité Collégiale (Orléans)</v>
          </cell>
          <cell r="D2489" t="str">
            <v>Collège d'arts appliqués et de technologie La Cité collégiale</v>
          </cell>
          <cell r="E2489" t="str">
            <v>CO</v>
          </cell>
          <cell r="F2489">
            <v>42432</v>
          </cell>
          <cell r="G2489">
            <v>42321</v>
          </cell>
          <cell r="H2489">
            <v>49625</v>
          </cell>
          <cell r="I2489" t="str">
            <v>19 years, 11 months, 30 days</v>
          </cell>
          <cell r="J2489" t="str">
            <v>Renewables</v>
          </cell>
          <cell r="K2489" t="str">
            <v>Solar (Rooftop)</v>
          </cell>
          <cell r="L2489" t="str">
            <v>Solar</v>
          </cell>
          <cell r="M2489" t="str">
            <v>Dx</v>
          </cell>
          <cell r="N2489" t="str">
            <v>Ottawa</v>
          </cell>
          <cell r="O2489" t="str">
            <v>Ottawa</v>
          </cell>
          <cell r="P2489" t="str">
            <v>Ottawa</v>
          </cell>
        </row>
        <row r="2490">
          <cell r="C2490" t="str">
            <v>GT AR2</v>
          </cell>
          <cell r="D2490" t="str">
            <v>TREC SolarShare Co-operative (No.1) Inc.</v>
          </cell>
          <cell r="E2490" t="str">
            <v>CO</v>
          </cell>
          <cell r="F2490">
            <v>42429</v>
          </cell>
          <cell r="G2490">
            <v>42584</v>
          </cell>
          <cell r="H2490">
            <v>49733</v>
          </cell>
          <cell r="I2490" t="str">
            <v>19 years, 6 months, 26 days</v>
          </cell>
          <cell r="J2490" t="str">
            <v>Renewables</v>
          </cell>
          <cell r="K2490" t="str">
            <v>Solar (Rooftop)</v>
          </cell>
          <cell r="L2490" t="str">
            <v>Solar</v>
          </cell>
          <cell r="M2490" t="str">
            <v>Dx</v>
          </cell>
          <cell r="N2490" t="str">
            <v>Earlton</v>
          </cell>
          <cell r="O2490" t="str">
            <v>Timiskaming</v>
          </cell>
          <cell r="P2490" t="str">
            <v>Northeast</v>
          </cell>
        </row>
        <row r="2491">
          <cell r="C2491" t="str">
            <v>Greenlife Westside</v>
          </cell>
          <cell r="D2491" t="str">
            <v>Halton Standard Condominium Corporation #636</v>
          </cell>
          <cell r="E2491" t="str">
            <v>CO</v>
          </cell>
          <cell r="F2491">
            <v>42609</v>
          </cell>
          <cell r="G2491">
            <v>42402</v>
          </cell>
          <cell r="H2491">
            <v>49706</v>
          </cell>
          <cell r="I2491" t="str">
            <v>19 years, 11 months, 30 days</v>
          </cell>
          <cell r="J2491" t="str">
            <v>Renewables</v>
          </cell>
          <cell r="K2491" t="str">
            <v>Solar (Rooftop)</v>
          </cell>
          <cell r="L2491" t="str">
            <v>Solar</v>
          </cell>
          <cell r="M2491" t="str">
            <v>Dx</v>
          </cell>
          <cell r="N2491" t="str">
            <v>Milton</v>
          </cell>
          <cell r="O2491" t="str">
            <v>Halton</v>
          </cell>
          <cell r="P2491" t="str">
            <v>Southwest</v>
          </cell>
        </row>
        <row r="2492">
          <cell r="C2492" t="str">
            <v>GreenLife Solar 14</v>
          </cell>
          <cell r="D2492" t="str">
            <v>GreenLife Solar Projects Inc.</v>
          </cell>
          <cell r="E2492" t="str">
            <v>CO</v>
          </cell>
          <cell r="F2492">
            <v>43200</v>
          </cell>
          <cell r="G2492">
            <v>43517</v>
          </cell>
          <cell r="H2492">
            <v>50504</v>
          </cell>
          <cell r="I2492" t="str">
            <v>19 years, 1 months, 19 days</v>
          </cell>
          <cell r="J2492" t="str">
            <v>Renewables</v>
          </cell>
          <cell r="K2492" t="str">
            <v>Solar (Ground Mounted)</v>
          </cell>
          <cell r="L2492" t="str">
            <v>Solar</v>
          </cell>
          <cell r="M2492" t="str">
            <v>Dx</v>
          </cell>
          <cell r="N2492" t="str">
            <v>Port Hope</v>
          </cell>
          <cell r="O2492" t="str">
            <v>Northumberland</v>
          </cell>
          <cell r="P2492" t="str">
            <v>East</v>
          </cell>
        </row>
        <row r="2493">
          <cell r="C2493" t="str">
            <v>P139</v>
          </cell>
          <cell r="D2493" t="str">
            <v>Reliant First Nation Limited Partnership</v>
          </cell>
          <cell r="E2493" t="str">
            <v>CO</v>
          </cell>
          <cell r="F2493">
            <v>42982</v>
          </cell>
          <cell r="G2493">
            <v>42815</v>
          </cell>
          <cell r="H2493">
            <v>50119</v>
          </cell>
          <cell r="I2493" t="str">
            <v>19 years, 11 months, 27 days</v>
          </cell>
          <cell r="J2493" t="str">
            <v>Renewables</v>
          </cell>
          <cell r="K2493" t="str">
            <v>Solar (Rooftop)</v>
          </cell>
          <cell r="L2493" t="str">
            <v>Solar</v>
          </cell>
          <cell r="M2493" t="str">
            <v>Dx</v>
          </cell>
          <cell r="N2493" t="str">
            <v>Brampton</v>
          </cell>
          <cell r="O2493" t="str">
            <v>Peel</v>
          </cell>
          <cell r="P2493" t="str">
            <v>Toronto</v>
          </cell>
        </row>
        <row r="2494">
          <cell r="C2494" t="str">
            <v>P007</v>
          </cell>
          <cell r="D2494" t="str">
            <v>Reliant First Nation Limited Partnership</v>
          </cell>
          <cell r="E2494" t="str">
            <v>CO</v>
          </cell>
          <cell r="F2494">
            <v>42989</v>
          </cell>
          <cell r="G2494">
            <v>42831</v>
          </cell>
          <cell r="H2494">
            <v>50135</v>
          </cell>
          <cell r="I2494" t="str">
            <v>19 years, 11 months, 30 days</v>
          </cell>
          <cell r="J2494" t="str">
            <v>Renewables</v>
          </cell>
          <cell r="K2494" t="str">
            <v>Solar (Rooftop)</v>
          </cell>
          <cell r="L2494" t="str">
            <v>Solar</v>
          </cell>
          <cell r="M2494" t="str">
            <v>Dx</v>
          </cell>
          <cell r="N2494" t="str">
            <v>Mississauga</v>
          </cell>
          <cell r="O2494" t="str">
            <v>Peel</v>
          </cell>
          <cell r="P2494" t="str">
            <v>Toronto</v>
          </cell>
        </row>
        <row r="2495">
          <cell r="C2495" t="str">
            <v>Avalon Catholic Elementary School</v>
          </cell>
          <cell r="D2495" t="str">
            <v>Ottawa Catholic District School Board</v>
          </cell>
          <cell r="E2495" t="str">
            <v>CO</v>
          </cell>
          <cell r="F2495">
            <v>42609</v>
          </cell>
          <cell r="G2495">
            <v>42382</v>
          </cell>
          <cell r="H2495">
            <v>49686</v>
          </cell>
          <cell r="I2495" t="str">
            <v>19 years, 11 months, 30 days</v>
          </cell>
          <cell r="J2495" t="str">
            <v>Renewables</v>
          </cell>
          <cell r="K2495" t="str">
            <v>Solar (Rooftop)</v>
          </cell>
          <cell r="L2495" t="str">
            <v>Solar</v>
          </cell>
          <cell r="M2495" t="str">
            <v>Dx</v>
          </cell>
          <cell r="N2495" t="str">
            <v>Ottawa</v>
          </cell>
          <cell r="O2495" t="str">
            <v>Ottawa</v>
          </cell>
          <cell r="P2495" t="str">
            <v>Ottawa</v>
          </cell>
        </row>
        <row r="2496">
          <cell r="C2496" t="str">
            <v>P219</v>
          </cell>
          <cell r="D2496" t="str">
            <v>Reliant First Nation Limited Partnership</v>
          </cell>
          <cell r="E2496" t="str">
            <v>CO</v>
          </cell>
          <cell r="F2496">
            <v>42989</v>
          </cell>
          <cell r="G2496">
            <v>42961</v>
          </cell>
          <cell r="H2496">
            <v>50265</v>
          </cell>
          <cell r="I2496" t="str">
            <v>19 years, 11 months, 30 days</v>
          </cell>
          <cell r="J2496" t="str">
            <v>Renewables</v>
          </cell>
          <cell r="K2496" t="str">
            <v>Solar (Rooftop)</v>
          </cell>
          <cell r="L2496" t="str">
            <v>Solar</v>
          </cell>
          <cell r="M2496" t="str">
            <v>Dx</v>
          </cell>
          <cell r="N2496" t="str">
            <v>Mississauga</v>
          </cell>
          <cell r="O2496" t="str">
            <v>Peel</v>
          </cell>
          <cell r="P2496" t="str">
            <v>Toronto</v>
          </cell>
        </row>
        <row r="2497">
          <cell r="C2497" t="str">
            <v>30 Mumford Dr (Perfetto Manufacturing Ltd.)</v>
          </cell>
          <cell r="D2497" t="str">
            <v>SUNSHARE2 LP</v>
          </cell>
          <cell r="E2497" t="str">
            <v>CO</v>
          </cell>
          <cell r="F2497">
            <v>42666</v>
          </cell>
          <cell r="G2497">
            <v>42761</v>
          </cell>
          <cell r="H2497">
            <v>49970</v>
          </cell>
          <cell r="I2497" t="str">
            <v>19 years, 8 months, 26 days</v>
          </cell>
          <cell r="J2497" t="str">
            <v>Renewables</v>
          </cell>
          <cell r="K2497" t="str">
            <v>Solar (Rooftop)</v>
          </cell>
          <cell r="L2497" t="str">
            <v>Solar</v>
          </cell>
          <cell r="M2497" t="str">
            <v>Dx</v>
          </cell>
          <cell r="N2497" t="str">
            <v>Lively</v>
          </cell>
          <cell r="O2497" t="str">
            <v>Greater Sudbury</v>
          </cell>
          <cell r="P2497" t="str">
            <v>Northeast</v>
          </cell>
        </row>
        <row r="2498">
          <cell r="C2498" t="str">
            <v>660 Superior Dr (Salus Marine Wear)</v>
          </cell>
          <cell r="D2498" t="str">
            <v>SUNSHARE1 LP</v>
          </cell>
          <cell r="E2498" t="str">
            <v>CO</v>
          </cell>
          <cell r="F2498">
            <v>42429</v>
          </cell>
          <cell r="G2498">
            <v>42349</v>
          </cell>
          <cell r="H2498">
            <v>49653</v>
          </cell>
          <cell r="I2498" t="str">
            <v>19 years, 11 months, 29 days</v>
          </cell>
          <cell r="J2498" t="str">
            <v>Renewables</v>
          </cell>
          <cell r="K2498" t="str">
            <v>Solar (Rooftop)</v>
          </cell>
          <cell r="L2498" t="str">
            <v>Solar</v>
          </cell>
          <cell r="M2498" t="str">
            <v>Dx</v>
          </cell>
          <cell r="N2498" t="str">
            <v>Waterloo</v>
          </cell>
          <cell r="O2498" t="str">
            <v>Waterloo</v>
          </cell>
          <cell r="P2498" t="str">
            <v>Southwest</v>
          </cell>
        </row>
        <row r="2499">
          <cell r="C2499" t="str">
            <v>OT-49 BAKERSFIELD</v>
          </cell>
          <cell r="D2499" t="str">
            <v>2387276 Ontario Inc.</v>
          </cell>
          <cell r="E2499" t="str">
            <v>CO</v>
          </cell>
          <cell r="F2499">
            <v>42657</v>
          </cell>
          <cell r="G2499">
            <v>42838</v>
          </cell>
          <cell r="H2499">
            <v>49961</v>
          </cell>
          <cell r="I2499" t="str">
            <v>19 years, 6 months, 0 days</v>
          </cell>
          <cell r="J2499" t="str">
            <v>Renewables</v>
          </cell>
          <cell r="K2499" t="str">
            <v>Solar (Rooftop)</v>
          </cell>
          <cell r="L2499" t="str">
            <v>Solar</v>
          </cell>
          <cell r="M2499" t="str">
            <v>Dx</v>
          </cell>
          <cell r="N2499" t="str">
            <v>Toronto</v>
          </cell>
          <cell r="O2499" t="str">
            <v>Toronto</v>
          </cell>
          <cell r="P2499" t="str">
            <v>Toronto</v>
          </cell>
        </row>
        <row r="2500">
          <cell r="C2500" t="str">
            <v>SPN 227</v>
          </cell>
          <cell r="D2500" t="str">
            <v>SPN LP 7</v>
          </cell>
          <cell r="E2500" t="str">
            <v>CO</v>
          </cell>
          <cell r="F2500">
            <v>42659</v>
          </cell>
          <cell r="G2500">
            <v>42843</v>
          </cell>
          <cell r="H2500">
            <v>49963</v>
          </cell>
          <cell r="I2500" t="str">
            <v>19 years, 5 months, 27 days</v>
          </cell>
          <cell r="J2500" t="str">
            <v>Renewables</v>
          </cell>
          <cell r="K2500" t="str">
            <v>Solar (Rooftop)</v>
          </cell>
          <cell r="L2500" t="str">
            <v>Solar</v>
          </cell>
          <cell r="M2500" t="str">
            <v>Dx</v>
          </cell>
          <cell r="N2500" t="str">
            <v>Aurora</v>
          </cell>
          <cell r="O2500" t="str">
            <v>York</v>
          </cell>
          <cell r="P2500" t="str">
            <v>Essa</v>
          </cell>
        </row>
        <row r="2501">
          <cell r="C2501" t="str">
            <v>P117</v>
          </cell>
          <cell r="D2501" t="str">
            <v>Reliant First Nation Limited Partnership</v>
          </cell>
          <cell r="E2501" t="str">
            <v>CO</v>
          </cell>
          <cell r="F2501">
            <v>42987</v>
          </cell>
          <cell r="G2501">
            <v>43117</v>
          </cell>
          <cell r="H2501">
            <v>50291</v>
          </cell>
          <cell r="I2501" t="str">
            <v>19 years, 7 months, 22 days</v>
          </cell>
          <cell r="J2501" t="str">
            <v>Renewables</v>
          </cell>
          <cell r="K2501" t="str">
            <v>Solar (Rooftop)</v>
          </cell>
          <cell r="L2501" t="str">
            <v>Solar</v>
          </cell>
          <cell r="M2501" t="str">
            <v>Dx</v>
          </cell>
          <cell r="N2501" t="str">
            <v>Mississauga</v>
          </cell>
          <cell r="O2501" t="str">
            <v>Peel</v>
          </cell>
          <cell r="P2501" t="str">
            <v>Toronto</v>
          </cell>
        </row>
        <row r="2502">
          <cell r="C2502" t="str">
            <v>QPA Roof 155 - Community Centre</v>
          </cell>
          <cell r="D2502" t="str">
            <v>QS4 2012 LP</v>
          </cell>
          <cell r="E2502" t="str">
            <v>CO</v>
          </cell>
          <cell r="F2502">
            <v>42428</v>
          </cell>
          <cell r="G2502">
            <v>42339</v>
          </cell>
          <cell r="H2502">
            <v>49643</v>
          </cell>
          <cell r="I2502" t="str">
            <v>19 years, 11 months, 29 days</v>
          </cell>
          <cell r="J2502" t="str">
            <v>Renewables</v>
          </cell>
          <cell r="K2502" t="str">
            <v>Solar (Rooftop)</v>
          </cell>
          <cell r="L2502" t="str">
            <v>Solar</v>
          </cell>
          <cell r="M2502" t="str">
            <v>Dx</v>
          </cell>
          <cell r="N2502" t="str">
            <v>Ailsa Craig</v>
          </cell>
          <cell r="O2502" t="str">
            <v>Middlesex</v>
          </cell>
          <cell r="P2502" t="str">
            <v>Southwest</v>
          </cell>
        </row>
        <row r="2503">
          <cell r="C2503" t="str">
            <v>GG3-015</v>
          </cell>
          <cell r="D2503" t="str">
            <v>GSC Southlake Solar LP</v>
          </cell>
          <cell r="E2503" t="str">
            <v>CO</v>
          </cell>
          <cell r="F2503">
            <v>42980</v>
          </cell>
          <cell r="G2503">
            <v>43517</v>
          </cell>
          <cell r="H2503">
            <v>50284</v>
          </cell>
          <cell r="I2503" t="str">
            <v>18 years, 6 months, 11 days</v>
          </cell>
          <cell r="J2503" t="str">
            <v>Renewables</v>
          </cell>
          <cell r="K2503" t="str">
            <v>Solar (Ground Mounted)</v>
          </cell>
          <cell r="L2503" t="str">
            <v>Solar</v>
          </cell>
          <cell r="M2503" t="str">
            <v>Dx</v>
          </cell>
          <cell r="N2503" t="str">
            <v>Sturgeon Falls</v>
          </cell>
          <cell r="O2503" t="str">
            <v>Nipissing</v>
          </cell>
          <cell r="P2503" t="str">
            <v>Northeast</v>
          </cell>
        </row>
        <row r="2504">
          <cell r="C2504" t="str">
            <v>QPA Roof 2</v>
          </cell>
          <cell r="D2504" t="str">
            <v>QS4 2012 LP</v>
          </cell>
          <cell r="E2504" t="str">
            <v>CO</v>
          </cell>
          <cell r="F2504">
            <v>42429</v>
          </cell>
          <cell r="G2504">
            <v>42339</v>
          </cell>
          <cell r="H2504">
            <v>49643</v>
          </cell>
          <cell r="I2504" t="str">
            <v>19 years, 11 months, 29 days</v>
          </cell>
          <cell r="J2504" t="str">
            <v>Renewables</v>
          </cell>
          <cell r="K2504" t="str">
            <v>Solar (Rooftop)</v>
          </cell>
          <cell r="L2504" t="str">
            <v>Solar</v>
          </cell>
          <cell r="M2504" t="str">
            <v>Dx</v>
          </cell>
          <cell r="N2504" t="str">
            <v>Lucan</v>
          </cell>
          <cell r="O2504" t="str">
            <v>Middlesex</v>
          </cell>
          <cell r="P2504" t="str">
            <v>Southwest</v>
          </cell>
        </row>
        <row r="2505">
          <cell r="C2505" t="str">
            <v>4639 Lobsinger Line (Wellesley Township Office)</v>
          </cell>
          <cell r="D2505" t="str">
            <v>SUNSHARE1 LP</v>
          </cell>
          <cell r="E2505" t="str">
            <v>CO</v>
          </cell>
          <cell r="F2505">
            <v>42431</v>
          </cell>
          <cell r="G2505">
            <v>42349</v>
          </cell>
          <cell r="H2505">
            <v>49653</v>
          </cell>
          <cell r="I2505" t="str">
            <v>19 years, 11 months, 29 days</v>
          </cell>
          <cell r="J2505" t="str">
            <v>Renewables</v>
          </cell>
          <cell r="K2505" t="str">
            <v>Solar (Rooftop)</v>
          </cell>
          <cell r="L2505" t="str">
            <v>Solar</v>
          </cell>
          <cell r="M2505" t="str">
            <v>Dx</v>
          </cell>
          <cell r="N2505" t="str">
            <v>St. Clements</v>
          </cell>
          <cell r="O2505" t="str">
            <v>Waterloo</v>
          </cell>
          <cell r="P2505" t="str">
            <v>Southwest</v>
          </cell>
        </row>
        <row r="2506">
          <cell r="C2506" t="str">
            <v>P099</v>
          </cell>
          <cell r="D2506" t="str">
            <v>Reliant First Nation Limited Partnership</v>
          </cell>
          <cell r="E2506" t="str">
            <v>CO</v>
          </cell>
          <cell r="F2506">
            <v>42989</v>
          </cell>
          <cell r="G2506">
            <v>42907</v>
          </cell>
          <cell r="H2506">
            <v>50211</v>
          </cell>
          <cell r="I2506" t="str">
            <v>19 years, 11 months, 30 days</v>
          </cell>
          <cell r="J2506" t="str">
            <v>Renewables</v>
          </cell>
          <cell r="K2506" t="str">
            <v>Solar (Rooftop)</v>
          </cell>
          <cell r="L2506" t="str">
            <v>Solar</v>
          </cell>
          <cell r="M2506" t="str">
            <v>Dx</v>
          </cell>
          <cell r="N2506" t="str">
            <v>Brampton</v>
          </cell>
          <cell r="O2506" t="str">
            <v>Peel</v>
          </cell>
          <cell r="P2506" t="str">
            <v>Toronto</v>
          </cell>
        </row>
        <row r="2507">
          <cell r="C2507" t="str">
            <v>P071</v>
          </cell>
          <cell r="D2507" t="str">
            <v>Reliant First Nation Limited Partnership</v>
          </cell>
          <cell r="E2507" t="str">
            <v>CO</v>
          </cell>
          <cell r="F2507">
            <v>42989</v>
          </cell>
          <cell r="G2507">
            <v>42961</v>
          </cell>
          <cell r="H2507">
            <v>50265</v>
          </cell>
          <cell r="I2507" t="str">
            <v>19 years, 11 months, 30 days</v>
          </cell>
          <cell r="J2507" t="str">
            <v>Renewables</v>
          </cell>
          <cell r="K2507" t="str">
            <v>Solar (Rooftop)</v>
          </cell>
          <cell r="L2507" t="str">
            <v>Solar</v>
          </cell>
          <cell r="M2507" t="str">
            <v>Dx</v>
          </cell>
          <cell r="N2507" t="str">
            <v>Mississauga</v>
          </cell>
          <cell r="O2507" t="str">
            <v>Peel</v>
          </cell>
          <cell r="P2507" t="str">
            <v>Toronto</v>
          </cell>
        </row>
        <row r="2508">
          <cell r="C2508" t="str">
            <v>2316 Bridge St (Schiedel View Farms)</v>
          </cell>
          <cell r="D2508" t="str">
            <v>Schiedel View Farms Inc. and Community Energy Development Co-operative Ltd. c.o.b. as CEDC TURKEY SUNSHARE JV</v>
          </cell>
          <cell r="E2508" t="str">
            <v>CO</v>
          </cell>
          <cell r="F2508">
            <v>42428</v>
          </cell>
          <cell r="G2508">
            <v>42408</v>
          </cell>
          <cell r="H2508">
            <v>49712</v>
          </cell>
          <cell r="I2508" t="str">
            <v>19 years, 11 months, 30 days</v>
          </cell>
          <cell r="J2508" t="str">
            <v>Renewables</v>
          </cell>
          <cell r="K2508" t="str">
            <v>Solar (Rooftop)</v>
          </cell>
          <cell r="L2508" t="str">
            <v>Solar</v>
          </cell>
          <cell r="M2508" t="str">
            <v>Dx</v>
          </cell>
          <cell r="N2508" t="str">
            <v>New Hamburg</v>
          </cell>
          <cell r="O2508" t="str">
            <v>Waterloo</v>
          </cell>
          <cell r="P2508" t="str">
            <v>Southwest</v>
          </cell>
        </row>
        <row r="2509">
          <cell r="C2509" t="str">
            <v>CELESTE SOLAR LP 500KW</v>
          </cell>
          <cell r="D2509" t="str">
            <v>CELESTE SOLAR LP</v>
          </cell>
          <cell r="E2509" t="str">
            <v>CO</v>
          </cell>
          <cell r="F2509">
            <v>42980</v>
          </cell>
          <cell r="G2509">
            <v>43518</v>
          </cell>
          <cell r="H2509">
            <v>50284</v>
          </cell>
          <cell r="I2509" t="str">
            <v>18 years, 6 months, 10 days</v>
          </cell>
          <cell r="J2509" t="str">
            <v>Renewables</v>
          </cell>
          <cell r="K2509" t="str">
            <v>Solar (Ground Mounted)</v>
          </cell>
          <cell r="L2509" t="str">
            <v>Solar</v>
          </cell>
          <cell r="M2509" t="str">
            <v>Dx</v>
          </cell>
          <cell r="N2509" t="str">
            <v>Plantagenet</v>
          </cell>
          <cell r="O2509" t="str">
            <v>Prescott and Russell</v>
          </cell>
          <cell r="P2509" t="str">
            <v>Ottawa</v>
          </cell>
        </row>
        <row r="2510">
          <cell r="C2510" t="str">
            <v>Cheff_10020643</v>
          </cell>
          <cell r="D2510" t="str">
            <v>Skyline Private Opportunities Corp.</v>
          </cell>
          <cell r="E2510" t="str">
            <v>CO</v>
          </cell>
          <cell r="F2510">
            <v>42609</v>
          </cell>
          <cell r="G2510">
            <v>42696</v>
          </cell>
          <cell r="H2510">
            <v>49913</v>
          </cell>
          <cell r="I2510" t="str">
            <v>19 years, 9 months, 4 days</v>
          </cell>
          <cell r="J2510" t="str">
            <v>Renewables</v>
          </cell>
          <cell r="K2510" t="str">
            <v>Solar (Rooftop)</v>
          </cell>
          <cell r="L2510" t="str">
            <v>Solar</v>
          </cell>
          <cell r="M2510" t="str">
            <v>Dx</v>
          </cell>
          <cell r="N2510" t="str">
            <v>Renfrew</v>
          </cell>
          <cell r="O2510" t="str">
            <v>Renfrew</v>
          </cell>
          <cell r="P2510" t="str">
            <v>East</v>
          </cell>
        </row>
        <row r="2511">
          <cell r="C2511" t="str">
            <v>Flamborough Machine Shop</v>
          </cell>
          <cell r="D2511" t="str">
            <v>QS6 2012 LP</v>
          </cell>
          <cell r="E2511" t="str">
            <v>CO</v>
          </cell>
          <cell r="F2511">
            <v>42653</v>
          </cell>
          <cell r="G2511">
            <v>42664</v>
          </cell>
          <cell r="H2511">
            <v>49957</v>
          </cell>
          <cell r="I2511" t="str">
            <v>19 years, 11 months, 18 days</v>
          </cell>
          <cell r="J2511" t="str">
            <v>Renewables</v>
          </cell>
          <cell r="K2511" t="str">
            <v>Solar (Rooftop)</v>
          </cell>
          <cell r="L2511" t="str">
            <v>Solar</v>
          </cell>
          <cell r="M2511" t="str">
            <v>Dx</v>
          </cell>
          <cell r="N2511" t="str">
            <v>Hamilton</v>
          </cell>
          <cell r="O2511" t="str">
            <v>Hamilton</v>
          </cell>
          <cell r="P2511" t="str">
            <v>Southwest</v>
          </cell>
        </row>
        <row r="2512">
          <cell r="C2512" t="str">
            <v>GE050</v>
          </cell>
          <cell r="D2512" t="str">
            <v>SIF #2 Reliant Essex LP</v>
          </cell>
          <cell r="E2512" t="str">
            <v>CO</v>
          </cell>
          <cell r="F2512">
            <v>42440</v>
          </cell>
          <cell r="G2512">
            <v>42657</v>
          </cell>
          <cell r="H2512">
            <v>49744</v>
          </cell>
          <cell r="I2512" t="str">
            <v>19 years, 4 months, 25 days</v>
          </cell>
          <cell r="J2512" t="str">
            <v>Renewables</v>
          </cell>
          <cell r="K2512" t="str">
            <v>Solar (Rooftop)</v>
          </cell>
          <cell r="L2512" t="str">
            <v>Solar</v>
          </cell>
          <cell r="M2512" t="str">
            <v>Dx</v>
          </cell>
          <cell r="N2512" t="str">
            <v>Leamington</v>
          </cell>
          <cell r="O2512" t="str">
            <v>Essex</v>
          </cell>
          <cell r="P2512" t="str">
            <v>West</v>
          </cell>
        </row>
        <row r="2513">
          <cell r="C2513" t="str">
            <v>Carl Mantel - Roof</v>
          </cell>
          <cell r="D2513" t="str">
            <v>QS6 2012 LP</v>
          </cell>
          <cell r="E2513" t="str">
            <v>CO</v>
          </cell>
          <cell r="F2513">
            <v>42429</v>
          </cell>
          <cell r="G2513">
            <v>42313</v>
          </cell>
          <cell r="H2513">
            <v>49617</v>
          </cell>
          <cell r="I2513" t="str">
            <v>19 years, 11 months, 30 days</v>
          </cell>
          <cell r="J2513" t="str">
            <v>Renewables</v>
          </cell>
          <cell r="K2513" t="str">
            <v>Solar (Rooftop)</v>
          </cell>
          <cell r="L2513" t="str">
            <v>Solar</v>
          </cell>
          <cell r="M2513" t="str">
            <v>Dx</v>
          </cell>
          <cell r="N2513" t="str">
            <v>Hamilton</v>
          </cell>
          <cell r="O2513" t="str">
            <v>Hamilton</v>
          </cell>
          <cell r="P2513" t="str">
            <v>Southwest</v>
          </cell>
        </row>
        <row r="2514">
          <cell r="C2514" t="str">
            <v>400 Southgate Dr (RohnBrad)</v>
          </cell>
          <cell r="D2514" t="str">
            <v>SUNSHARE3 LP</v>
          </cell>
          <cell r="E2514" t="str">
            <v>CO</v>
          </cell>
          <cell r="F2514">
            <v>42666</v>
          </cell>
          <cell r="G2514">
            <v>42677</v>
          </cell>
          <cell r="H2514">
            <v>49970</v>
          </cell>
          <cell r="I2514" t="str">
            <v>19 years, 11 months, 19 days</v>
          </cell>
          <cell r="J2514" t="str">
            <v>Renewables</v>
          </cell>
          <cell r="K2514" t="str">
            <v>Solar (Rooftop)</v>
          </cell>
          <cell r="L2514" t="str">
            <v>Solar</v>
          </cell>
          <cell r="M2514" t="str">
            <v>Dx</v>
          </cell>
          <cell r="N2514" t="str">
            <v>Guelph</v>
          </cell>
          <cell r="O2514" t="str">
            <v>Wellington</v>
          </cell>
          <cell r="P2514" t="str">
            <v>Southwest</v>
          </cell>
        </row>
        <row r="2515">
          <cell r="C2515" t="str">
            <v>SPN 248</v>
          </cell>
          <cell r="D2515" t="str">
            <v>SPN LP 7</v>
          </cell>
          <cell r="E2515" t="str">
            <v>CO</v>
          </cell>
          <cell r="F2515">
            <v>42659</v>
          </cell>
          <cell r="G2515">
            <v>42843</v>
          </cell>
          <cell r="H2515">
            <v>49963</v>
          </cell>
          <cell r="I2515" t="str">
            <v>19 years, 5 months, 27 days</v>
          </cell>
          <cell r="J2515" t="str">
            <v>Renewables</v>
          </cell>
          <cell r="K2515" t="str">
            <v>Solar (Rooftop)</v>
          </cell>
          <cell r="L2515" t="str">
            <v>Solar</v>
          </cell>
          <cell r="M2515" t="str">
            <v>Dx</v>
          </cell>
          <cell r="N2515" t="str">
            <v>Windsor</v>
          </cell>
          <cell r="O2515" t="str">
            <v>Essex</v>
          </cell>
          <cell r="P2515" t="str">
            <v>West</v>
          </cell>
        </row>
        <row r="2516">
          <cell r="C2516" t="str">
            <v>HPEDSB Quinte SS</v>
          </cell>
          <cell r="D2516" t="str">
            <v>Ameresco HPEDSB Solar Inc.</v>
          </cell>
          <cell r="E2516" t="str">
            <v>CO</v>
          </cell>
          <cell r="F2516">
            <v>42428</v>
          </cell>
          <cell r="G2516">
            <v>42576</v>
          </cell>
          <cell r="H2516">
            <v>49732</v>
          </cell>
          <cell r="I2516" t="str">
            <v>19 years, 7 months, 2 days</v>
          </cell>
          <cell r="J2516" t="str">
            <v>Renewables</v>
          </cell>
          <cell r="K2516" t="str">
            <v>Solar (Rooftop)</v>
          </cell>
          <cell r="L2516" t="str">
            <v>Solar</v>
          </cell>
          <cell r="M2516" t="str">
            <v>Dx</v>
          </cell>
          <cell r="N2516" t="str">
            <v>Belleville</v>
          </cell>
          <cell r="O2516" t="str">
            <v>Hastings</v>
          </cell>
          <cell r="P2516" t="str">
            <v>East</v>
          </cell>
        </row>
        <row r="2517">
          <cell r="C2517" t="str">
            <v>NSPG Fixed 100</v>
          </cell>
          <cell r="D2517" t="str">
            <v>NORTH SHORE POWER GROUP INC.</v>
          </cell>
          <cell r="E2517" t="str">
            <v>CO</v>
          </cell>
          <cell r="F2517">
            <v>43204</v>
          </cell>
          <cell r="G2517">
            <v>43301</v>
          </cell>
          <cell r="H2517">
            <v>50508</v>
          </cell>
          <cell r="I2517" t="str">
            <v>19 years, 8 months, 24 days</v>
          </cell>
          <cell r="J2517" t="str">
            <v>Renewables</v>
          </cell>
          <cell r="K2517" t="str">
            <v>Solar (Ground Mounted)</v>
          </cell>
          <cell r="L2517" t="str">
            <v>Solar</v>
          </cell>
          <cell r="M2517" t="str">
            <v>Dx</v>
          </cell>
          <cell r="N2517" t="str">
            <v>Blind River</v>
          </cell>
          <cell r="O2517" t="str">
            <v>Algoma</v>
          </cell>
          <cell r="P2517" t="str">
            <v>Northeast</v>
          </cell>
        </row>
        <row r="2518">
          <cell r="C2518" t="str">
            <v>Solexica - 218 Wilkinson</v>
          </cell>
          <cell r="D2518" t="str">
            <v>Solexica Solar Brampton GP</v>
          </cell>
          <cell r="E2518" t="str">
            <v>CO</v>
          </cell>
          <cell r="F2518">
            <v>42666</v>
          </cell>
          <cell r="G2518">
            <v>42830</v>
          </cell>
          <cell r="H2518">
            <v>49970</v>
          </cell>
          <cell r="I2518" t="str">
            <v>19 years, 6 months, 17 days</v>
          </cell>
          <cell r="J2518" t="str">
            <v>Renewables</v>
          </cell>
          <cell r="K2518" t="str">
            <v>Solar (Rooftop)</v>
          </cell>
          <cell r="L2518" t="str">
            <v>Solar</v>
          </cell>
          <cell r="M2518" t="str">
            <v>Dx</v>
          </cell>
          <cell r="N2518" t="str">
            <v>Brampton</v>
          </cell>
          <cell r="O2518" t="str">
            <v>Peel</v>
          </cell>
          <cell r="P2518" t="str">
            <v>Toronto</v>
          </cell>
        </row>
        <row r="2519">
          <cell r="C2519" t="str">
            <v>Building C - 550 Parkside</v>
          </cell>
          <cell r="D2519" t="str">
            <v>2387281 Ontario Inc.</v>
          </cell>
          <cell r="E2519" t="str">
            <v>CO</v>
          </cell>
          <cell r="F2519">
            <v>42664</v>
          </cell>
          <cell r="G2519">
            <v>42846</v>
          </cell>
          <cell r="H2519">
            <v>49968</v>
          </cell>
          <cell r="I2519" t="str">
            <v>19 years, 5 months, 29 days</v>
          </cell>
          <cell r="J2519" t="str">
            <v>Renewables</v>
          </cell>
          <cell r="K2519" t="str">
            <v>Solar (Rooftop)</v>
          </cell>
          <cell r="L2519" t="str">
            <v>Solar</v>
          </cell>
          <cell r="M2519" t="str">
            <v>Dx</v>
          </cell>
          <cell r="N2519" t="str">
            <v>Waterloo</v>
          </cell>
          <cell r="O2519" t="str">
            <v>Waterloo</v>
          </cell>
          <cell r="P2519" t="str">
            <v>Southwest</v>
          </cell>
        </row>
        <row r="2520">
          <cell r="C2520" t="str">
            <v>4895 LIne 67 (R Riddell)</v>
          </cell>
          <cell r="D2520" t="str">
            <v>NORTH SHORE POWER GROUP INC.</v>
          </cell>
          <cell r="E2520" t="str">
            <v>CO</v>
          </cell>
          <cell r="F2520">
            <v>42666</v>
          </cell>
          <cell r="G2520">
            <v>42800</v>
          </cell>
          <cell r="H2520">
            <v>49970</v>
          </cell>
          <cell r="I2520" t="str">
            <v>19 years, 7 months, 16 days</v>
          </cell>
          <cell r="J2520" t="str">
            <v>Renewables</v>
          </cell>
          <cell r="K2520" t="str">
            <v>Solar (Rooftop)</v>
          </cell>
          <cell r="L2520" t="str">
            <v>Solar</v>
          </cell>
          <cell r="M2520" t="str">
            <v>Dx</v>
          </cell>
          <cell r="N2520" t="str">
            <v>Milverton</v>
          </cell>
          <cell r="O2520" t="str">
            <v>Perth</v>
          </cell>
          <cell r="P2520" t="str">
            <v>Southwest</v>
          </cell>
        </row>
        <row r="2521">
          <cell r="C2521" t="str">
            <v>P203</v>
          </cell>
          <cell r="D2521" t="str">
            <v>Reliant First Nation Limited Partnership</v>
          </cell>
          <cell r="E2521" t="str">
            <v>CO</v>
          </cell>
          <cell r="F2521">
            <v>42982</v>
          </cell>
          <cell r="G2521">
            <v>43124</v>
          </cell>
          <cell r="H2521">
            <v>50286</v>
          </cell>
          <cell r="I2521" t="str">
            <v>19 years, 7 months, 10 days</v>
          </cell>
          <cell r="J2521" t="str">
            <v>Renewables</v>
          </cell>
          <cell r="K2521" t="str">
            <v>Solar (Rooftop)</v>
          </cell>
          <cell r="L2521" t="str">
            <v>Solar</v>
          </cell>
          <cell r="M2521" t="str">
            <v>Dx</v>
          </cell>
          <cell r="N2521" t="str">
            <v>Brampton</v>
          </cell>
          <cell r="O2521" t="str">
            <v>Peel</v>
          </cell>
          <cell r="P2521" t="str">
            <v>Toronto</v>
          </cell>
        </row>
        <row r="2522">
          <cell r="C2522" t="str">
            <v>P222</v>
          </cell>
          <cell r="D2522" t="str">
            <v>Reliant First Nation Limited Partnership</v>
          </cell>
          <cell r="E2522" t="str">
            <v>CO</v>
          </cell>
          <cell r="F2522">
            <v>42994</v>
          </cell>
          <cell r="G2522">
            <v>42787</v>
          </cell>
          <cell r="H2522">
            <v>50091</v>
          </cell>
          <cell r="I2522" t="str">
            <v>19 years, 11 months, 30 days</v>
          </cell>
          <cell r="J2522" t="str">
            <v>Renewables</v>
          </cell>
          <cell r="K2522" t="str">
            <v>Solar (Rooftop)</v>
          </cell>
          <cell r="L2522" t="str">
            <v>Solar</v>
          </cell>
          <cell r="M2522" t="str">
            <v>Dx</v>
          </cell>
          <cell r="N2522" t="str">
            <v>Mississauga</v>
          </cell>
          <cell r="O2522" t="str">
            <v>Peel</v>
          </cell>
          <cell r="P2522" t="str">
            <v>Toronto</v>
          </cell>
        </row>
        <row r="2523">
          <cell r="C2523" t="str">
            <v>Leonhardt-10020612</v>
          </cell>
          <cell r="D2523" t="str">
            <v>Skyline Private Opportunities Corp.</v>
          </cell>
          <cell r="E2523" t="str">
            <v>CO</v>
          </cell>
          <cell r="F2523">
            <v>42609</v>
          </cell>
          <cell r="G2523">
            <v>42661</v>
          </cell>
          <cell r="H2523">
            <v>49913</v>
          </cell>
          <cell r="I2523" t="str">
            <v>19 years, 10 months, 8 days</v>
          </cell>
          <cell r="J2523" t="str">
            <v>Renewables</v>
          </cell>
          <cell r="K2523" t="str">
            <v>Solar (Rooftop)</v>
          </cell>
          <cell r="L2523" t="str">
            <v>Solar</v>
          </cell>
          <cell r="M2523" t="str">
            <v>Dx</v>
          </cell>
          <cell r="N2523" t="str">
            <v>Centreville</v>
          </cell>
          <cell r="O2523" t="str">
            <v>Lennox and Addington</v>
          </cell>
          <cell r="P2523" t="str">
            <v>East</v>
          </cell>
        </row>
        <row r="2524">
          <cell r="C2524" t="str">
            <v>550 Princess St (Shallow Lake Community Centre)</v>
          </cell>
          <cell r="D2524" t="str">
            <v>NORTH SHORE POWER GROUP INC.</v>
          </cell>
          <cell r="E2524" t="str">
            <v>CO</v>
          </cell>
          <cell r="F2524">
            <v>42432</v>
          </cell>
          <cell r="G2524">
            <v>42440</v>
          </cell>
          <cell r="H2524">
            <v>49736</v>
          </cell>
          <cell r="I2524" t="str">
            <v>19 years, 11 months, 20 days</v>
          </cell>
          <cell r="J2524" t="str">
            <v>Renewables</v>
          </cell>
          <cell r="K2524" t="str">
            <v>Solar (Rooftop)</v>
          </cell>
          <cell r="L2524" t="str">
            <v>Solar</v>
          </cell>
          <cell r="M2524" t="str">
            <v>Dx</v>
          </cell>
          <cell r="N2524" t="str">
            <v>Shallow Lake</v>
          </cell>
          <cell r="O2524" t="str">
            <v>Grey</v>
          </cell>
          <cell r="P2524" t="str">
            <v>Southwest</v>
          </cell>
        </row>
        <row r="2525">
          <cell r="C2525" t="str">
            <v>GG3-006</v>
          </cell>
          <cell r="D2525" t="str">
            <v>GSC Southlake Solar LP</v>
          </cell>
          <cell r="E2525" t="str">
            <v>CO</v>
          </cell>
          <cell r="F2525">
            <v>42980</v>
          </cell>
          <cell r="G2525">
            <v>43517</v>
          </cell>
          <cell r="H2525">
            <v>50284</v>
          </cell>
          <cell r="I2525" t="str">
            <v>18 years, 6 months, 11 days</v>
          </cell>
          <cell r="J2525" t="str">
            <v>Renewables</v>
          </cell>
          <cell r="K2525" t="str">
            <v>Solar (Ground Mounted)</v>
          </cell>
          <cell r="L2525" t="str">
            <v>Solar</v>
          </cell>
          <cell r="M2525" t="str">
            <v>Dx</v>
          </cell>
          <cell r="N2525" t="str">
            <v>Sturgeon Falls</v>
          </cell>
          <cell r="O2525" t="str">
            <v>Nipissing</v>
          </cell>
          <cell r="P2525" t="str">
            <v>Northeast</v>
          </cell>
        </row>
        <row r="2526">
          <cell r="C2526" t="str">
            <v>SPN 017</v>
          </cell>
          <cell r="D2526" t="str">
            <v>LDREC SPN LP</v>
          </cell>
          <cell r="E2526" t="str">
            <v>CO</v>
          </cell>
          <cell r="F2526">
            <v>42653</v>
          </cell>
          <cell r="G2526">
            <v>42795</v>
          </cell>
          <cell r="H2526">
            <v>49957</v>
          </cell>
          <cell r="I2526" t="str">
            <v>19 years, 7 months, 8 days</v>
          </cell>
          <cell r="J2526" t="str">
            <v>Renewables</v>
          </cell>
          <cell r="K2526" t="str">
            <v>Solar (Rooftop)</v>
          </cell>
          <cell r="L2526" t="str">
            <v>Solar</v>
          </cell>
          <cell r="M2526" t="str">
            <v>Dx</v>
          </cell>
          <cell r="N2526" t="str">
            <v>London</v>
          </cell>
          <cell r="O2526" t="str">
            <v>Middlesex</v>
          </cell>
          <cell r="P2526" t="str">
            <v>West</v>
          </cell>
        </row>
        <row r="2527">
          <cell r="C2527" t="str">
            <v>Solexica - 80 Westcreek</v>
          </cell>
          <cell r="D2527" t="str">
            <v>Solexica Solar Brampton GP</v>
          </cell>
          <cell r="E2527" t="str">
            <v>CO</v>
          </cell>
          <cell r="F2527">
            <v>42666</v>
          </cell>
          <cell r="G2527">
            <v>42830</v>
          </cell>
          <cell r="H2527">
            <v>49970</v>
          </cell>
          <cell r="I2527" t="str">
            <v>19 years, 6 months, 17 days</v>
          </cell>
          <cell r="J2527" t="str">
            <v>Renewables</v>
          </cell>
          <cell r="K2527" t="str">
            <v>Solar (Rooftop)</v>
          </cell>
          <cell r="L2527" t="str">
            <v>Solar</v>
          </cell>
          <cell r="M2527" t="str">
            <v>Dx</v>
          </cell>
          <cell r="N2527" t="str">
            <v>Brampton</v>
          </cell>
          <cell r="O2527" t="str">
            <v>Peel</v>
          </cell>
          <cell r="P2527" t="str">
            <v>Toronto</v>
          </cell>
        </row>
        <row r="2528">
          <cell r="C2528" t="str">
            <v>88 Todd Road</v>
          </cell>
          <cell r="D2528" t="str">
            <v>2387280 Ontario Inc.</v>
          </cell>
          <cell r="E2528" t="str">
            <v>CO</v>
          </cell>
          <cell r="F2528">
            <v>42664</v>
          </cell>
          <cell r="G2528">
            <v>42846</v>
          </cell>
          <cell r="H2528">
            <v>49968</v>
          </cell>
          <cell r="I2528" t="str">
            <v>19 years, 5 months, 29 days</v>
          </cell>
          <cell r="J2528" t="str">
            <v>Renewables</v>
          </cell>
          <cell r="K2528" t="str">
            <v>Solar (Rooftop)</v>
          </cell>
          <cell r="L2528" t="str">
            <v>Solar</v>
          </cell>
          <cell r="M2528" t="str">
            <v>Dx</v>
          </cell>
          <cell r="N2528" t="str">
            <v>Halton Hills</v>
          </cell>
          <cell r="O2528" t="str">
            <v>Halton</v>
          </cell>
          <cell r="P2528" t="str">
            <v>Toronto</v>
          </cell>
        </row>
        <row r="2529">
          <cell r="C2529" t="str">
            <v>P147</v>
          </cell>
          <cell r="D2529" t="str">
            <v>Reliant First Nation Limited Partnership</v>
          </cell>
          <cell r="E2529" t="str">
            <v>CO</v>
          </cell>
          <cell r="F2529">
            <v>42987</v>
          </cell>
          <cell r="G2529">
            <v>43111</v>
          </cell>
          <cell r="H2529">
            <v>50291</v>
          </cell>
          <cell r="I2529" t="str">
            <v>19 years, 7 months, 28 days</v>
          </cell>
          <cell r="J2529" t="str">
            <v>Renewables</v>
          </cell>
          <cell r="K2529" t="str">
            <v>Solar (Rooftop)</v>
          </cell>
          <cell r="L2529" t="str">
            <v>Solar</v>
          </cell>
          <cell r="M2529" t="str">
            <v>Dx</v>
          </cell>
          <cell r="N2529" t="str">
            <v>Brampton</v>
          </cell>
          <cell r="O2529" t="str">
            <v>Peel</v>
          </cell>
          <cell r="P2529" t="str">
            <v>Toronto</v>
          </cell>
        </row>
        <row r="2530">
          <cell r="C2530" t="str">
            <v>Helios - 86 Panache</v>
          </cell>
          <cell r="D2530" t="str">
            <v>Helios Whitefish River First Nation Limited Partnership</v>
          </cell>
          <cell r="E2530" t="str">
            <v>CO</v>
          </cell>
          <cell r="F2530">
            <v>42980</v>
          </cell>
          <cell r="G2530">
            <v>42774</v>
          </cell>
          <cell r="H2530">
            <v>50078</v>
          </cell>
          <cell r="I2530" t="str">
            <v>19 years, 11 months, 30 days</v>
          </cell>
          <cell r="J2530" t="str">
            <v>Renewables</v>
          </cell>
          <cell r="K2530" t="str">
            <v>Solar (Ground Mounted)</v>
          </cell>
          <cell r="L2530" t="str">
            <v>Solar</v>
          </cell>
          <cell r="M2530" t="str">
            <v>Dx</v>
          </cell>
          <cell r="N2530" t="str">
            <v>Espanola</v>
          </cell>
          <cell r="O2530" t="str">
            <v>Sudbury</v>
          </cell>
          <cell r="P2530" t="str">
            <v>Northeast</v>
          </cell>
        </row>
        <row r="2531">
          <cell r="C2531" t="str">
            <v>Stewart_10020627</v>
          </cell>
          <cell r="D2531" t="str">
            <v>Skyline Private Opportunities Corp.</v>
          </cell>
          <cell r="E2531" t="str">
            <v>CO</v>
          </cell>
          <cell r="F2531">
            <v>42609</v>
          </cell>
          <cell r="G2531">
            <v>42656</v>
          </cell>
          <cell r="H2531">
            <v>49913</v>
          </cell>
          <cell r="I2531" t="str">
            <v>19 years, 10 months, 13 days</v>
          </cell>
          <cell r="J2531" t="str">
            <v>Renewables</v>
          </cell>
          <cell r="K2531" t="str">
            <v>Solar (Rooftop)</v>
          </cell>
          <cell r="L2531" t="str">
            <v>Solar</v>
          </cell>
          <cell r="M2531" t="str">
            <v>Dx</v>
          </cell>
          <cell r="N2531" t="str">
            <v>Dundalk</v>
          </cell>
          <cell r="O2531" t="str">
            <v>Grey</v>
          </cell>
          <cell r="P2531" t="str">
            <v>Southwest</v>
          </cell>
        </row>
        <row r="2532">
          <cell r="C2532" t="str">
            <v>P114</v>
          </cell>
          <cell r="D2532" t="str">
            <v>Reliant First Nation Limited Partnership</v>
          </cell>
          <cell r="E2532" t="str">
            <v>CO</v>
          </cell>
          <cell r="F2532">
            <v>42433</v>
          </cell>
          <cell r="G2532">
            <v>42605</v>
          </cell>
          <cell r="H2532">
            <v>49737</v>
          </cell>
          <cell r="I2532" t="str">
            <v>19 years, 6 months, 9 days</v>
          </cell>
          <cell r="J2532" t="str">
            <v>Renewables</v>
          </cell>
          <cell r="K2532" t="str">
            <v>Solar (Rooftop)</v>
          </cell>
          <cell r="L2532" t="str">
            <v>Solar</v>
          </cell>
          <cell r="M2532" t="str">
            <v>Dx</v>
          </cell>
          <cell r="N2532" t="str">
            <v>Mississauga</v>
          </cell>
          <cell r="O2532" t="str">
            <v>Peel</v>
          </cell>
          <cell r="P2532" t="str">
            <v>Southwest</v>
          </cell>
        </row>
        <row r="2533">
          <cell r="C2533" t="str">
            <v>Pearl Lake</v>
          </cell>
          <cell r="D2533" t="str">
            <v>SE2 2013 LP</v>
          </cell>
          <cell r="E2533" t="str">
            <v>CO</v>
          </cell>
          <cell r="F2533">
            <v>42429</v>
          </cell>
          <cell r="G2533">
            <v>42584</v>
          </cell>
          <cell r="H2533">
            <v>49733</v>
          </cell>
          <cell r="I2533" t="str">
            <v>19 years, 6 months, 26 days</v>
          </cell>
          <cell r="J2533" t="str">
            <v>Renewables</v>
          </cell>
          <cell r="K2533" t="str">
            <v>Solar (Rooftop)</v>
          </cell>
          <cell r="L2533" t="str">
            <v>Solar</v>
          </cell>
          <cell r="M2533" t="str">
            <v>Dx</v>
          </cell>
          <cell r="N2533" t="str">
            <v>Elmwood</v>
          </cell>
          <cell r="O2533" t="str">
            <v>Bruce</v>
          </cell>
          <cell r="P2533" t="str">
            <v>Southwest</v>
          </cell>
        </row>
        <row r="2534">
          <cell r="C2534" t="str">
            <v>GE037</v>
          </cell>
          <cell r="D2534" t="str">
            <v>SIF #2 Reliant Essex LP</v>
          </cell>
          <cell r="E2534" t="str">
            <v>CO</v>
          </cell>
          <cell r="F2534">
            <v>42433</v>
          </cell>
          <cell r="G2534">
            <v>42660</v>
          </cell>
          <cell r="H2534">
            <v>49737</v>
          </cell>
          <cell r="I2534" t="str">
            <v>19 years, 4 months, 15 days</v>
          </cell>
          <cell r="J2534" t="str">
            <v>Renewables</v>
          </cell>
          <cell r="K2534" t="str">
            <v>Solar (Rooftop)</v>
          </cell>
          <cell r="L2534" t="str">
            <v>Solar</v>
          </cell>
          <cell r="M2534" t="str">
            <v>Dx</v>
          </cell>
          <cell r="N2534" t="str">
            <v>Windsor</v>
          </cell>
          <cell r="O2534" t="str">
            <v>Essex</v>
          </cell>
          <cell r="P2534" t="str">
            <v>West</v>
          </cell>
        </row>
        <row r="2535">
          <cell r="C2535" t="str">
            <v>Nellie McClung 78kW</v>
          </cell>
          <cell r="D2535" t="str">
            <v>York Region District School Board</v>
          </cell>
          <cell r="E2535" t="str">
            <v>CO</v>
          </cell>
          <cell r="F2535">
            <v>42431</v>
          </cell>
          <cell r="G2535">
            <v>42452</v>
          </cell>
          <cell r="H2535">
            <v>49735</v>
          </cell>
          <cell r="I2535" t="str">
            <v>19 years, 11 months, 7 days</v>
          </cell>
          <cell r="J2535" t="str">
            <v>Renewables</v>
          </cell>
          <cell r="K2535" t="str">
            <v>Solar (Rooftop)</v>
          </cell>
          <cell r="L2535" t="str">
            <v>Solar</v>
          </cell>
          <cell r="M2535" t="str">
            <v>Dx</v>
          </cell>
          <cell r="N2535" t="str">
            <v>Vaughan</v>
          </cell>
          <cell r="O2535" t="str">
            <v>York</v>
          </cell>
          <cell r="P2535" t="str">
            <v>Toronto</v>
          </cell>
        </row>
        <row r="2536">
          <cell r="C2536" t="str">
            <v>GE062</v>
          </cell>
          <cell r="D2536" t="str">
            <v>SIF #2 Reliant Essex LP</v>
          </cell>
          <cell r="E2536" t="str">
            <v>CO</v>
          </cell>
          <cell r="F2536">
            <v>42440</v>
          </cell>
          <cell r="G2536">
            <v>42598</v>
          </cell>
          <cell r="H2536">
            <v>49744</v>
          </cell>
          <cell r="I2536" t="str">
            <v>19 years, 6 months, 23 days</v>
          </cell>
          <cell r="J2536" t="str">
            <v>Renewables</v>
          </cell>
          <cell r="K2536" t="str">
            <v>Solar (Rooftop)</v>
          </cell>
          <cell r="L2536" t="str">
            <v>Solar</v>
          </cell>
          <cell r="M2536" t="str">
            <v>Dx</v>
          </cell>
          <cell r="N2536" t="str">
            <v>Windsor</v>
          </cell>
          <cell r="O2536" t="str">
            <v>Essex</v>
          </cell>
          <cell r="P2536" t="str">
            <v>West</v>
          </cell>
        </row>
        <row r="2537">
          <cell r="C2537" t="str">
            <v>P165</v>
          </cell>
          <cell r="D2537" t="str">
            <v>Reliant First Nation Limited Partnership</v>
          </cell>
          <cell r="E2537" t="str">
            <v>CO</v>
          </cell>
          <cell r="F2537">
            <v>42987</v>
          </cell>
          <cell r="G2537">
            <v>43111</v>
          </cell>
          <cell r="H2537">
            <v>50291</v>
          </cell>
          <cell r="I2537" t="str">
            <v>19 years, 7 months, 28 days</v>
          </cell>
          <cell r="J2537" t="str">
            <v>Renewables</v>
          </cell>
          <cell r="K2537" t="str">
            <v>Solar (Rooftop)</v>
          </cell>
          <cell r="L2537" t="str">
            <v>Solar</v>
          </cell>
          <cell r="M2537" t="str">
            <v>Dx</v>
          </cell>
          <cell r="N2537" t="str">
            <v>Brampton</v>
          </cell>
          <cell r="O2537" t="str">
            <v>Peel</v>
          </cell>
          <cell r="P2537" t="str">
            <v>Toronto</v>
          </cell>
        </row>
        <row r="2538">
          <cell r="C2538" t="str">
            <v>HWDSB ED Center</v>
          </cell>
          <cell r="D2538" t="str">
            <v>Solar Profile LP</v>
          </cell>
          <cell r="E2538" t="str">
            <v>CO</v>
          </cell>
          <cell r="F2538">
            <v>42429</v>
          </cell>
          <cell r="G2538">
            <v>42576</v>
          </cell>
          <cell r="H2538">
            <v>49733</v>
          </cell>
          <cell r="I2538" t="str">
            <v>19 years, 7 months, 3 days</v>
          </cell>
          <cell r="J2538" t="str">
            <v>Renewables</v>
          </cell>
          <cell r="K2538" t="str">
            <v>Solar (Rooftop)</v>
          </cell>
          <cell r="L2538" t="str">
            <v>Solar</v>
          </cell>
          <cell r="M2538" t="str">
            <v>Dx</v>
          </cell>
          <cell r="N2538" t="str">
            <v>Hamilton</v>
          </cell>
          <cell r="O2538" t="str">
            <v>Hamilton</v>
          </cell>
          <cell r="P2538" t="str">
            <v>Southwest</v>
          </cell>
        </row>
        <row r="2539">
          <cell r="C2539" t="str">
            <v>P010A</v>
          </cell>
          <cell r="D2539" t="str">
            <v>Reliant First Nation Limited Partnership</v>
          </cell>
          <cell r="E2539" t="str">
            <v>CO</v>
          </cell>
          <cell r="F2539">
            <v>42994</v>
          </cell>
          <cell r="G2539">
            <v>43124</v>
          </cell>
          <cell r="H2539">
            <v>50298</v>
          </cell>
          <cell r="I2539" t="str">
            <v>19 years, 7 months, 22 days</v>
          </cell>
          <cell r="J2539" t="str">
            <v>Renewables</v>
          </cell>
          <cell r="K2539" t="str">
            <v>Solar (Rooftop)</v>
          </cell>
          <cell r="L2539" t="str">
            <v>Solar</v>
          </cell>
          <cell r="M2539" t="str">
            <v>Dx</v>
          </cell>
          <cell r="N2539" t="str">
            <v>Mississauga</v>
          </cell>
          <cell r="O2539" t="str">
            <v>Peel</v>
          </cell>
          <cell r="P2539" t="str">
            <v>Toronto</v>
          </cell>
        </row>
        <row r="2540">
          <cell r="C2540" t="str">
            <v>WATERWORKS FIT</v>
          </cell>
          <cell r="D2540" t="str">
            <v>THE CORPORATION OF THE TOWN OF RENFREW</v>
          </cell>
          <cell r="E2540" t="str">
            <v>CO</v>
          </cell>
          <cell r="F2540">
            <v>42432</v>
          </cell>
          <cell r="G2540">
            <v>42430</v>
          </cell>
          <cell r="H2540">
            <v>49734</v>
          </cell>
          <cell r="I2540" t="str">
            <v>19 years, 11 months, 28 days</v>
          </cell>
          <cell r="J2540" t="str">
            <v>Renewables</v>
          </cell>
          <cell r="K2540" t="str">
            <v>Solar (Rooftop)</v>
          </cell>
          <cell r="L2540" t="str">
            <v>Solar</v>
          </cell>
          <cell r="M2540" t="str">
            <v>Dx</v>
          </cell>
          <cell r="N2540" t="str">
            <v>Renfrew</v>
          </cell>
          <cell r="O2540" t="str">
            <v>Renfrew</v>
          </cell>
          <cell r="P2540" t="str">
            <v>East</v>
          </cell>
        </row>
        <row r="2541">
          <cell r="C2541" t="str">
            <v>HPEDSB Prince of Wales PS</v>
          </cell>
          <cell r="D2541" t="str">
            <v>Ameresco HPEDSB Solar Inc.</v>
          </cell>
          <cell r="E2541" t="str">
            <v>CO</v>
          </cell>
          <cell r="F2541">
            <v>42428</v>
          </cell>
          <cell r="G2541">
            <v>42576</v>
          </cell>
          <cell r="H2541">
            <v>49732</v>
          </cell>
          <cell r="I2541" t="str">
            <v>19 years, 7 months, 2 days</v>
          </cell>
          <cell r="J2541" t="str">
            <v>Renewables</v>
          </cell>
          <cell r="K2541" t="str">
            <v>Solar (Rooftop)</v>
          </cell>
          <cell r="L2541" t="str">
            <v>Solar</v>
          </cell>
          <cell r="M2541" t="str">
            <v>Dx</v>
          </cell>
          <cell r="N2541" t="str">
            <v>Belleville</v>
          </cell>
          <cell r="O2541" t="str">
            <v>Hastings</v>
          </cell>
          <cell r="P2541" t="str">
            <v>East</v>
          </cell>
        </row>
        <row r="2542">
          <cell r="C2542" t="str">
            <v>SunEdison ON-13-0110</v>
          </cell>
          <cell r="D2542" t="str">
            <v>Solar Provider Canada Power Health LP</v>
          </cell>
          <cell r="E2542" t="str">
            <v>CO</v>
          </cell>
          <cell r="F2542">
            <v>42452</v>
          </cell>
          <cell r="G2542">
            <v>42627</v>
          </cell>
          <cell r="H2542">
            <v>49756</v>
          </cell>
          <cell r="I2542" t="str">
            <v>19 years, 6 months, 8 days</v>
          </cell>
          <cell r="J2542" t="str">
            <v>Renewables</v>
          </cell>
          <cell r="K2542" t="str">
            <v>Solar (Rooftop)</v>
          </cell>
          <cell r="L2542" t="str">
            <v>Solar</v>
          </cell>
          <cell r="M2542" t="str">
            <v>Dx</v>
          </cell>
          <cell r="N2542" t="str">
            <v>Hamilton</v>
          </cell>
          <cell r="O2542" t="str">
            <v>Hamilton</v>
          </cell>
          <cell r="P2542" t="str">
            <v>Southwest</v>
          </cell>
        </row>
        <row r="2543">
          <cell r="C2543" t="str">
            <v>Solar Romiluxe 2</v>
          </cell>
          <cell r="D2543" t="str">
            <v>SOLAR ROMILUXE 2 LP</v>
          </cell>
          <cell r="E2543" t="str">
            <v>CO</v>
          </cell>
          <cell r="F2543">
            <v>42429</v>
          </cell>
          <cell r="G2543">
            <v>42411</v>
          </cell>
          <cell r="H2543">
            <v>49715</v>
          </cell>
          <cell r="I2543" t="str">
            <v>19 years, 11 months, 30 days</v>
          </cell>
          <cell r="J2543" t="str">
            <v>Renewables</v>
          </cell>
          <cell r="K2543" t="str">
            <v>Solar (Rooftop)</v>
          </cell>
          <cell r="L2543" t="str">
            <v>Solar</v>
          </cell>
          <cell r="M2543" t="str">
            <v>Dx</v>
          </cell>
          <cell r="N2543" t="str">
            <v>Casselman</v>
          </cell>
          <cell r="O2543" t="str">
            <v>Prescott and Russell</v>
          </cell>
          <cell r="P2543" t="str">
            <v>Ottawa</v>
          </cell>
        </row>
        <row r="2544">
          <cell r="C2544" t="str">
            <v>P127</v>
          </cell>
          <cell r="D2544" t="str">
            <v>Reliant First Nation Limited Partnership</v>
          </cell>
          <cell r="E2544" t="str">
            <v>CO</v>
          </cell>
          <cell r="F2544">
            <v>42989</v>
          </cell>
          <cell r="G2544">
            <v>43035</v>
          </cell>
          <cell r="H2544">
            <v>50293</v>
          </cell>
          <cell r="I2544" t="str">
            <v>19 years, 10 months, 14 days</v>
          </cell>
          <cell r="J2544" t="str">
            <v>Renewables</v>
          </cell>
          <cell r="K2544" t="str">
            <v>Solar (Rooftop)</v>
          </cell>
          <cell r="L2544" t="str">
            <v>Solar</v>
          </cell>
          <cell r="M2544" t="str">
            <v>Dx</v>
          </cell>
          <cell r="N2544" t="str">
            <v>Mississauga</v>
          </cell>
          <cell r="O2544" t="str">
            <v>Peel</v>
          </cell>
          <cell r="P2544" t="str">
            <v>Toronto</v>
          </cell>
        </row>
        <row r="2545">
          <cell r="C2545" t="str">
            <v>Conroy Rd. Ops. Garage</v>
          </cell>
          <cell r="D2545" t="str">
            <v>Hydro Ottawa Holding Inc.</v>
          </cell>
          <cell r="E2545" t="str">
            <v>CO</v>
          </cell>
          <cell r="F2545">
            <v>42447</v>
          </cell>
          <cell r="G2545">
            <v>42670</v>
          </cell>
          <cell r="H2545">
            <v>49751</v>
          </cell>
          <cell r="I2545" t="str">
            <v>19 years, 4 months, 19 days</v>
          </cell>
          <cell r="J2545" t="str">
            <v>Renewables</v>
          </cell>
          <cell r="K2545" t="str">
            <v>Solar (Rooftop)</v>
          </cell>
          <cell r="L2545" t="str">
            <v>Solar</v>
          </cell>
          <cell r="M2545" t="str">
            <v>Dx</v>
          </cell>
          <cell r="N2545" t="str">
            <v>Ottawa</v>
          </cell>
          <cell r="O2545" t="str">
            <v>Ottawa</v>
          </cell>
          <cell r="P2545" t="str">
            <v>Ottawa</v>
          </cell>
        </row>
        <row r="2546">
          <cell r="C2546" t="str">
            <v>Vandenberg 3</v>
          </cell>
          <cell r="D2546" t="str">
            <v>QS6 2012 LP</v>
          </cell>
          <cell r="E2546" t="str">
            <v>CO</v>
          </cell>
          <cell r="F2546">
            <v>42428</v>
          </cell>
          <cell r="G2546">
            <v>42314</v>
          </cell>
          <cell r="H2546">
            <v>49618</v>
          </cell>
          <cell r="I2546" t="str">
            <v>19 years, 11 months, 30 days</v>
          </cell>
          <cell r="J2546" t="str">
            <v>Renewables</v>
          </cell>
          <cell r="K2546" t="str">
            <v>Solar (Rooftop)</v>
          </cell>
          <cell r="L2546" t="str">
            <v>Solar</v>
          </cell>
          <cell r="M2546" t="str">
            <v>Dx</v>
          </cell>
          <cell r="N2546" t="str">
            <v>Hamilton</v>
          </cell>
          <cell r="O2546" t="str">
            <v>Hamilton</v>
          </cell>
          <cell r="P2546" t="str">
            <v>Southwest</v>
          </cell>
        </row>
        <row r="2547">
          <cell r="C2547" t="str">
            <v>Kipling Acres Phase I</v>
          </cell>
          <cell r="D2547" t="str">
            <v>City of Toronto</v>
          </cell>
          <cell r="E2547" t="str">
            <v>CO</v>
          </cell>
          <cell r="F2547">
            <v>42432</v>
          </cell>
          <cell r="G2547">
            <v>42419</v>
          </cell>
          <cell r="H2547">
            <v>49723</v>
          </cell>
          <cell r="I2547" t="str">
            <v>19 years, 11 months, 30 days</v>
          </cell>
          <cell r="J2547" t="str">
            <v>Renewables</v>
          </cell>
          <cell r="K2547" t="str">
            <v>Solar (Rooftop)</v>
          </cell>
          <cell r="L2547" t="str">
            <v>Solar</v>
          </cell>
          <cell r="M2547" t="str">
            <v>Dx</v>
          </cell>
          <cell r="N2547" t="str">
            <v>Toronto</v>
          </cell>
          <cell r="O2547" t="str">
            <v>Toronto</v>
          </cell>
          <cell r="P2547" t="str">
            <v>Toronto</v>
          </cell>
        </row>
        <row r="2548">
          <cell r="C2548" t="str">
            <v>P080</v>
          </cell>
          <cell r="D2548" t="str">
            <v>Reliant First Nation Limited Partnership</v>
          </cell>
          <cell r="E2548" t="str">
            <v>CO</v>
          </cell>
          <cell r="F2548">
            <v>42994</v>
          </cell>
          <cell r="G2548">
            <v>42776</v>
          </cell>
          <cell r="H2548">
            <v>50080</v>
          </cell>
          <cell r="I2548" t="str">
            <v>19 years, 11 months, 30 days</v>
          </cell>
          <cell r="J2548" t="str">
            <v>Renewables</v>
          </cell>
          <cell r="K2548" t="str">
            <v>Solar (Rooftop)</v>
          </cell>
          <cell r="L2548" t="str">
            <v>Solar</v>
          </cell>
          <cell r="M2548" t="str">
            <v>Dx</v>
          </cell>
          <cell r="N2548" t="str">
            <v>Mississauga</v>
          </cell>
          <cell r="O2548" t="str">
            <v>Peel</v>
          </cell>
          <cell r="P2548" t="str">
            <v>Toronto</v>
          </cell>
        </row>
        <row r="2549">
          <cell r="C2549" t="str">
            <v>Sayer_10020741</v>
          </cell>
          <cell r="D2549" t="str">
            <v>Skyline Private Opportunities Corp.</v>
          </cell>
          <cell r="E2549" t="str">
            <v>CO</v>
          </cell>
          <cell r="F2549">
            <v>42609</v>
          </cell>
          <cell r="G2549">
            <v>42654</v>
          </cell>
          <cell r="H2549">
            <v>49913</v>
          </cell>
          <cell r="I2549" t="str">
            <v>19 years, 10 months, 15 days</v>
          </cell>
          <cell r="J2549" t="str">
            <v>Renewables</v>
          </cell>
          <cell r="K2549" t="str">
            <v>Solar (Rooftop)</v>
          </cell>
          <cell r="L2549" t="str">
            <v>Solar</v>
          </cell>
          <cell r="M2549" t="str">
            <v>Dx</v>
          </cell>
          <cell r="N2549" t="str">
            <v>Cache Bay</v>
          </cell>
          <cell r="O2549" t="str">
            <v>Nipissing</v>
          </cell>
          <cell r="P2549" t="str">
            <v>Northeast</v>
          </cell>
        </row>
        <row r="2550">
          <cell r="C2550" t="str">
            <v>OT-36 NIXON</v>
          </cell>
          <cell r="D2550" t="str">
            <v>OFIT RT INC.</v>
          </cell>
          <cell r="E2550" t="str">
            <v>CO</v>
          </cell>
          <cell r="F2550">
            <v>42653</v>
          </cell>
          <cell r="G2550">
            <v>42975</v>
          </cell>
          <cell r="H2550">
            <v>49957</v>
          </cell>
          <cell r="I2550" t="str">
            <v>19 years, 1 months, 11 days</v>
          </cell>
          <cell r="J2550" t="str">
            <v>Renewables</v>
          </cell>
          <cell r="K2550" t="str">
            <v>Solar (Rooftop)</v>
          </cell>
          <cell r="L2550" t="str">
            <v>Solar</v>
          </cell>
          <cell r="M2550" t="str">
            <v>Dx</v>
          </cell>
          <cell r="N2550" t="str">
            <v>Bolton</v>
          </cell>
          <cell r="O2550" t="str">
            <v>Peel</v>
          </cell>
          <cell r="P2550" t="str">
            <v>Toronto</v>
          </cell>
        </row>
        <row r="2551">
          <cell r="C2551" t="str">
            <v>NSPG Fixed 400</v>
          </cell>
          <cell r="D2551" t="str">
            <v>NORTH SHORE POWER GROUP INC.</v>
          </cell>
          <cell r="E2551" t="str">
            <v>CO</v>
          </cell>
          <cell r="F2551">
            <v>42994</v>
          </cell>
          <cell r="G2551">
            <v>43032</v>
          </cell>
          <cell r="H2551">
            <v>50298</v>
          </cell>
          <cell r="I2551" t="str">
            <v>19 years, 10 months, 22 days</v>
          </cell>
          <cell r="J2551" t="str">
            <v>Renewables</v>
          </cell>
          <cell r="K2551" t="str">
            <v>Solar (Ground Mounted)</v>
          </cell>
          <cell r="L2551" t="str">
            <v>Solar</v>
          </cell>
          <cell r="M2551" t="str">
            <v>Dx</v>
          </cell>
          <cell r="N2551" t="str">
            <v>Blind River</v>
          </cell>
          <cell r="O2551" t="str">
            <v>Algoma</v>
          </cell>
          <cell r="P2551" t="str">
            <v>Northeast</v>
          </cell>
        </row>
        <row r="2552">
          <cell r="C2552" t="str">
            <v>20 Massey Rd (RohnBrad)</v>
          </cell>
          <cell r="D2552" t="str">
            <v>SUNSHARE3 LP</v>
          </cell>
          <cell r="E2552" t="str">
            <v>CO</v>
          </cell>
          <cell r="F2552">
            <v>42664</v>
          </cell>
          <cell r="G2552">
            <v>42668</v>
          </cell>
          <cell r="H2552">
            <v>49968</v>
          </cell>
          <cell r="I2552" t="str">
            <v>19 years, 11 months, 25 days</v>
          </cell>
          <cell r="J2552" t="str">
            <v>Renewables</v>
          </cell>
          <cell r="K2552" t="str">
            <v>Solar (Rooftop)</v>
          </cell>
          <cell r="L2552" t="str">
            <v>Solar</v>
          </cell>
          <cell r="M2552" t="str">
            <v>Dx</v>
          </cell>
          <cell r="N2552" t="str">
            <v>Guelph</v>
          </cell>
          <cell r="O2552" t="str">
            <v>Wellington</v>
          </cell>
          <cell r="P2552" t="str">
            <v>Southwest</v>
          </cell>
        </row>
        <row r="2553">
          <cell r="C2553" t="str">
            <v>SPN 267</v>
          </cell>
          <cell r="D2553" t="str">
            <v>SPN LP 7</v>
          </cell>
          <cell r="E2553" t="str">
            <v>CO</v>
          </cell>
          <cell r="F2553">
            <v>42447</v>
          </cell>
          <cell r="G2553">
            <v>42649</v>
          </cell>
          <cell r="H2553">
            <v>49751</v>
          </cell>
          <cell r="I2553" t="str">
            <v>19 years, 5 months, 11 days</v>
          </cell>
          <cell r="J2553" t="str">
            <v>Renewables</v>
          </cell>
          <cell r="K2553" t="str">
            <v>Solar (Rooftop)</v>
          </cell>
          <cell r="L2553" t="str">
            <v>Solar</v>
          </cell>
          <cell r="M2553" t="str">
            <v>Dx</v>
          </cell>
          <cell r="N2553" t="str">
            <v>Haileybury</v>
          </cell>
          <cell r="O2553" t="str">
            <v>Timiskaming</v>
          </cell>
          <cell r="P2553" t="str">
            <v>Northeast</v>
          </cell>
        </row>
        <row r="2554">
          <cell r="C2554" t="str">
            <v>USS Gates South URSP</v>
          </cell>
          <cell r="D2554" t="str">
            <v>2291506 Ontario INC.</v>
          </cell>
          <cell r="E2554" t="str">
            <v>CO</v>
          </cell>
          <cell r="F2554">
            <v>42609</v>
          </cell>
          <cell r="G2554">
            <v>42788</v>
          </cell>
          <cell r="H2554">
            <v>49913</v>
          </cell>
          <cell r="I2554" t="str">
            <v>19 years, 6 months, 4 days</v>
          </cell>
          <cell r="J2554" t="str">
            <v>Renewables</v>
          </cell>
          <cell r="K2554" t="str">
            <v>Solar (Rooftop)</v>
          </cell>
          <cell r="L2554" t="str">
            <v>Solar</v>
          </cell>
          <cell r="M2554" t="str">
            <v>Dx</v>
          </cell>
          <cell r="N2554" t="str">
            <v>Port Dover</v>
          </cell>
          <cell r="O2554" t="str">
            <v>Norfolk</v>
          </cell>
          <cell r="P2554" t="str">
            <v>Southwest</v>
          </cell>
        </row>
        <row r="2555">
          <cell r="C2555" t="str">
            <v>Muskpka Solar LP - Ullswater</v>
          </cell>
          <cell r="D2555" t="str">
            <v>Muskoka Solar LP</v>
          </cell>
          <cell r="E2555" t="str">
            <v>CO</v>
          </cell>
          <cell r="F2555">
            <v>42975</v>
          </cell>
          <cell r="G2555">
            <v>42822</v>
          </cell>
          <cell r="H2555">
            <v>50126</v>
          </cell>
          <cell r="I2555" t="str">
            <v>19 years, 11 months, 27 days</v>
          </cell>
          <cell r="J2555" t="str">
            <v>Renewables</v>
          </cell>
          <cell r="K2555" t="str">
            <v>Solar (Ground Mounted)</v>
          </cell>
          <cell r="L2555" t="str">
            <v>Solar</v>
          </cell>
          <cell r="M2555" t="str">
            <v>Dx</v>
          </cell>
          <cell r="N2555" t="str">
            <v>Windermere</v>
          </cell>
          <cell r="O2555" t="str">
            <v>Muskoka</v>
          </cell>
          <cell r="P2555" t="str">
            <v>Essa</v>
          </cell>
        </row>
        <row r="2556">
          <cell r="C2556" t="str">
            <v>Aldershot Nursery</v>
          </cell>
          <cell r="D2556" t="str">
            <v>QS6 2012 LP</v>
          </cell>
          <cell r="E2556" t="str">
            <v>CO</v>
          </cell>
          <cell r="F2556">
            <v>42428</v>
          </cell>
          <cell r="G2556">
            <v>42416</v>
          </cell>
          <cell r="H2556">
            <v>49720</v>
          </cell>
          <cell r="I2556" t="str">
            <v>19 years, 11 months, 30 days</v>
          </cell>
          <cell r="J2556" t="str">
            <v>Renewables</v>
          </cell>
          <cell r="K2556" t="str">
            <v>Solar (Rooftop)</v>
          </cell>
          <cell r="L2556" t="str">
            <v>Solar</v>
          </cell>
          <cell r="M2556" t="str">
            <v>Dx</v>
          </cell>
          <cell r="N2556" t="str">
            <v>Waterdown</v>
          </cell>
          <cell r="O2556" t="str">
            <v>Hamilton</v>
          </cell>
          <cell r="P2556" t="str">
            <v>Southwest</v>
          </cell>
        </row>
        <row r="2557">
          <cell r="C2557" t="str">
            <v>GE025</v>
          </cell>
          <cell r="D2557" t="str">
            <v>SIF #2 Reliant Essex LP</v>
          </cell>
          <cell r="E2557" t="str">
            <v>CO</v>
          </cell>
          <cell r="F2557">
            <v>42438</v>
          </cell>
          <cell r="G2557">
            <v>42607</v>
          </cell>
          <cell r="H2557">
            <v>49742</v>
          </cell>
          <cell r="I2557" t="str">
            <v>19 years, 6 months, 12 days</v>
          </cell>
          <cell r="J2557" t="str">
            <v>Renewables</v>
          </cell>
          <cell r="K2557" t="str">
            <v>Solar (Rooftop)</v>
          </cell>
          <cell r="L2557" t="str">
            <v>Solar</v>
          </cell>
          <cell r="M2557" t="str">
            <v>Dx</v>
          </cell>
          <cell r="N2557" t="str">
            <v>Windsor</v>
          </cell>
          <cell r="O2557" t="str">
            <v>Essex</v>
          </cell>
          <cell r="P2557" t="str">
            <v>West</v>
          </cell>
        </row>
        <row r="2558">
          <cell r="C2558" t="str">
            <v>Donovan</v>
          </cell>
          <cell r="D2558" t="str">
            <v>Peterborough Solar Projects Corporation</v>
          </cell>
          <cell r="E2558" t="str">
            <v>CO</v>
          </cell>
          <cell r="F2558">
            <v>42981</v>
          </cell>
          <cell r="G2558">
            <v>43507</v>
          </cell>
          <cell r="H2558">
            <v>50285</v>
          </cell>
          <cell r="I2558" t="str">
            <v>18 years, 6 months, 22 days</v>
          </cell>
          <cell r="J2558" t="str">
            <v>Renewables</v>
          </cell>
          <cell r="K2558" t="str">
            <v>Solar (Ground Mounted)</v>
          </cell>
          <cell r="L2558" t="str">
            <v>Solar</v>
          </cell>
          <cell r="M2558" t="str">
            <v>Dx</v>
          </cell>
          <cell r="N2558" t="str">
            <v>Bancroft</v>
          </cell>
          <cell r="O2558" t="str">
            <v>Hastings</v>
          </cell>
          <cell r="P2558" t="str">
            <v>East</v>
          </cell>
        </row>
        <row r="2559">
          <cell r="C2559" t="str">
            <v>LDCSB St. Sebastian</v>
          </cell>
          <cell r="D2559" t="str">
            <v>Ameresco LDCSB Solar Inc.</v>
          </cell>
          <cell r="E2559" t="str">
            <v>CO</v>
          </cell>
          <cell r="F2559">
            <v>42428</v>
          </cell>
          <cell r="G2559">
            <v>42535</v>
          </cell>
          <cell r="H2559">
            <v>49732</v>
          </cell>
          <cell r="I2559" t="str">
            <v>19 years, 8 months, 13 days</v>
          </cell>
          <cell r="J2559" t="str">
            <v>Renewables</v>
          </cell>
          <cell r="K2559" t="str">
            <v>Solar (Rooftop)</v>
          </cell>
          <cell r="L2559" t="str">
            <v>Solar</v>
          </cell>
          <cell r="M2559" t="str">
            <v>Dx</v>
          </cell>
          <cell r="N2559" t="str">
            <v>London</v>
          </cell>
          <cell r="O2559" t="str">
            <v>Middlesex</v>
          </cell>
          <cell r="P2559" t="str">
            <v>West</v>
          </cell>
        </row>
        <row r="2560">
          <cell r="C2560" t="str">
            <v>Wendat Village 82kW</v>
          </cell>
          <cell r="D2560" t="str">
            <v>York Region District School Board</v>
          </cell>
          <cell r="E2560" t="str">
            <v>CO</v>
          </cell>
          <cell r="F2560">
            <v>42431</v>
          </cell>
          <cell r="G2560">
            <v>42576</v>
          </cell>
          <cell r="H2560">
            <v>49735</v>
          </cell>
          <cell r="I2560" t="str">
            <v>19 years, 7 months, 5 days</v>
          </cell>
          <cell r="J2560" t="str">
            <v>Renewables</v>
          </cell>
          <cell r="K2560" t="str">
            <v>Solar (Rooftop)</v>
          </cell>
          <cell r="L2560" t="str">
            <v>Solar</v>
          </cell>
          <cell r="M2560" t="str">
            <v>Dx</v>
          </cell>
          <cell r="N2560" t="str">
            <v>Stouffville</v>
          </cell>
          <cell r="O2560" t="str">
            <v>York</v>
          </cell>
          <cell r="P2560" t="str">
            <v>Essa</v>
          </cell>
        </row>
        <row r="2561">
          <cell r="C2561" t="str">
            <v>GE036</v>
          </cell>
          <cell r="D2561" t="str">
            <v>SIF #2 Reliant Essex LP</v>
          </cell>
          <cell r="E2561" t="str">
            <v>CO</v>
          </cell>
          <cell r="F2561">
            <v>42438</v>
          </cell>
          <cell r="G2561">
            <v>42664</v>
          </cell>
          <cell r="H2561">
            <v>49742</v>
          </cell>
          <cell r="I2561" t="str">
            <v>19 years, 4 months, 16 days</v>
          </cell>
          <cell r="J2561" t="str">
            <v>Renewables</v>
          </cell>
          <cell r="K2561" t="str">
            <v>Solar (Rooftop)</v>
          </cell>
          <cell r="L2561" t="str">
            <v>Solar</v>
          </cell>
          <cell r="M2561" t="str">
            <v>Dx</v>
          </cell>
          <cell r="N2561" t="str">
            <v>Windsor</v>
          </cell>
          <cell r="O2561" t="str">
            <v>Essex</v>
          </cell>
          <cell r="P2561" t="str">
            <v>West</v>
          </cell>
        </row>
        <row r="2562">
          <cell r="C2562" t="str">
            <v>GT CH9</v>
          </cell>
          <cell r="D2562" t="str">
            <v>Community Solar Assets 4 Limited</v>
          </cell>
          <cell r="E2562" t="str">
            <v>CO</v>
          </cell>
          <cell r="F2562">
            <v>42975</v>
          </cell>
          <cell r="G2562">
            <v>43000</v>
          </cell>
          <cell r="H2562">
            <v>50279</v>
          </cell>
          <cell r="I2562" t="str">
            <v>19 years, 11 months, 5 days</v>
          </cell>
          <cell r="J2562" t="str">
            <v>Renewables</v>
          </cell>
          <cell r="K2562" t="str">
            <v>Solar (Ground Mounted)</v>
          </cell>
          <cell r="L2562" t="str">
            <v>Solar</v>
          </cell>
          <cell r="M2562" t="str">
            <v>Dx</v>
          </cell>
          <cell r="N2562" t="str">
            <v>Englehart</v>
          </cell>
          <cell r="O2562" t="str">
            <v>Timiskaming</v>
          </cell>
          <cell r="P2562" t="str">
            <v>Northeast</v>
          </cell>
        </row>
        <row r="2563">
          <cell r="C2563" t="str">
            <v>SPN 532</v>
          </cell>
          <cell r="D2563" t="str">
            <v>SPN LP 3</v>
          </cell>
          <cell r="E2563" t="str">
            <v>CO</v>
          </cell>
          <cell r="F2563">
            <v>42429</v>
          </cell>
          <cell r="G2563">
            <v>42488</v>
          </cell>
          <cell r="H2563">
            <v>49733</v>
          </cell>
          <cell r="I2563" t="str">
            <v>19 years, 10 months, 0 days</v>
          </cell>
          <cell r="J2563" t="str">
            <v>Renewables</v>
          </cell>
          <cell r="K2563" t="str">
            <v>Solar (Rooftop)</v>
          </cell>
          <cell r="L2563" t="str">
            <v>Solar</v>
          </cell>
          <cell r="M2563" t="str">
            <v>Dx</v>
          </cell>
          <cell r="N2563" t="str">
            <v>Wheatley</v>
          </cell>
          <cell r="O2563" t="str">
            <v>Chatham-Kent</v>
          </cell>
          <cell r="P2563" t="str">
            <v>West</v>
          </cell>
        </row>
        <row r="2564">
          <cell r="C2564" t="str">
            <v>P093</v>
          </cell>
          <cell r="D2564" t="str">
            <v>Reliant First Nation Limited Partnership</v>
          </cell>
          <cell r="E2564" t="str">
            <v>CO</v>
          </cell>
          <cell r="F2564">
            <v>42994</v>
          </cell>
          <cell r="G2564">
            <v>43136</v>
          </cell>
          <cell r="H2564">
            <v>50298</v>
          </cell>
          <cell r="I2564" t="str">
            <v>19 years, 7 months, 10 days</v>
          </cell>
          <cell r="J2564" t="str">
            <v>Renewables</v>
          </cell>
          <cell r="K2564" t="str">
            <v>Solar (Rooftop)</v>
          </cell>
          <cell r="L2564" t="str">
            <v>Solar</v>
          </cell>
          <cell r="M2564" t="str">
            <v>Dx</v>
          </cell>
          <cell r="N2564" t="str">
            <v>Mississauga</v>
          </cell>
          <cell r="O2564" t="str">
            <v>Peel</v>
          </cell>
          <cell r="P2564" t="str">
            <v>Toronto</v>
          </cell>
        </row>
        <row r="2565">
          <cell r="C2565" t="str">
            <v>SPN 217</v>
          </cell>
          <cell r="D2565" t="str">
            <v>SPN LP 4</v>
          </cell>
          <cell r="E2565" t="str">
            <v>CO</v>
          </cell>
          <cell r="F2565">
            <v>42666</v>
          </cell>
          <cell r="G2565">
            <v>42888</v>
          </cell>
          <cell r="H2565">
            <v>49970</v>
          </cell>
          <cell r="I2565" t="str">
            <v>19 years, 4 months, 20 days</v>
          </cell>
          <cell r="J2565" t="str">
            <v>Renewables</v>
          </cell>
          <cell r="K2565" t="str">
            <v>Solar (Rooftop)</v>
          </cell>
          <cell r="L2565" t="str">
            <v>Solar</v>
          </cell>
          <cell r="M2565" t="str">
            <v>Dx</v>
          </cell>
          <cell r="N2565" t="str">
            <v>Simcoe</v>
          </cell>
          <cell r="O2565" t="str">
            <v>Norfolk</v>
          </cell>
          <cell r="P2565" t="str">
            <v>Southwest</v>
          </cell>
        </row>
        <row r="2566">
          <cell r="C2566" t="str">
            <v>1479 Snow Valley Road</v>
          </cell>
          <cell r="D2566" t="str">
            <v>Chi Biidaaske Inc.</v>
          </cell>
          <cell r="E2566" t="str">
            <v>CO</v>
          </cell>
          <cell r="F2566">
            <v>42428</v>
          </cell>
          <cell r="G2566">
            <v>42535</v>
          </cell>
          <cell r="H2566">
            <v>49732</v>
          </cell>
          <cell r="I2566" t="str">
            <v>19 years, 8 months, 13 days</v>
          </cell>
          <cell r="J2566" t="str">
            <v>Renewables</v>
          </cell>
          <cell r="K2566" t="str">
            <v>Solar (Rooftop)</v>
          </cell>
          <cell r="L2566" t="str">
            <v>Solar</v>
          </cell>
          <cell r="M2566" t="str">
            <v>Dx</v>
          </cell>
          <cell r="N2566" t="str">
            <v>Springwater</v>
          </cell>
          <cell r="O2566" t="str">
            <v>Simcoe</v>
          </cell>
          <cell r="P2566" t="str">
            <v>Essa</v>
          </cell>
        </row>
        <row r="2567">
          <cell r="C2567" t="str">
            <v>P179</v>
          </cell>
          <cell r="D2567" t="str">
            <v>Reliant First Nation Limited Partnership</v>
          </cell>
          <cell r="E2567" t="str">
            <v>CO</v>
          </cell>
          <cell r="F2567">
            <v>42982</v>
          </cell>
          <cell r="G2567">
            <v>43090</v>
          </cell>
          <cell r="H2567">
            <v>50286</v>
          </cell>
          <cell r="I2567" t="str">
            <v>19 years, 8 months, 13 days</v>
          </cell>
          <cell r="J2567" t="str">
            <v>Renewables</v>
          </cell>
          <cell r="K2567" t="str">
            <v>Solar (Rooftop)</v>
          </cell>
          <cell r="L2567" t="str">
            <v>Solar</v>
          </cell>
          <cell r="M2567" t="str">
            <v>Dx</v>
          </cell>
          <cell r="N2567" t="str">
            <v>Brampton</v>
          </cell>
          <cell r="O2567" t="str">
            <v>Peel</v>
          </cell>
          <cell r="P2567" t="str">
            <v>Toronto</v>
          </cell>
        </row>
        <row r="2568">
          <cell r="C2568" t="str">
            <v>Neil Britton Building Solar PV</v>
          </cell>
          <cell r="D2568" t="str">
            <v>The Corporation of the City of Belleville</v>
          </cell>
          <cell r="E2568" t="str">
            <v>CO</v>
          </cell>
          <cell r="F2568">
            <v>42452</v>
          </cell>
          <cell r="G2568">
            <v>42676</v>
          </cell>
          <cell r="H2568">
            <v>49756</v>
          </cell>
          <cell r="I2568" t="str">
            <v>19 years, 4 months, 20 days</v>
          </cell>
          <cell r="J2568" t="str">
            <v>Renewables</v>
          </cell>
          <cell r="K2568" t="str">
            <v>Solar (Rooftop)</v>
          </cell>
          <cell r="L2568" t="str">
            <v>Solar</v>
          </cell>
          <cell r="M2568" t="str">
            <v>Dx</v>
          </cell>
          <cell r="N2568" t="str">
            <v>Belleville</v>
          </cell>
          <cell r="O2568" t="str">
            <v>Hastings</v>
          </cell>
          <cell r="P2568" t="str">
            <v>East</v>
          </cell>
        </row>
        <row r="2569">
          <cell r="C2569" t="str">
            <v>Cedarwell Excavating Ltd.</v>
          </cell>
          <cell r="D2569" t="str">
            <v>JH Land &amp; Enterprises Ltd.</v>
          </cell>
          <cell r="E2569" t="str">
            <v>CO</v>
          </cell>
          <cell r="F2569">
            <v>42609</v>
          </cell>
          <cell r="G2569">
            <v>42597</v>
          </cell>
          <cell r="H2569">
            <v>49901</v>
          </cell>
          <cell r="I2569" t="str">
            <v>19 years, 11 months, 30 days</v>
          </cell>
          <cell r="J2569" t="str">
            <v>Renewables</v>
          </cell>
          <cell r="K2569" t="str">
            <v>Solar (Rooftop)</v>
          </cell>
          <cell r="L2569" t="str">
            <v>Solar</v>
          </cell>
          <cell r="M2569" t="str">
            <v>Dx</v>
          </cell>
          <cell r="N2569" t="str">
            <v>Hanover</v>
          </cell>
          <cell r="O2569" t="str">
            <v>Grey</v>
          </cell>
          <cell r="P2569" t="str">
            <v>Southwest</v>
          </cell>
        </row>
        <row r="2570">
          <cell r="C2570" t="str">
            <v>P084</v>
          </cell>
          <cell r="D2570" t="str">
            <v>Reliant First Nation Limited Partnership</v>
          </cell>
          <cell r="E2570" t="str">
            <v>CO</v>
          </cell>
          <cell r="F2570">
            <v>42982</v>
          </cell>
          <cell r="G2570">
            <v>43039</v>
          </cell>
          <cell r="H2570">
            <v>50286</v>
          </cell>
          <cell r="I2570" t="str">
            <v>19 years, 10 months, 3 days</v>
          </cell>
          <cell r="J2570" t="str">
            <v>Renewables</v>
          </cell>
          <cell r="K2570" t="str">
            <v>Solar (Rooftop)</v>
          </cell>
          <cell r="L2570" t="str">
            <v>Solar</v>
          </cell>
          <cell r="M2570" t="str">
            <v>Dx</v>
          </cell>
          <cell r="N2570" t="str">
            <v>Brampton</v>
          </cell>
          <cell r="O2570" t="str">
            <v>Peel</v>
          </cell>
          <cell r="P2570" t="str">
            <v>Toronto</v>
          </cell>
        </row>
        <row r="2571">
          <cell r="C2571" t="str">
            <v>LeBlanc_10020739</v>
          </cell>
          <cell r="D2571" t="str">
            <v>Skyline Private Opportunities Corp.</v>
          </cell>
          <cell r="E2571" t="str">
            <v>CO</v>
          </cell>
          <cell r="F2571">
            <v>42609</v>
          </cell>
          <cell r="G2571">
            <v>42699</v>
          </cell>
          <cell r="H2571">
            <v>49913</v>
          </cell>
          <cell r="I2571" t="str">
            <v>19 years, 9 months, 1 days</v>
          </cell>
          <cell r="J2571" t="str">
            <v>Renewables</v>
          </cell>
          <cell r="K2571" t="str">
            <v>Solar (Rooftop)</v>
          </cell>
          <cell r="L2571" t="str">
            <v>Solar</v>
          </cell>
          <cell r="M2571" t="str">
            <v>Dx</v>
          </cell>
          <cell r="N2571" t="str">
            <v>Sturgeon Falls</v>
          </cell>
          <cell r="O2571" t="str">
            <v>Nipissing</v>
          </cell>
          <cell r="P2571" t="str">
            <v>Northeast</v>
          </cell>
        </row>
        <row r="2572">
          <cell r="C2572" t="str">
            <v>SPN 392</v>
          </cell>
          <cell r="D2572" t="str">
            <v>SPN LP 2</v>
          </cell>
          <cell r="E2572" t="str">
            <v>CO</v>
          </cell>
          <cell r="F2572">
            <v>42682</v>
          </cell>
          <cell r="G2572">
            <v>42863</v>
          </cell>
          <cell r="H2572">
            <v>49986</v>
          </cell>
          <cell r="I2572" t="str">
            <v>19 years, 5 months, 30 days</v>
          </cell>
          <cell r="J2572" t="str">
            <v>Renewables</v>
          </cell>
          <cell r="K2572" t="str">
            <v>Solar (Rooftop)</v>
          </cell>
          <cell r="L2572" t="str">
            <v>Solar</v>
          </cell>
          <cell r="M2572" t="str">
            <v>Dx</v>
          </cell>
          <cell r="N2572" t="str">
            <v>Chatham</v>
          </cell>
          <cell r="O2572" t="str">
            <v>Chatham-Kent</v>
          </cell>
          <cell r="P2572" t="str">
            <v>West</v>
          </cell>
        </row>
        <row r="2573">
          <cell r="C2573" t="str">
            <v>Cranberry Creek Farms</v>
          </cell>
          <cell r="D2573" t="str">
            <v>CK Solar Projects LP</v>
          </cell>
          <cell r="E2573" t="str">
            <v>CO</v>
          </cell>
          <cell r="F2573">
            <v>42428</v>
          </cell>
          <cell r="G2573">
            <v>42621</v>
          </cell>
          <cell r="H2573">
            <v>49732</v>
          </cell>
          <cell r="I2573" t="str">
            <v>19 years, 5 months, 19 days</v>
          </cell>
          <cell r="J2573" t="str">
            <v>Renewables</v>
          </cell>
          <cell r="K2573" t="str">
            <v>Solar (Rooftop)</v>
          </cell>
          <cell r="L2573" t="str">
            <v>Solar</v>
          </cell>
          <cell r="M2573" t="str">
            <v>Dx</v>
          </cell>
          <cell r="N2573" t="str">
            <v>Kars</v>
          </cell>
          <cell r="O2573" t="str">
            <v>Ottawa</v>
          </cell>
          <cell r="P2573" t="str">
            <v>Ottawa</v>
          </cell>
        </row>
        <row r="2574">
          <cell r="C2574" t="str">
            <v>P224</v>
          </cell>
          <cell r="D2574" t="str">
            <v>Reliant First Nation Limited Partnership</v>
          </cell>
          <cell r="E2574" t="str">
            <v>CO</v>
          </cell>
          <cell r="F2574">
            <v>42987</v>
          </cell>
          <cell r="G2574">
            <v>42845</v>
          </cell>
          <cell r="H2574">
            <v>50149</v>
          </cell>
          <cell r="I2574" t="str">
            <v>19 years, 11 months, 30 days</v>
          </cell>
          <cell r="J2574" t="str">
            <v>Renewables</v>
          </cell>
          <cell r="K2574" t="str">
            <v>Solar (Rooftop)</v>
          </cell>
          <cell r="L2574" t="str">
            <v>Solar</v>
          </cell>
          <cell r="M2574" t="str">
            <v>Dx</v>
          </cell>
          <cell r="N2574" t="str">
            <v>Brampton</v>
          </cell>
          <cell r="O2574" t="str">
            <v>Peel</v>
          </cell>
          <cell r="P2574" t="str">
            <v>Toronto</v>
          </cell>
        </row>
        <row r="2575">
          <cell r="C2575" t="str">
            <v>SunEdison ON-13-0106</v>
          </cell>
          <cell r="D2575" t="str">
            <v>Solar Provider Canada Power Health LP</v>
          </cell>
          <cell r="E2575" t="str">
            <v>CO</v>
          </cell>
          <cell r="F2575">
            <v>42452</v>
          </cell>
          <cell r="G2575">
            <v>42613</v>
          </cell>
          <cell r="H2575">
            <v>49756</v>
          </cell>
          <cell r="I2575" t="str">
            <v>19 years, 6 months, 20 days</v>
          </cell>
          <cell r="J2575" t="str">
            <v>Renewables</v>
          </cell>
          <cell r="K2575" t="str">
            <v>Solar (Rooftop)</v>
          </cell>
          <cell r="L2575" t="str">
            <v>Solar</v>
          </cell>
          <cell r="M2575" t="str">
            <v>Dx</v>
          </cell>
          <cell r="N2575" t="str">
            <v>Hamilton</v>
          </cell>
          <cell r="O2575" t="str">
            <v>Hamilton</v>
          </cell>
          <cell r="P2575" t="str">
            <v>Southwest</v>
          </cell>
        </row>
        <row r="2576">
          <cell r="C2576" t="str">
            <v>Lot 8 Groundmount</v>
          </cell>
          <cell r="D2576" t="str">
            <v>Zaagate Giizis Energy Inc.</v>
          </cell>
          <cell r="E2576" t="str">
            <v>CO</v>
          </cell>
          <cell r="F2576">
            <v>43200</v>
          </cell>
          <cell r="G2576">
            <v>42829</v>
          </cell>
          <cell r="H2576">
            <v>50133</v>
          </cell>
          <cell r="I2576" t="str">
            <v>19 years, 11 months, 30 days</v>
          </cell>
          <cell r="J2576" t="str">
            <v>Renewables</v>
          </cell>
          <cell r="K2576" t="str">
            <v>Solar (Ground Mounted)</v>
          </cell>
          <cell r="L2576" t="str">
            <v>Solar</v>
          </cell>
          <cell r="M2576" t="str">
            <v>Dx</v>
          </cell>
          <cell r="N2576" t="str">
            <v>Sault Ste. Marie</v>
          </cell>
          <cell r="O2576" t="str">
            <v>Algoma</v>
          </cell>
          <cell r="P2576" t="str">
            <v>Northeast</v>
          </cell>
        </row>
        <row r="2577">
          <cell r="C2577" t="str">
            <v>Reitdijk_10021062</v>
          </cell>
          <cell r="D2577" t="str">
            <v>Skyline Private Opportunities Corp.</v>
          </cell>
          <cell r="E2577" t="str">
            <v>CO</v>
          </cell>
          <cell r="F2577">
            <v>42609</v>
          </cell>
          <cell r="G2577">
            <v>42635</v>
          </cell>
          <cell r="H2577">
            <v>49913</v>
          </cell>
          <cell r="I2577" t="str">
            <v>19 years, 11 months, 4 days</v>
          </cell>
          <cell r="J2577" t="str">
            <v>Renewables</v>
          </cell>
          <cell r="K2577" t="str">
            <v>Solar (Rooftop)</v>
          </cell>
          <cell r="L2577" t="str">
            <v>Solar</v>
          </cell>
          <cell r="M2577" t="str">
            <v>Dx</v>
          </cell>
          <cell r="N2577" t="str">
            <v>Murillo</v>
          </cell>
          <cell r="O2577" t="str">
            <v>Thunder Bay</v>
          </cell>
          <cell r="P2577" t="str">
            <v>Northwest</v>
          </cell>
        </row>
        <row r="2578">
          <cell r="C2578" t="str">
            <v>SPN 168</v>
          </cell>
          <cell r="D2578" t="str">
            <v>SPN LP 2</v>
          </cell>
          <cell r="E2578" t="str">
            <v>CO</v>
          </cell>
          <cell r="F2578">
            <v>42666</v>
          </cell>
          <cell r="G2578">
            <v>42846</v>
          </cell>
          <cell r="H2578">
            <v>49970</v>
          </cell>
          <cell r="I2578" t="str">
            <v>19 years, 6 months, 1 days</v>
          </cell>
          <cell r="J2578" t="str">
            <v>Renewables</v>
          </cell>
          <cell r="K2578" t="str">
            <v>Solar (Rooftop)</v>
          </cell>
          <cell r="L2578" t="str">
            <v>Solar</v>
          </cell>
          <cell r="M2578" t="str">
            <v>Dx</v>
          </cell>
          <cell r="N2578" t="str">
            <v>Chatham</v>
          </cell>
          <cell r="O2578" t="str">
            <v>Chatham-Kent</v>
          </cell>
          <cell r="P2578" t="str">
            <v>West</v>
          </cell>
        </row>
        <row r="2579">
          <cell r="C2579" t="str">
            <v>P009</v>
          </cell>
          <cell r="D2579" t="str">
            <v>Reliant First Nation Limited Partnership</v>
          </cell>
          <cell r="E2579" t="str">
            <v>CO</v>
          </cell>
          <cell r="F2579">
            <v>42433</v>
          </cell>
          <cell r="G2579">
            <v>42605</v>
          </cell>
          <cell r="H2579">
            <v>49737</v>
          </cell>
          <cell r="I2579" t="str">
            <v>19 years, 6 months, 9 days</v>
          </cell>
          <cell r="J2579" t="str">
            <v>Renewables</v>
          </cell>
          <cell r="K2579" t="str">
            <v>Solar (Rooftop)</v>
          </cell>
          <cell r="L2579" t="str">
            <v>Solar</v>
          </cell>
          <cell r="M2579" t="str">
            <v>Dx</v>
          </cell>
          <cell r="N2579" t="str">
            <v>Mississauga</v>
          </cell>
          <cell r="O2579" t="str">
            <v>Peel</v>
          </cell>
          <cell r="P2579" t="str">
            <v>Toronto</v>
          </cell>
        </row>
        <row r="2580">
          <cell r="C2580" t="str">
            <v>SPN 535</v>
          </cell>
          <cell r="D2580" t="str">
            <v>SPN LP 3</v>
          </cell>
          <cell r="E2580" t="str">
            <v>CO</v>
          </cell>
          <cell r="F2580">
            <v>42653</v>
          </cell>
          <cell r="G2580">
            <v>42835</v>
          </cell>
          <cell r="H2580">
            <v>49957</v>
          </cell>
          <cell r="I2580" t="str">
            <v>19 years, 5 months, 29 days</v>
          </cell>
          <cell r="J2580" t="str">
            <v>Renewables</v>
          </cell>
          <cell r="K2580" t="str">
            <v>Solar (Rooftop)</v>
          </cell>
          <cell r="L2580" t="str">
            <v>Solar</v>
          </cell>
          <cell r="M2580" t="str">
            <v>Dx</v>
          </cell>
          <cell r="N2580" t="str">
            <v>Chatham</v>
          </cell>
          <cell r="O2580" t="str">
            <v>Chatham-Kent</v>
          </cell>
          <cell r="P2580" t="str">
            <v>West</v>
          </cell>
        </row>
        <row r="2581">
          <cell r="C2581" t="str">
            <v>HJ Smith Solar</v>
          </cell>
          <cell r="D2581" t="str">
            <v>OREC-Smith Solar JV Inc.</v>
          </cell>
          <cell r="E2581" t="str">
            <v>CO</v>
          </cell>
          <cell r="F2581">
            <v>42427</v>
          </cell>
          <cell r="G2581">
            <v>42250</v>
          </cell>
          <cell r="H2581">
            <v>49554</v>
          </cell>
          <cell r="I2581" t="str">
            <v>19 years, 11 months, 30 days</v>
          </cell>
          <cell r="J2581" t="str">
            <v>Renewables</v>
          </cell>
          <cell r="K2581" t="str">
            <v>Solar (Rooftop)</v>
          </cell>
          <cell r="L2581" t="str">
            <v>Solar</v>
          </cell>
          <cell r="M2581" t="str">
            <v>Dx</v>
          </cell>
          <cell r="N2581" t="str">
            <v>Woodlawn</v>
          </cell>
          <cell r="O2581" t="str">
            <v>Ottawa</v>
          </cell>
          <cell r="P2581" t="str">
            <v>East</v>
          </cell>
        </row>
        <row r="2582">
          <cell r="C2582" t="str">
            <v>P004</v>
          </cell>
          <cell r="D2582" t="str">
            <v>Reliant First Nation Limited Partnership</v>
          </cell>
          <cell r="E2582" t="str">
            <v>CO</v>
          </cell>
          <cell r="F2582">
            <v>42438</v>
          </cell>
          <cell r="G2582">
            <v>42605</v>
          </cell>
          <cell r="H2582">
            <v>49742</v>
          </cell>
          <cell r="I2582" t="str">
            <v>19 years, 6 months, 14 days</v>
          </cell>
          <cell r="J2582" t="str">
            <v>Renewables</v>
          </cell>
          <cell r="K2582" t="str">
            <v>Solar (Rooftop)</v>
          </cell>
          <cell r="L2582" t="str">
            <v>Solar</v>
          </cell>
          <cell r="M2582" t="str">
            <v>Dx</v>
          </cell>
          <cell r="N2582" t="str">
            <v>Mississauga</v>
          </cell>
          <cell r="O2582" t="str">
            <v>Peel</v>
          </cell>
          <cell r="P2582" t="str">
            <v>Toronto</v>
          </cell>
        </row>
        <row r="2583">
          <cell r="C2583" t="str">
            <v>P177</v>
          </cell>
          <cell r="D2583" t="str">
            <v>Reliant First Nation Limited Partnership</v>
          </cell>
          <cell r="E2583" t="str">
            <v>CO</v>
          </cell>
          <cell r="F2583">
            <v>42982</v>
          </cell>
          <cell r="G2583">
            <v>43158</v>
          </cell>
          <cell r="H2583">
            <v>50286</v>
          </cell>
          <cell r="I2583" t="str">
            <v>19 years, 6 months, 7 days</v>
          </cell>
          <cell r="J2583" t="str">
            <v>Renewables</v>
          </cell>
          <cell r="K2583" t="str">
            <v>Solar (Rooftop)</v>
          </cell>
          <cell r="L2583" t="str">
            <v>Solar</v>
          </cell>
          <cell r="M2583" t="str">
            <v>Dx</v>
          </cell>
          <cell r="N2583" t="str">
            <v>Brampton</v>
          </cell>
          <cell r="O2583" t="str">
            <v>Peel</v>
          </cell>
          <cell r="P2583" t="str">
            <v>Toronto</v>
          </cell>
        </row>
        <row r="2584">
          <cell r="C2584" t="str">
            <v>P065</v>
          </cell>
          <cell r="D2584" t="str">
            <v>Reliant First Nation Limited Partnership</v>
          </cell>
          <cell r="E2584" t="str">
            <v>CO</v>
          </cell>
          <cell r="F2584">
            <v>42989</v>
          </cell>
          <cell r="G2584">
            <v>42804</v>
          </cell>
          <cell r="H2584">
            <v>50108</v>
          </cell>
          <cell r="I2584" t="str">
            <v>19 years, 11 months, 27 days</v>
          </cell>
          <cell r="J2584" t="str">
            <v>Renewables</v>
          </cell>
          <cell r="K2584" t="str">
            <v>Solar (Rooftop)</v>
          </cell>
          <cell r="L2584" t="str">
            <v>Solar</v>
          </cell>
          <cell r="M2584" t="str">
            <v>Dx</v>
          </cell>
          <cell r="N2584" t="str">
            <v>Mississauga</v>
          </cell>
          <cell r="O2584" t="str">
            <v>Peel</v>
          </cell>
          <cell r="P2584" t="str">
            <v>Toronto</v>
          </cell>
        </row>
        <row r="2585">
          <cell r="C2585" t="str">
            <v>NTR Solar III</v>
          </cell>
          <cell r="D2585" t="str">
            <v>OSPSD AND WIKWEMIKONG FIT 3 LIMITED PARTNERSHIP</v>
          </cell>
          <cell r="E2585" t="str">
            <v>CO</v>
          </cell>
          <cell r="F2585">
            <v>42671</v>
          </cell>
          <cell r="G2585">
            <v>42404</v>
          </cell>
          <cell r="H2585">
            <v>49708</v>
          </cell>
          <cell r="I2585" t="str">
            <v>19 years, 11 months, 30 days</v>
          </cell>
          <cell r="J2585" t="str">
            <v>Renewables</v>
          </cell>
          <cell r="K2585" t="str">
            <v>Solar (Rooftop)</v>
          </cell>
          <cell r="L2585" t="str">
            <v>Solar</v>
          </cell>
          <cell r="M2585" t="str">
            <v>Dx</v>
          </cell>
          <cell r="N2585" t="str">
            <v>Newmarket</v>
          </cell>
          <cell r="O2585" t="str">
            <v>York</v>
          </cell>
          <cell r="P2585" t="str">
            <v>Essa</v>
          </cell>
        </row>
        <row r="2586">
          <cell r="C2586" t="str">
            <v>Unionville HS 40kW</v>
          </cell>
          <cell r="D2586" t="str">
            <v>York Region District School Board</v>
          </cell>
          <cell r="E2586" t="str">
            <v>CO</v>
          </cell>
          <cell r="F2586">
            <v>42445</v>
          </cell>
          <cell r="G2586">
            <v>42403</v>
          </cell>
          <cell r="H2586">
            <v>49707</v>
          </cell>
          <cell r="I2586" t="str">
            <v>19 years, 11 months, 30 days</v>
          </cell>
          <cell r="J2586" t="str">
            <v>Renewables</v>
          </cell>
          <cell r="K2586" t="str">
            <v>Solar (Rooftop)</v>
          </cell>
          <cell r="L2586" t="str">
            <v>Solar</v>
          </cell>
          <cell r="M2586" t="str">
            <v>Dx</v>
          </cell>
          <cell r="N2586" t="str">
            <v>Markham</v>
          </cell>
          <cell r="O2586" t="str">
            <v>York</v>
          </cell>
          <cell r="P2586" t="str">
            <v>Toronto</v>
          </cell>
        </row>
        <row r="2587">
          <cell r="C2587" t="str">
            <v>25 Struck Court 2</v>
          </cell>
          <cell r="D2587" t="str">
            <v>2356931 ONTARIO INC.</v>
          </cell>
          <cell r="E2587" t="str">
            <v>CO</v>
          </cell>
          <cell r="F2587">
            <v>42428</v>
          </cell>
          <cell r="G2587">
            <v>42473</v>
          </cell>
          <cell r="H2587">
            <v>49732</v>
          </cell>
          <cell r="I2587" t="str">
            <v>19 years, 10 months, 14 days</v>
          </cell>
          <cell r="J2587" t="str">
            <v>Renewables</v>
          </cell>
          <cell r="K2587" t="str">
            <v>Solar (Rooftop)</v>
          </cell>
          <cell r="L2587" t="str">
            <v>Solar</v>
          </cell>
          <cell r="M2587" t="str">
            <v>Dx</v>
          </cell>
          <cell r="N2587" t="str">
            <v>Cambridge</v>
          </cell>
          <cell r="O2587" t="str">
            <v>Waterloo</v>
          </cell>
          <cell r="P2587" t="str">
            <v>Southwest</v>
          </cell>
        </row>
        <row r="2588">
          <cell r="C2588" t="str">
            <v>Laurier Solar</v>
          </cell>
          <cell r="D2588" t="str">
            <v>Saturn Solar LP 1</v>
          </cell>
          <cell r="E2588" t="str">
            <v>CO</v>
          </cell>
          <cell r="F2588">
            <v>42427</v>
          </cell>
          <cell r="G2588">
            <v>42328</v>
          </cell>
          <cell r="H2588">
            <v>49632</v>
          </cell>
          <cell r="I2588" t="str">
            <v>19 years, 11 months, 30 days</v>
          </cell>
          <cell r="J2588" t="str">
            <v>Renewables</v>
          </cell>
          <cell r="K2588" t="str">
            <v>Solar (Rooftop)</v>
          </cell>
          <cell r="L2588" t="str">
            <v>Solar</v>
          </cell>
          <cell r="M2588" t="str">
            <v>Dx</v>
          </cell>
          <cell r="N2588" t="str">
            <v>Brockville</v>
          </cell>
          <cell r="O2588" t="str">
            <v>Leeds and Grenville</v>
          </cell>
          <cell r="P2588" t="str">
            <v>East</v>
          </cell>
        </row>
        <row r="2589">
          <cell r="C2589" t="str">
            <v>SunEdison ON-11-0386</v>
          </cell>
          <cell r="D2589" t="str">
            <v>GSC Southlake Solar LP</v>
          </cell>
          <cell r="E2589" t="str">
            <v>CO</v>
          </cell>
          <cell r="F2589">
            <v>43211</v>
          </cell>
          <cell r="G2589">
            <v>43759</v>
          </cell>
          <cell r="H2589">
            <v>50515</v>
          </cell>
          <cell r="I2589" t="str">
            <v>18 years, 5 months, 30 days</v>
          </cell>
          <cell r="J2589" t="str">
            <v>Renewables</v>
          </cell>
          <cell r="K2589" t="str">
            <v>Solar (Ground Mounted)</v>
          </cell>
          <cell r="L2589" t="str">
            <v>Solar</v>
          </cell>
          <cell r="M2589" t="str">
            <v>Dx</v>
          </cell>
          <cell r="N2589" t="str">
            <v>Havelock</v>
          </cell>
          <cell r="O2589" t="str">
            <v>Peterborough</v>
          </cell>
          <cell r="P2589" t="str">
            <v>East</v>
          </cell>
        </row>
        <row r="2590">
          <cell r="C2590" t="str">
            <v>GreenLife Solar 19</v>
          </cell>
          <cell r="D2590" t="str">
            <v>GreenLife Solar Projects Inc.</v>
          </cell>
          <cell r="E2590" t="str">
            <v>CO</v>
          </cell>
          <cell r="F2590">
            <v>43200</v>
          </cell>
          <cell r="G2590">
            <v>43706</v>
          </cell>
          <cell r="H2590">
            <v>50504</v>
          </cell>
          <cell r="I2590" t="str">
            <v>18 years, 7 months, 11 days</v>
          </cell>
          <cell r="J2590" t="str">
            <v>Renewables</v>
          </cell>
          <cell r="K2590" t="str">
            <v>Solar (Ground Mounted)</v>
          </cell>
          <cell r="L2590" t="str">
            <v>Solar</v>
          </cell>
          <cell r="M2590" t="str">
            <v>Dx</v>
          </cell>
          <cell r="N2590" t="str">
            <v>Campbellcroft</v>
          </cell>
          <cell r="O2590" t="str">
            <v>Northumberland</v>
          </cell>
          <cell r="P2590" t="str">
            <v>East</v>
          </cell>
        </row>
        <row r="2591">
          <cell r="C2591" t="str">
            <v>P030</v>
          </cell>
          <cell r="D2591" t="str">
            <v>Reliant First Nation Limited Partnership</v>
          </cell>
          <cell r="E2591" t="str">
            <v>CO</v>
          </cell>
          <cell r="F2591">
            <v>42989</v>
          </cell>
          <cell r="G2591">
            <v>42790</v>
          </cell>
          <cell r="H2591">
            <v>50094</v>
          </cell>
          <cell r="I2591" t="str">
            <v>19 years, 11 months, 30 days</v>
          </cell>
          <cell r="J2591" t="str">
            <v>Renewables</v>
          </cell>
          <cell r="K2591" t="str">
            <v>Solar (Rooftop)</v>
          </cell>
          <cell r="L2591" t="str">
            <v>Solar</v>
          </cell>
          <cell r="M2591" t="str">
            <v>Dx</v>
          </cell>
          <cell r="N2591" t="str">
            <v>Mississauga</v>
          </cell>
          <cell r="O2591" t="str">
            <v>Peel</v>
          </cell>
          <cell r="P2591" t="str">
            <v>Toronto</v>
          </cell>
        </row>
        <row r="2592">
          <cell r="C2592" t="str">
            <v>GE016</v>
          </cell>
          <cell r="D2592" t="str">
            <v>SIF #2 Reliant Essex LP</v>
          </cell>
          <cell r="E2592" t="str">
            <v>CO</v>
          </cell>
          <cell r="F2592">
            <v>42438</v>
          </cell>
          <cell r="G2592">
            <v>42598</v>
          </cell>
          <cell r="H2592">
            <v>49742</v>
          </cell>
          <cell r="I2592" t="str">
            <v>19 years, 6 months, 21 days</v>
          </cell>
          <cell r="J2592" t="str">
            <v>Renewables</v>
          </cell>
          <cell r="K2592" t="str">
            <v>Solar (Rooftop)</v>
          </cell>
          <cell r="L2592" t="str">
            <v>Solar</v>
          </cell>
          <cell r="M2592" t="str">
            <v>Dx</v>
          </cell>
          <cell r="N2592" t="str">
            <v>Windsor</v>
          </cell>
          <cell r="O2592" t="str">
            <v>Essex</v>
          </cell>
          <cell r="P2592" t="str">
            <v>West</v>
          </cell>
        </row>
        <row r="2593">
          <cell r="C2593" t="str">
            <v>Disco Yard</v>
          </cell>
          <cell r="D2593" t="str">
            <v>City of Toronto</v>
          </cell>
          <cell r="E2593" t="str">
            <v>CO</v>
          </cell>
          <cell r="F2593">
            <v>42432</v>
          </cell>
          <cell r="G2593">
            <v>42411</v>
          </cell>
          <cell r="H2593">
            <v>49715</v>
          </cell>
          <cell r="I2593" t="str">
            <v>19 years, 11 months, 30 days</v>
          </cell>
          <cell r="J2593" t="str">
            <v>Renewables</v>
          </cell>
          <cell r="K2593" t="str">
            <v>Solar (Rooftop)</v>
          </cell>
          <cell r="L2593" t="str">
            <v>Solar</v>
          </cell>
          <cell r="M2593" t="str">
            <v>Dx</v>
          </cell>
          <cell r="N2593" t="str">
            <v>Toronto</v>
          </cell>
          <cell r="O2593" t="str">
            <v>Toronto</v>
          </cell>
          <cell r="P2593" t="str">
            <v>Toronto</v>
          </cell>
        </row>
        <row r="2594">
          <cell r="C2594" t="str">
            <v>110 Iber Road</v>
          </cell>
          <cell r="D2594" t="str">
            <v>Hydro Ottawa Holding Inc.</v>
          </cell>
          <cell r="E2594" t="str">
            <v>CO</v>
          </cell>
          <cell r="F2594">
            <v>42447</v>
          </cell>
          <cell r="G2594">
            <v>42558</v>
          </cell>
          <cell r="H2594">
            <v>49751</v>
          </cell>
          <cell r="I2594" t="str">
            <v>19 years, 8 months, 10 days</v>
          </cell>
          <cell r="J2594" t="str">
            <v>Renewables</v>
          </cell>
          <cell r="K2594" t="str">
            <v>Solar (Rooftop)</v>
          </cell>
          <cell r="L2594" t="str">
            <v>Solar</v>
          </cell>
          <cell r="M2594" t="str">
            <v>Dx</v>
          </cell>
          <cell r="N2594" t="str">
            <v>Ottawa</v>
          </cell>
          <cell r="O2594" t="str">
            <v>Ottawa</v>
          </cell>
          <cell r="P2594" t="str">
            <v>Ottawa</v>
          </cell>
        </row>
        <row r="2595">
          <cell r="C2595" t="str">
            <v>GGELP_0018</v>
          </cell>
          <cell r="D2595" t="str">
            <v>Gengrowth Energy LP</v>
          </cell>
          <cell r="E2595" t="str">
            <v>CO</v>
          </cell>
          <cell r="F2595">
            <v>42974</v>
          </cell>
          <cell r="G2595">
            <v>43109</v>
          </cell>
          <cell r="H2595">
            <v>50278</v>
          </cell>
          <cell r="I2595" t="str">
            <v>19 years, 7 months, 17 days</v>
          </cell>
          <cell r="J2595" t="str">
            <v>Renewables</v>
          </cell>
          <cell r="K2595" t="str">
            <v>Solar (Ground Mounted)</v>
          </cell>
          <cell r="L2595" t="str">
            <v>Solar</v>
          </cell>
          <cell r="M2595" t="str">
            <v>Dx</v>
          </cell>
          <cell r="N2595" t="str">
            <v>Peterborough</v>
          </cell>
          <cell r="O2595" t="str">
            <v>Peterborough</v>
          </cell>
          <cell r="P2595" t="str">
            <v>East</v>
          </cell>
        </row>
        <row r="2596">
          <cell r="C2596" t="str">
            <v>GreenLife Solar 18</v>
          </cell>
          <cell r="D2596" t="str">
            <v>GreenLife Solar Projects Inc.</v>
          </cell>
          <cell r="E2596" t="str">
            <v>CO</v>
          </cell>
          <cell r="F2596">
            <v>42976</v>
          </cell>
          <cell r="G2596">
            <v>43489</v>
          </cell>
          <cell r="H2596">
            <v>50280</v>
          </cell>
          <cell r="I2596" t="str">
            <v>18 years, 7 months, 4 days</v>
          </cell>
          <cell r="J2596" t="str">
            <v>Renewables</v>
          </cell>
          <cell r="K2596" t="str">
            <v>Solar (Ground Mounted)</v>
          </cell>
          <cell r="L2596" t="str">
            <v>Solar</v>
          </cell>
          <cell r="M2596" t="str">
            <v>Dx</v>
          </cell>
          <cell r="N2596" t="str">
            <v>Peterborough</v>
          </cell>
          <cell r="O2596" t="str">
            <v>Peterborough</v>
          </cell>
          <cell r="P2596" t="str">
            <v>East</v>
          </cell>
        </row>
        <row r="2597">
          <cell r="C2597" t="str">
            <v>P100</v>
          </cell>
          <cell r="D2597" t="str">
            <v>Reliant First Nation Limited Partnership</v>
          </cell>
          <cell r="E2597" t="str">
            <v>CO</v>
          </cell>
          <cell r="F2597">
            <v>42994</v>
          </cell>
          <cell r="G2597">
            <v>43049</v>
          </cell>
          <cell r="H2597">
            <v>50298</v>
          </cell>
          <cell r="I2597" t="str">
            <v>19 years, 10 months, 5 days</v>
          </cell>
          <cell r="J2597" t="str">
            <v>Renewables</v>
          </cell>
          <cell r="K2597" t="str">
            <v>Solar (Rooftop)</v>
          </cell>
          <cell r="L2597" t="str">
            <v>Solar</v>
          </cell>
          <cell r="M2597" t="str">
            <v>Dx</v>
          </cell>
          <cell r="N2597" t="str">
            <v>Mississauga</v>
          </cell>
          <cell r="O2597" t="str">
            <v>Peel</v>
          </cell>
          <cell r="P2597" t="str">
            <v>Toronto</v>
          </cell>
        </row>
        <row r="2598">
          <cell r="C2598" t="str">
            <v>P015</v>
          </cell>
          <cell r="D2598" t="str">
            <v>Reliant First Nation Limited Partnership</v>
          </cell>
          <cell r="E2598" t="str">
            <v>CO</v>
          </cell>
          <cell r="F2598">
            <v>42433</v>
          </cell>
          <cell r="G2598">
            <v>42613</v>
          </cell>
          <cell r="H2598">
            <v>49737</v>
          </cell>
          <cell r="I2598" t="str">
            <v>19 years, 6 months, 1 days</v>
          </cell>
          <cell r="J2598" t="str">
            <v>Renewables</v>
          </cell>
          <cell r="K2598" t="str">
            <v>Solar (Rooftop)</v>
          </cell>
          <cell r="L2598" t="str">
            <v>Solar</v>
          </cell>
          <cell r="M2598" t="str">
            <v>Dx</v>
          </cell>
          <cell r="N2598" t="str">
            <v>Brampton</v>
          </cell>
          <cell r="O2598" t="str">
            <v>Peel</v>
          </cell>
          <cell r="P2598" t="str">
            <v>Toronto</v>
          </cell>
        </row>
        <row r="2599">
          <cell r="C2599" t="str">
            <v>P229</v>
          </cell>
          <cell r="D2599" t="str">
            <v>Reliant First Nation Limited Partnership</v>
          </cell>
          <cell r="E2599" t="str">
            <v>CO</v>
          </cell>
          <cell r="F2599">
            <v>42433</v>
          </cell>
          <cell r="G2599">
            <v>42613</v>
          </cell>
          <cell r="H2599">
            <v>49737</v>
          </cell>
          <cell r="I2599" t="str">
            <v>19 years, 6 months, 1 days</v>
          </cell>
          <cell r="J2599" t="str">
            <v>Renewables</v>
          </cell>
          <cell r="K2599" t="str">
            <v>Solar (Rooftop)</v>
          </cell>
          <cell r="L2599" t="str">
            <v>Solar</v>
          </cell>
          <cell r="M2599" t="str">
            <v>Dx</v>
          </cell>
          <cell r="N2599" t="str">
            <v>Brampton</v>
          </cell>
          <cell r="O2599" t="str">
            <v>Peel</v>
          </cell>
          <cell r="P2599" t="str">
            <v>Toronto</v>
          </cell>
        </row>
        <row r="2600">
          <cell r="C2600" t="str">
            <v>LDCSB Monsignor Morrison</v>
          </cell>
          <cell r="D2600" t="str">
            <v>Ameresco LDCSB Solar Inc.</v>
          </cell>
          <cell r="E2600" t="str">
            <v>CO</v>
          </cell>
          <cell r="F2600">
            <v>42428</v>
          </cell>
          <cell r="G2600">
            <v>42530</v>
          </cell>
          <cell r="H2600">
            <v>49732</v>
          </cell>
          <cell r="I2600" t="str">
            <v>19 years, 8 months, 18 days</v>
          </cell>
          <cell r="J2600" t="str">
            <v>Renewables</v>
          </cell>
          <cell r="K2600" t="str">
            <v>Solar (Rooftop)</v>
          </cell>
          <cell r="L2600" t="str">
            <v>Solar</v>
          </cell>
          <cell r="M2600" t="str">
            <v>Dx</v>
          </cell>
          <cell r="N2600" t="str">
            <v>St. Thomas</v>
          </cell>
          <cell r="O2600" t="str">
            <v>Elgin</v>
          </cell>
          <cell r="P2600" t="str">
            <v>West</v>
          </cell>
        </row>
        <row r="2601">
          <cell r="C2601" t="str">
            <v>P152</v>
          </cell>
          <cell r="D2601" t="str">
            <v>Reliant First Nation Limited Partnership</v>
          </cell>
          <cell r="E2601" t="str">
            <v>CO</v>
          </cell>
          <cell r="F2601">
            <v>42982</v>
          </cell>
          <cell r="G2601">
            <v>42815</v>
          </cell>
          <cell r="H2601">
            <v>50119</v>
          </cell>
          <cell r="I2601" t="str">
            <v>19 years, 11 months, 27 days</v>
          </cell>
          <cell r="J2601" t="str">
            <v>Renewables</v>
          </cell>
          <cell r="K2601" t="str">
            <v>Solar (Rooftop)</v>
          </cell>
          <cell r="L2601" t="str">
            <v>Solar</v>
          </cell>
          <cell r="M2601" t="str">
            <v>Dx</v>
          </cell>
          <cell r="N2601" t="str">
            <v>Brampton</v>
          </cell>
          <cell r="O2601" t="str">
            <v>Peel</v>
          </cell>
          <cell r="P2601" t="str">
            <v>Toronto</v>
          </cell>
        </row>
        <row r="2602">
          <cell r="C2602" t="str">
            <v>P037</v>
          </cell>
          <cell r="D2602" t="str">
            <v>Reliant First Nation Limited Partnership</v>
          </cell>
          <cell r="E2602" t="str">
            <v>CO</v>
          </cell>
          <cell r="F2602">
            <v>42987</v>
          </cell>
          <cell r="G2602">
            <v>43116</v>
          </cell>
          <cell r="H2602">
            <v>50291</v>
          </cell>
          <cell r="I2602" t="str">
            <v>19 years, 7 months, 23 days</v>
          </cell>
          <cell r="J2602" t="str">
            <v>Renewables</v>
          </cell>
          <cell r="K2602" t="str">
            <v>Solar (Rooftop)</v>
          </cell>
          <cell r="L2602" t="str">
            <v>Solar</v>
          </cell>
          <cell r="M2602" t="str">
            <v>Dx</v>
          </cell>
          <cell r="N2602" t="str">
            <v>Mississauga</v>
          </cell>
          <cell r="O2602" t="str">
            <v>Peel</v>
          </cell>
          <cell r="P2602" t="str">
            <v>Toronto</v>
          </cell>
        </row>
        <row r="2603">
          <cell r="C2603" t="str">
            <v>P176</v>
          </cell>
          <cell r="D2603" t="str">
            <v>Reliant First Nation Limited Partnership</v>
          </cell>
          <cell r="E2603" t="str">
            <v>CO</v>
          </cell>
          <cell r="F2603">
            <v>42987</v>
          </cell>
          <cell r="G2603">
            <v>43111</v>
          </cell>
          <cell r="H2603">
            <v>50291</v>
          </cell>
          <cell r="I2603" t="str">
            <v>19 years, 7 months, 28 days</v>
          </cell>
          <cell r="J2603" t="str">
            <v>Renewables</v>
          </cell>
          <cell r="K2603" t="str">
            <v>Solar (Rooftop)</v>
          </cell>
          <cell r="L2603" t="str">
            <v>Solar</v>
          </cell>
          <cell r="M2603" t="str">
            <v>Dx</v>
          </cell>
          <cell r="N2603" t="str">
            <v>Brampton</v>
          </cell>
          <cell r="O2603" t="str">
            <v>Peel</v>
          </cell>
          <cell r="P2603" t="str">
            <v>Toronto</v>
          </cell>
        </row>
        <row r="2604">
          <cell r="C2604" t="str">
            <v>SPN 372</v>
          </cell>
          <cell r="D2604" t="str">
            <v>OFIT GM INC.</v>
          </cell>
          <cell r="E2604" t="str">
            <v>CO</v>
          </cell>
          <cell r="F2604">
            <v>42659</v>
          </cell>
          <cell r="G2604">
            <v>43006</v>
          </cell>
          <cell r="H2604">
            <v>49963</v>
          </cell>
          <cell r="I2604" t="str">
            <v>19 years, 0 months, 17 days</v>
          </cell>
          <cell r="J2604" t="str">
            <v>Renewables</v>
          </cell>
          <cell r="K2604" t="str">
            <v>Solar (Rooftop)</v>
          </cell>
          <cell r="L2604" t="str">
            <v>Solar</v>
          </cell>
          <cell r="M2604" t="str">
            <v>Dx</v>
          </cell>
          <cell r="N2604" t="str">
            <v>St. Thomas</v>
          </cell>
          <cell r="O2604" t="str">
            <v>Elgin</v>
          </cell>
          <cell r="P2604" t="str">
            <v>West</v>
          </cell>
        </row>
        <row r="2605">
          <cell r="C2605" t="str">
            <v>SPN 316</v>
          </cell>
          <cell r="D2605" t="str">
            <v>SPN LP 4</v>
          </cell>
          <cell r="E2605" t="str">
            <v>CO</v>
          </cell>
          <cell r="F2605">
            <v>42666</v>
          </cell>
          <cell r="G2605">
            <v>42891</v>
          </cell>
          <cell r="H2605">
            <v>49970</v>
          </cell>
          <cell r="I2605" t="str">
            <v>19 years, 4 months, 17 days</v>
          </cell>
          <cell r="J2605" t="str">
            <v>Renewables</v>
          </cell>
          <cell r="K2605" t="str">
            <v>Solar (Rooftop)</v>
          </cell>
          <cell r="L2605" t="str">
            <v>Solar</v>
          </cell>
          <cell r="M2605" t="str">
            <v>Dx</v>
          </cell>
          <cell r="N2605" t="str">
            <v>Port Dover</v>
          </cell>
          <cell r="O2605" t="str">
            <v>Norfolk</v>
          </cell>
          <cell r="P2605" t="str">
            <v>Southwest</v>
          </cell>
        </row>
        <row r="2606">
          <cell r="C2606" t="str">
            <v>SPN 113</v>
          </cell>
          <cell r="D2606" t="str">
            <v>SPN LP 1</v>
          </cell>
          <cell r="E2606" t="str">
            <v>CO</v>
          </cell>
          <cell r="F2606">
            <v>42671</v>
          </cell>
          <cell r="G2606">
            <v>42846</v>
          </cell>
          <cell r="H2606">
            <v>49975</v>
          </cell>
          <cell r="I2606" t="str">
            <v>19 years, 6 months, 6 days</v>
          </cell>
          <cell r="J2606" t="str">
            <v>Renewables</v>
          </cell>
          <cell r="K2606" t="str">
            <v>Solar (Rooftop)</v>
          </cell>
          <cell r="L2606" t="str">
            <v>Solar</v>
          </cell>
          <cell r="M2606" t="str">
            <v>Dx</v>
          </cell>
          <cell r="N2606" t="str">
            <v>Leamington</v>
          </cell>
          <cell r="O2606" t="str">
            <v>Essex</v>
          </cell>
          <cell r="P2606" t="str">
            <v>West</v>
          </cell>
        </row>
        <row r="2607">
          <cell r="C2607" t="str">
            <v>SPN 216</v>
          </cell>
          <cell r="D2607" t="str">
            <v>SPN LP 4</v>
          </cell>
          <cell r="E2607" t="str">
            <v>CO</v>
          </cell>
          <cell r="F2607">
            <v>42666</v>
          </cell>
          <cell r="G2607">
            <v>42888</v>
          </cell>
          <cell r="H2607">
            <v>49970</v>
          </cell>
          <cell r="I2607" t="str">
            <v>19 years, 4 months, 20 days</v>
          </cell>
          <cell r="J2607" t="str">
            <v>Renewables</v>
          </cell>
          <cell r="K2607" t="str">
            <v>Solar (Rooftop)</v>
          </cell>
          <cell r="L2607" t="str">
            <v>Solar</v>
          </cell>
          <cell r="M2607" t="str">
            <v>Dx</v>
          </cell>
          <cell r="N2607" t="str">
            <v>Simcoe</v>
          </cell>
          <cell r="O2607" t="str">
            <v>Norfolk</v>
          </cell>
          <cell r="P2607" t="str">
            <v>Southwest</v>
          </cell>
        </row>
        <row r="2608">
          <cell r="C2608" t="str">
            <v>Kirkland Lake #1</v>
          </cell>
          <cell r="D2608" t="str">
            <v>The Town of Kirkland Lake Solar Inc.</v>
          </cell>
          <cell r="E2608" t="str">
            <v>CO</v>
          </cell>
          <cell r="F2608">
            <v>42996</v>
          </cell>
          <cell r="G2608">
            <v>43542</v>
          </cell>
          <cell r="H2608">
            <v>50300</v>
          </cell>
          <cell r="I2608" t="str">
            <v>18 years, 5 months, 30 days</v>
          </cell>
          <cell r="J2608" t="str">
            <v>Renewables</v>
          </cell>
          <cell r="K2608" t="str">
            <v>Solar (Ground Mounted)</v>
          </cell>
          <cell r="L2608" t="str">
            <v>Solar</v>
          </cell>
          <cell r="M2608" t="str">
            <v>Dx</v>
          </cell>
          <cell r="N2608" t="str">
            <v>Kirkland Lake</v>
          </cell>
          <cell r="O2608" t="str">
            <v>Timiskaming</v>
          </cell>
          <cell r="P2608" t="str">
            <v>Northeast</v>
          </cell>
        </row>
        <row r="2609">
          <cell r="C2609" t="str">
            <v>N.T. Recreational Centre - 7300 Industrial Parkway</v>
          </cell>
          <cell r="D2609" t="str">
            <v>Sologix Clean Energy Corporation</v>
          </cell>
          <cell r="E2609" t="str">
            <v>CO</v>
          </cell>
          <cell r="F2609">
            <v>42664</v>
          </cell>
          <cell r="G2609">
            <v>42846</v>
          </cell>
          <cell r="H2609">
            <v>49968</v>
          </cell>
          <cell r="I2609" t="str">
            <v>19 years, 5 months, 29 days</v>
          </cell>
          <cell r="J2609" t="str">
            <v>Renewables</v>
          </cell>
          <cell r="K2609" t="str">
            <v>Solar (Rooftop)</v>
          </cell>
          <cell r="L2609" t="str">
            <v>Solar</v>
          </cell>
          <cell r="M2609" t="str">
            <v>Dx</v>
          </cell>
          <cell r="N2609" t="str">
            <v>Alliston</v>
          </cell>
          <cell r="O2609" t="str">
            <v>Simcoe</v>
          </cell>
          <cell r="P2609" t="str">
            <v>Southwest</v>
          </cell>
        </row>
        <row r="2610">
          <cell r="C2610" t="str">
            <v>Sixteen Mile Sports Complex</v>
          </cell>
          <cell r="D2610" t="str">
            <v>Corporation of the Town of Oakville</v>
          </cell>
          <cell r="E2610" t="str">
            <v>CO</v>
          </cell>
          <cell r="F2610">
            <v>42447</v>
          </cell>
          <cell r="G2610">
            <v>42272</v>
          </cell>
          <cell r="H2610">
            <v>49576</v>
          </cell>
          <cell r="I2610" t="str">
            <v>19 years, 11 months, 30 days</v>
          </cell>
          <cell r="J2610" t="str">
            <v>Renewables</v>
          </cell>
          <cell r="K2610" t="str">
            <v>Solar (Rooftop)</v>
          </cell>
          <cell r="L2610" t="str">
            <v>Solar</v>
          </cell>
          <cell r="M2610" t="str">
            <v>Dx</v>
          </cell>
          <cell r="N2610" t="str">
            <v>Oakville</v>
          </cell>
          <cell r="O2610" t="str">
            <v>Halton</v>
          </cell>
          <cell r="P2610" t="str">
            <v>Southwest</v>
          </cell>
        </row>
        <row r="2611">
          <cell r="C2611" t="str">
            <v>Etobicoke Olympium Solar PV</v>
          </cell>
          <cell r="D2611" t="str">
            <v>City of Toronto</v>
          </cell>
          <cell r="E2611" t="str">
            <v>CO</v>
          </cell>
          <cell r="F2611">
            <v>42432</v>
          </cell>
          <cell r="G2611">
            <v>42432</v>
          </cell>
          <cell r="H2611">
            <v>49736</v>
          </cell>
          <cell r="I2611" t="str">
            <v>19 years, 11 months, 28 days</v>
          </cell>
          <cell r="J2611" t="str">
            <v>Renewables</v>
          </cell>
          <cell r="K2611" t="str">
            <v>Solar (Rooftop)</v>
          </cell>
          <cell r="L2611" t="str">
            <v>Solar</v>
          </cell>
          <cell r="M2611" t="str">
            <v>Dx</v>
          </cell>
          <cell r="N2611" t="str">
            <v>Toronto</v>
          </cell>
          <cell r="O2611" t="str">
            <v>Toronto</v>
          </cell>
          <cell r="P2611" t="str">
            <v>Toronto</v>
          </cell>
        </row>
        <row r="2612">
          <cell r="C2612" t="str">
            <v>Todd Renton</v>
          </cell>
          <cell r="D2612" t="str">
            <v>QS6 2012 LP</v>
          </cell>
          <cell r="E2612" t="str">
            <v>CO</v>
          </cell>
          <cell r="F2612">
            <v>42428</v>
          </cell>
          <cell r="G2612">
            <v>42429</v>
          </cell>
          <cell r="H2612">
            <v>49732</v>
          </cell>
          <cell r="I2612" t="str">
            <v>19 years, 11 months, 29 days</v>
          </cell>
          <cell r="J2612" t="str">
            <v>Renewables</v>
          </cell>
          <cell r="K2612" t="str">
            <v>Solar (Rooftop)</v>
          </cell>
          <cell r="L2612" t="str">
            <v>Solar</v>
          </cell>
          <cell r="M2612" t="str">
            <v>Dx</v>
          </cell>
          <cell r="N2612" t="str">
            <v>Lynden</v>
          </cell>
          <cell r="O2612" t="str">
            <v>Hamilton</v>
          </cell>
          <cell r="P2612" t="str">
            <v>Southwest</v>
          </cell>
        </row>
        <row r="2613">
          <cell r="C2613" t="str">
            <v>P092A</v>
          </cell>
          <cell r="D2613" t="str">
            <v>Reliant First Nation Limited Partnership</v>
          </cell>
          <cell r="E2613" t="str">
            <v>CO</v>
          </cell>
          <cell r="F2613">
            <v>42989</v>
          </cell>
          <cell r="G2613">
            <v>42783</v>
          </cell>
          <cell r="H2613">
            <v>50087</v>
          </cell>
          <cell r="I2613" t="str">
            <v>19 years, 11 months, 30 days</v>
          </cell>
          <cell r="J2613" t="str">
            <v>Renewables</v>
          </cell>
          <cell r="K2613" t="str">
            <v>Solar (Rooftop)</v>
          </cell>
          <cell r="L2613" t="str">
            <v>Solar</v>
          </cell>
          <cell r="M2613" t="str">
            <v>Dx</v>
          </cell>
          <cell r="N2613" t="str">
            <v>Mississauga</v>
          </cell>
          <cell r="O2613" t="str">
            <v>Peel</v>
          </cell>
          <cell r="P2613" t="str">
            <v>Toronto</v>
          </cell>
        </row>
        <row r="2614">
          <cell r="C2614" t="str">
            <v>GreenLife Solar 16</v>
          </cell>
          <cell r="D2614" t="str">
            <v>GreenLife Solar Projects Inc.</v>
          </cell>
          <cell r="E2614" t="str">
            <v>CO</v>
          </cell>
          <cell r="F2614">
            <v>43200</v>
          </cell>
          <cell r="G2614">
            <v>43517</v>
          </cell>
          <cell r="H2614">
            <v>50504</v>
          </cell>
          <cell r="I2614" t="str">
            <v>19 years, 1 months, 19 days</v>
          </cell>
          <cell r="J2614" t="str">
            <v>Renewables</v>
          </cell>
          <cell r="K2614" t="str">
            <v>Solar (Ground Mounted)</v>
          </cell>
          <cell r="L2614" t="str">
            <v>Solar</v>
          </cell>
          <cell r="M2614" t="str">
            <v>Dx</v>
          </cell>
          <cell r="N2614" t="str">
            <v>Havelock</v>
          </cell>
          <cell r="O2614" t="str">
            <v>Peterborough</v>
          </cell>
          <cell r="P2614" t="str">
            <v>East</v>
          </cell>
        </row>
        <row r="2615">
          <cell r="C2615" t="str">
            <v>P163</v>
          </cell>
          <cell r="D2615" t="str">
            <v>Reliant First Nation Limited Partnership</v>
          </cell>
          <cell r="E2615" t="str">
            <v>CO</v>
          </cell>
          <cell r="F2615">
            <v>42987</v>
          </cell>
          <cell r="G2615">
            <v>42850</v>
          </cell>
          <cell r="H2615">
            <v>50154</v>
          </cell>
          <cell r="I2615" t="str">
            <v>19 years, 11 months, 30 days</v>
          </cell>
          <cell r="J2615" t="str">
            <v>Renewables</v>
          </cell>
          <cell r="K2615" t="str">
            <v>Solar (Rooftop)</v>
          </cell>
          <cell r="L2615" t="str">
            <v>Solar</v>
          </cell>
          <cell r="M2615" t="str">
            <v>Dx</v>
          </cell>
          <cell r="N2615" t="str">
            <v>Brampton</v>
          </cell>
          <cell r="O2615" t="str">
            <v>Peel</v>
          </cell>
          <cell r="P2615" t="str">
            <v>Toronto</v>
          </cell>
        </row>
        <row r="2616">
          <cell r="C2616" t="str">
            <v>GE023</v>
          </cell>
          <cell r="D2616" t="str">
            <v>SIF #2 Reliant Essex LP</v>
          </cell>
          <cell r="E2616" t="str">
            <v>CO</v>
          </cell>
          <cell r="F2616">
            <v>42432</v>
          </cell>
          <cell r="G2616">
            <v>42660</v>
          </cell>
          <cell r="H2616">
            <v>49736</v>
          </cell>
          <cell r="I2616" t="str">
            <v>19 years, 4 months, 14 days</v>
          </cell>
          <cell r="J2616" t="str">
            <v>Renewables</v>
          </cell>
          <cell r="K2616" t="str">
            <v>Solar (Rooftop)</v>
          </cell>
          <cell r="L2616" t="str">
            <v>Solar</v>
          </cell>
          <cell r="M2616" t="str">
            <v>Dx</v>
          </cell>
          <cell r="N2616" t="str">
            <v>Windsor</v>
          </cell>
          <cell r="O2616" t="str">
            <v>Essex</v>
          </cell>
          <cell r="P2616" t="str">
            <v>West</v>
          </cell>
        </row>
        <row r="2617">
          <cell r="C2617" t="str">
            <v>SPN 369</v>
          </cell>
          <cell r="D2617" t="str">
            <v>SPN LP 1</v>
          </cell>
          <cell r="E2617" t="str">
            <v>CO</v>
          </cell>
          <cell r="F2617">
            <v>42671</v>
          </cell>
          <cell r="G2617">
            <v>42846</v>
          </cell>
          <cell r="H2617">
            <v>49975</v>
          </cell>
          <cell r="I2617" t="str">
            <v>19 years, 6 months, 6 days</v>
          </cell>
          <cell r="J2617" t="str">
            <v>Renewables</v>
          </cell>
          <cell r="K2617" t="str">
            <v>Solar (Rooftop)</v>
          </cell>
          <cell r="L2617" t="str">
            <v>Solar</v>
          </cell>
          <cell r="M2617" t="str">
            <v>Dx</v>
          </cell>
          <cell r="N2617" t="str">
            <v>Windsor</v>
          </cell>
          <cell r="O2617" t="str">
            <v>Essex</v>
          </cell>
          <cell r="P2617" t="str">
            <v>West</v>
          </cell>
        </row>
        <row r="2618">
          <cell r="C2618" t="str">
            <v>SPN 290</v>
          </cell>
          <cell r="D2618" t="str">
            <v>LDREC SPN LP</v>
          </cell>
          <cell r="E2618" t="str">
            <v>CO</v>
          </cell>
          <cell r="F2618">
            <v>42653</v>
          </cell>
          <cell r="G2618">
            <v>42766</v>
          </cell>
          <cell r="H2618">
            <v>49957</v>
          </cell>
          <cell r="I2618" t="str">
            <v>19 years, 8 months, 8 days</v>
          </cell>
          <cell r="J2618" t="str">
            <v>Renewables</v>
          </cell>
          <cell r="K2618" t="str">
            <v>Solar (Rooftop)</v>
          </cell>
          <cell r="L2618" t="str">
            <v>Solar</v>
          </cell>
          <cell r="M2618" t="str">
            <v>Dx</v>
          </cell>
          <cell r="N2618" t="str">
            <v>London</v>
          </cell>
          <cell r="O2618" t="str">
            <v>Middlesex</v>
          </cell>
          <cell r="P2618" t="str">
            <v>West</v>
          </cell>
        </row>
        <row r="2619">
          <cell r="C2619" t="str">
            <v>Bishop Allen PV Project</v>
          </cell>
          <cell r="D2619" t="str">
            <v>Toronto Catholic District School Board</v>
          </cell>
          <cell r="E2619" t="str">
            <v>CO</v>
          </cell>
          <cell r="F2619">
            <v>42445</v>
          </cell>
          <cell r="G2619">
            <v>42626</v>
          </cell>
          <cell r="H2619">
            <v>49749</v>
          </cell>
          <cell r="I2619" t="str">
            <v>19 years, 6 months, 2 days</v>
          </cell>
          <cell r="J2619" t="str">
            <v>Renewables</v>
          </cell>
          <cell r="K2619" t="str">
            <v>Solar (Rooftop)</v>
          </cell>
          <cell r="L2619" t="str">
            <v>Solar</v>
          </cell>
          <cell r="M2619" t="str">
            <v>Dx</v>
          </cell>
          <cell r="N2619" t="str">
            <v>Toronto</v>
          </cell>
          <cell r="O2619" t="str">
            <v>Toronto</v>
          </cell>
          <cell r="P2619" t="str">
            <v>Toronto</v>
          </cell>
        </row>
        <row r="2620">
          <cell r="C2620" t="str">
            <v>GG3-001</v>
          </cell>
          <cell r="D2620" t="str">
            <v>GSC Southlake Solar LP</v>
          </cell>
          <cell r="E2620" t="str">
            <v>CO</v>
          </cell>
          <cell r="F2620">
            <v>42980</v>
          </cell>
          <cell r="G2620">
            <v>43522</v>
          </cell>
          <cell r="H2620">
            <v>50284</v>
          </cell>
          <cell r="I2620" t="str">
            <v>18 years, 6 months, 6 days</v>
          </cell>
          <cell r="J2620" t="str">
            <v>Renewables</v>
          </cell>
          <cell r="K2620" t="str">
            <v>Solar (Ground Mounted)</v>
          </cell>
          <cell r="L2620" t="str">
            <v>Solar</v>
          </cell>
          <cell r="M2620" t="str">
            <v>Dx</v>
          </cell>
          <cell r="N2620" t="str">
            <v>Blezard Valley</v>
          </cell>
          <cell r="O2620" t="str">
            <v>Greater Sudbury</v>
          </cell>
          <cell r="P2620" t="str">
            <v>Northeast</v>
          </cell>
        </row>
        <row r="2621">
          <cell r="C2621" t="str">
            <v>GT CH3</v>
          </cell>
          <cell r="D2621" t="str">
            <v>Community Solar Assets 4 Limited</v>
          </cell>
          <cell r="E2621" t="str">
            <v>CO</v>
          </cell>
          <cell r="F2621">
            <v>42975</v>
          </cell>
          <cell r="G2621">
            <v>43091</v>
          </cell>
          <cell r="H2621">
            <v>50279</v>
          </cell>
          <cell r="I2621" t="str">
            <v>19 years, 8 months, 5 days</v>
          </cell>
          <cell r="J2621" t="str">
            <v>Renewables</v>
          </cell>
          <cell r="K2621" t="str">
            <v>Solar (Ground Mounted)</v>
          </cell>
          <cell r="L2621" t="str">
            <v>Solar</v>
          </cell>
          <cell r="M2621" t="str">
            <v>Dx</v>
          </cell>
          <cell r="N2621" t="str">
            <v>Englehart</v>
          </cell>
          <cell r="O2621" t="str">
            <v>Timiskaming</v>
          </cell>
          <cell r="P2621" t="str">
            <v>Northeast</v>
          </cell>
        </row>
        <row r="2622">
          <cell r="C2622" t="str">
            <v>1000 Maple Leaf St (Wellesley Arena)</v>
          </cell>
          <cell r="D2622" t="str">
            <v>SUNSHARE1 LP</v>
          </cell>
          <cell r="E2622" t="str">
            <v>CO</v>
          </cell>
          <cell r="F2622">
            <v>42431</v>
          </cell>
          <cell r="G2622">
            <v>42432</v>
          </cell>
          <cell r="H2622">
            <v>49735</v>
          </cell>
          <cell r="I2622" t="str">
            <v>19 years, 11 months, 27 days</v>
          </cell>
          <cell r="J2622" t="str">
            <v>Renewables</v>
          </cell>
          <cell r="K2622" t="str">
            <v>Solar (Rooftop)</v>
          </cell>
          <cell r="L2622" t="str">
            <v>Solar</v>
          </cell>
          <cell r="M2622" t="str">
            <v>Dx</v>
          </cell>
          <cell r="N2622" t="str">
            <v>Wellesley</v>
          </cell>
          <cell r="O2622" t="str">
            <v>Waterloo</v>
          </cell>
          <cell r="P2622" t="str">
            <v>Southwest</v>
          </cell>
        </row>
        <row r="2623">
          <cell r="C2623" t="str">
            <v>P160</v>
          </cell>
          <cell r="D2623" t="str">
            <v>Reliant First Nation Limited Partnership</v>
          </cell>
          <cell r="E2623" t="str">
            <v>CO</v>
          </cell>
          <cell r="F2623">
            <v>42982</v>
          </cell>
          <cell r="G2623">
            <v>43152</v>
          </cell>
          <cell r="H2623">
            <v>50286</v>
          </cell>
          <cell r="I2623" t="str">
            <v>19 years, 6 months, 13 days</v>
          </cell>
          <cell r="J2623" t="str">
            <v>Renewables</v>
          </cell>
          <cell r="K2623" t="str">
            <v>Solar (Rooftop)</v>
          </cell>
          <cell r="L2623" t="str">
            <v>Solar</v>
          </cell>
          <cell r="M2623" t="str">
            <v>Dx</v>
          </cell>
          <cell r="N2623" t="str">
            <v>Brampton</v>
          </cell>
          <cell r="O2623" t="str">
            <v>Peel</v>
          </cell>
          <cell r="P2623" t="str">
            <v>Toronto</v>
          </cell>
        </row>
        <row r="2624">
          <cell r="C2624" t="str">
            <v>LDCSB Notre Dame</v>
          </cell>
          <cell r="D2624" t="str">
            <v>Ameresco LDCSB Solar Inc.</v>
          </cell>
          <cell r="E2624" t="str">
            <v>CO</v>
          </cell>
          <cell r="F2624">
            <v>42653</v>
          </cell>
          <cell r="G2624">
            <v>42751</v>
          </cell>
          <cell r="H2624">
            <v>49957</v>
          </cell>
          <cell r="I2624" t="str">
            <v>19 years, 8 months, 23 days</v>
          </cell>
          <cell r="J2624" t="str">
            <v>Renewables</v>
          </cell>
          <cell r="K2624" t="str">
            <v>Solar (Rooftop)</v>
          </cell>
          <cell r="L2624" t="str">
            <v>Solar</v>
          </cell>
          <cell r="M2624" t="str">
            <v>Dx</v>
          </cell>
          <cell r="N2624" t="str">
            <v>London</v>
          </cell>
          <cell r="O2624" t="str">
            <v>Middlesex</v>
          </cell>
          <cell r="P2624" t="str">
            <v>West</v>
          </cell>
        </row>
        <row r="2625">
          <cell r="C2625" t="str">
            <v>GT CH7</v>
          </cell>
          <cell r="D2625" t="str">
            <v>Community Solar Assets 4 Limited</v>
          </cell>
          <cell r="E2625" t="str">
            <v>CO</v>
          </cell>
          <cell r="F2625">
            <v>42974</v>
          </cell>
          <cell r="G2625">
            <v>42978</v>
          </cell>
          <cell r="H2625">
            <v>50278</v>
          </cell>
          <cell r="I2625" t="str">
            <v>19 years, 11 months, 26 days</v>
          </cell>
          <cell r="J2625" t="str">
            <v>Renewables</v>
          </cell>
          <cell r="K2625" t="str">
            <v>Solar (Ground Mounted)</v>
          </cell>
          <cell r="L2625" t="str">
            <v>Solar</v>
          </cell>
          <cell r="M2625" t="str">
            <v>Dx</v>
          </cell>
          <cell r="N2625" t="str">
            <v>Englehart</v>
          </cell>
          <cell r="O2625" t="str">
            <v>Timiskaming</v>
          </cell>
          <cell r="P2625" t="str">
            <v>Northeast</v>
          </cell>
        </row>
        <row r="2626">
          <cell r="C2626" t="str">
            <v>Rising Sun Solar Stephenson 8</v>
          </cell>
          <cell r="D2626" t="str">
            <v>Rising Sun Community Power Corp.</v>
          </cell>
          <cell r="E2626" t="str">
            <v>CO</v>
          </cell>
          <cell r="F2626">
            <v>43213</v>
          </cell>
          <cell r="G2626">
            <v>43483</v>
          </cell>
          <cell r="H2626">
            <v>50517</v>
          </cell>
          <cell r="I2626" t="str">
            <v>19 years, 3 months, 4 days</v>
          </cell>
          <cell r="J2626" t="str">
            <v>Renewables</v>
          </cell>
          <cell r="K2626" t="str">
            <v>Solar (Ground Mounted)</v>
          </cell>
          <cell r="L2626" t="str">
            <v>Solar</v>
          </cell>
          <cell r="M2626" t="str">
            <v>Dx</v>
          </cell>
          <cell r="N2626" t="str">
            <v>Utterson</v>
          </cell>
          <cell r="O2626" t="str">
            <v>Muskoka</v>
          </cell>
          <cell r="P2626" t="str">
            <v>Essa</v>
          </cell>
        </row>
        <row r="2627">
          <cell r="C2627" t="str">
            <v>SFF 6</v>
          </cell>
          <cell r="D2627" t="str">
            <v>2387282 Ontario Inc.</v>
          </cell>
          <cell r="E2627" t="str">
            <v>CO</v>
          </cell>
          <cell r="F2627">
            <v>43204</v>
          </cell>
          <cell r="G2627">
            <v>43294</v>
          </cell>
          <cell r="H2627">
            <v>50508</v>
          </cell>
          <cell r="I2627" t="str">
            <v>19 years, 9 months, 0 days</v>
          </cell>
          <cell r="J2627" t="str">
            <v>Renewables</v>
          </cell>
          <cell r="K2627" t="str">
            <v>Solar (Ground Mounted)</v>
          </cell>
          <cell r="L2627" t="str">
            <v>Solar</v>
          </cell>
          <cell r="M2627" t="str">
            <v>Dx</v>
          </cell>
          <cell r="N2627" t="str">
            <v>Grafton</v>
          </cell>
          <cell r="O2627" t="str">
            <v>Northumberland</v>
          </cell>
          <cell r="P2627" t="str">
            <v>East</v>
          </cell>
        </row>
        <row r="2628">
          <cell r="C2628" t="str">
            <v>P006</v>
          </cell>
          <cell r="D2628" t="str">
            <v>Reliant First Nation Limited Partnership</v>
          </cell>
          <cell r="E2628" t="str">
            <v>CO</v>
          </cell>
          <cell r="F2628">
            <v>42982</v>
          </cell>
          <cell r="G2628">
            <v>42962</v>
          </cell>
          <cell r="H2628">
            <v>50266</v>
          </cell>
          <cell r="I2628" t="str">
            <v>19 years, 11 months, 30 days</v>
          </cell>
          <cell r="J2628" t="str">
            <v>Renewables</v>
          </cell>
          <cell r="K2628" t="str">
            <v>Solar (Rooftop)</v>
          </cell>
          <cell r="L2628" t="str">
            <v>Solar</v>
          </cell>
          <cell r="M2628" t="str">
            <v>Dx</v>
          </cell>
          <cell r="N2628" t="str">
            <v>Mississauga</v>
          </cell>
          <cell r="O2628" t="str">
            <v>Peel</v>
          </cell>
          <cell r="P2628" t="str">
            <v>Toronto</v>
          </cell>
        </row>
        <row r="2629">
          <cell r="C2629" t="str">
            <v>GE006</v>
          </cell>
          <cell r="D2629" t="str">
            <v>SIF #2 Reliant Essex LP</v>
          </cell>
          <cell r="E2629" t="str">
            <v>CO</v>
          </cell>
          <cell r="F2629">
            <v>42438</v>
          </cell>
          <cell r="G2629">
            <v>42607</v>
          </cell>
          <cell r="H2629">
            <v>49742</v>
          </cell>
          <cell r="I2629" t="str">
            <v>19 years, 6 months, 12 days</v>
          </cell>
          <cell r="J2629" t="str">
            <v>Renewables</v>
          </cell>
          <cell r="K2629" t="str">
            <v>Solar (Rooftop)</v>
          </cell>
          <cell r="L2629" t="str">
            <v>Solar</v>
          </cell>
          <cell r="M2629" t="str">
            <v>Dx</v>
          </cell>
          <cell r="N2629" t="str">
            <v>Windsor</v>
          </cell>
          <cell r="O2629" t="str">
            <v>Essex</v>
          </cell>
          <cell r="P2629" t="str">
            <v>West</v>
          </cell>
        </row>
        <row r="2630">
          <cell r="C2630" t="str">
            <v>SPN 019</v>
          </cell>
          <cell r="D2630" t="str">
            <v>SPN LP 3</v>
          </cell>
          <cell r="E2630" t="str">
            <v>CO</v>
          </cell>
          <cell r="F2630">
            <v>42428</v>
          </cell>
          <cell r="G2630">
            <v>42352</v>
          </cell>
          <cell r="H2630">
            <v>49656</v>
          </cell>
          <cell r="I2630" t="str">
            <v>19 years, 11 months, 29 days</v>
          </cell>
          <cell r="J2630" t="str">
            <v>Renewables</v>
          </cell>
          <cell r="K2630" t="str">
            <v>Solar (Rooftop)</v>
          </cell>
          <cell r="L2630" t="str">
            <v>Solar</v>
          </cell>
          <cell r="M2630" t="str">
            <v>Dx</v>
          </cell>
          <cell r="N2630" t="str">
            <v>Burlington</v>
          </cell>
          <cell r="O2630" t="str">
            <v>Halton</v>
          </cell>
          <cell r="P2630" t="str">
            <v>Southwest</v>
          </cell>
        </row>
        <row r="2631">
          <cell r="C2631" t="str">
            <v>P073</v>
          </cell>
          <cell r="D2631" t="str">
            <v>Reliant First Nation Limited Partnership</v>
          </cell>
          <cell r="E2631" t="str">
            <v>CO</v>
          </cell>
          <cell r="F2631">
            <v>42982</v>
          </cell>
          <cell r="G2631">
            <v>42804</v>
          </cell>
          <cell r="H2631">
            <v>50108</v>
          </cell>
          <cell r="I2631" t="str">
            <v>19 years, 11 months, 27 days</v>
          </cell>
          <cell r="J2631" t="str">
            <v>Renewables</v>
          </cell>
          <cell r="K2631" t="str">
            <v>Solar (Rooftop)</v>
          </cell>
          <cell r="L2631" t="str">
            <v>Solar</v>
          </cell>
          <cell r="M2631" t="str">
            <v>Dx</v>
          </cell>
          <cell r="N2631" t="str">
            <v>Mississauga</v>
          </cell>
          <cell r="O2631" t="str">
            <v>Peel</v>
          </cell>
          <cell r="P2631" t="str">
            <v>Toronto</v>
          </cell>
        </row>
        <row r="2632">
          <cell r="C2632" t="str">
            <v>GE024</v>
          </cell>
          <cell r="D2632" t="str">
            <v>SIF #2 Reliant Essex LP</v>
          </cell>
          <cell r="E2632" t="str">
            <v>CO</v>
          </cell>
          <cell r="F2632">
            <v>42438</v>
          </cell>
          <cell r="G2632">
            <v>42608</v>
          </cell>
          <cell r="H2632">
            <v>49742</v>
          </cell>
          <cell r="I2632" t="str">
            <v>19 years, 6 months, 11 days</v>
          </cell>
          <cell r="J2632" t="str">
            <v>Renewables</v>
          </cell>
          <cell r="K2632" t="str">
            <v>Solar (Rooftop)</v>
          </cell>
          <cell r="L2632" t="str">
            <v>Solar</v>
          </cell>
          <cell r="M2632" t="str">
            <v>Dx</v>
          </cell>
          <cell r="N2632" t="str">
            <v>Windsor</v>
          </cell>
          <cell r="O2632" t="str">
            <v>Essex</v>
          </cell>
          <cell r="P2632" t="str">
            <v>West</v>
          </cell>
        </row>
        <row r="2633">
          <cell r="C2633" t="str">
            <v>McCann # 2 Salem P1</v>
          </cell>
          <cell r="D2633" t="str">
            <v>QS4 2012 LP</v>
          </cell>
          <cell r="E2633" t="str">
            <v>CO</v>
          </cell>
          <cell r="F2633">
            <v>42976</v>
          </cell>
          <cell r="G2633">
            <v>43047</v>
          </cell>
          <cell r="H2633">
            <v>50280</v>
          </cell>
          <cell r="I2633" t="str">
            <v>19 years, 9 months, 20 days</v>
          </cell>
          <cell r="J2633" t="str">
            <v>Renewables</v>
          </cell>
          <cell r="K2633" t="str">
            <v>Solar (Ground Mounted)</v>
          </cell>
          <cell r="L2633" t="str">
            <v>Solar</v>
          </cell>
          <cell r="M2633" t="str">
            <v>Dx</v>
          </cell>
          <cell r="N2633" t="str">
            <v>Parkhill</v>
          </cell>
          <cell r="O2633" t="str">
            <v>Middlesex</v>
          </cell>
          <cell r="P2633" t="str">
            <v>Southwest</v>
          </cell>
        </row>
        <row r="2634">
          <cell r="C2634" t="str">
            <v>SunEdison ON-11-0704</v>
          </cell>
          <cell r="D2634" t="str">
            <v>Solar Provider Canada Power Health LP</v>
          </cell>
          <cell r="E2634" t="str">
            <v>CO</v>
          </cell>
          <cell r="F2634">
            <v>42445</v>
          </cell>
          <cell r="G2634">
            <v>42627</v>
          </cell>
          <cell r="H2634">
            <v>49749</v>
          </cell>
          <cell r="I2634" t="str">
            <v>19 years, 6 months, 1 days</v>
          </cell>
          <cell r="J2634" t="str">
            <v>Renewables</v>
          </cell>
          <cell r="K2634" t="str">
            <v>Solar (Rooftop)</v>
          </cell>
          <cell r="L2634" t="str">
            <v>Solar</v>
          </cell>
          <cell r="M2634" t="str">
            <v>Dx</v>
          </cell>
          <cell r="N2634" t="str">
            <v>Mississauga</v>
          </cell>
          <cell r="O2634" t="str">
            <v>Peel</v>
          </cell>
          <cell r="P2634" t="str">
            <v>Toronto</v>
          </cell>
        </row>
        <row r="2635">
          <cell r="C2635" t="str">
            <v>Dundas SS6 P2</v>
          </cell>
          <cell r="D2635" t="str">
            <v>QS2 2012 LP</v>
          </cell>
          <cell r="E2635" t="str">
            <v>CO</v>
          </cell>
          <cell r="F2635">
            <v>42428</v>
          </cell>
          <cell r="G2635">
            <v>42564</v>
          </cell>
          <cell r="H2635">
            <v>49732</v>
          </cell>
          <cell r="I2635" t="str">
            <v>19 years, 7 months, 14 days</v>
          </cell>
          <cell r="J2635" t="str">
            <v>Renewables</v>
          </cell>
          <cell r="K2635" t="str">
            <v>Solar (Rooftop)</v>
          </cell>
          <cell r="L2635" t="str">
            <v>Solar</v>
          </cell>
          <cell r="M2635" t="str">
            <v>Dx</v>
          </cell>
          <cell r="N2635" t="str">
            <v>Millgrove</v>
          </cell>
          <cell r="O2635" t="str">
            <v>Hamilton</v>
          </cell>
          <cell r="P2635" t="str">
            <v>Southwest</v>
          </cell>
        </row>
        <row r="2636">
          <cell r="C2636" t="str">
            <v>GT CH14</v>
          </cell>
          <cell r="D2636" t="str">
            <v>Community Solar Assets 4 Limited</v>
          </cell>
          <cell r="E2636" t="str">
            <v>CO</v>
          </cell>
          <cell r="F2636">
            <v>42974</v>
          </cell>
          <cell r="G2636">
            <v>42978</v>
          </cell>
          <cell r="H2636">
            <v>50278</v>
          </cell>
          <cell r="I2636" t="str">
            <v>19 years, 11 months, 26 days</v>
          </cell>
          <cell r="J2636" t="str">
            <v>Renewables</v>
          </cell>
          <cell r="K2636" t="str">
            <v>Solar (Ground Mounted)</v>
          </cell>
          <cell r="L2636" t="str">
            <v>Solar</v>
          </cell>
          <cell r="M2636" t="str">
            <v>Dx</v>
          </cell>
          <cell r="N2636" t="str">
            <v>Englehart</v>
          </cell>
          <cell r="O2636" t="str">
            <v>Timiskaming</v>
          </cell>
          <cell r="P2636" t="str">
            <v>Northeast</v>
          </cell>
        </row>
        <row r="2637">
          <cell r="C2637" t="str">
            <v>P141</v>
          </cell>
          <cell r="D2637" t="str">
            <v>Reliant First Nation Limited Partnership</v>
          </cell>
          <cell r="E2637" t="str">
            <v>CO</v>
          </cell>
          <cell r="F2637">
            <v>42989</v>
          </cell>
          <cell r="G2637">
            <v>42835</v>
          </cell>
          <cell r="H2637">
            <v>50139</v>
          </cell>
          <cell r="I2637" t="str">
            <v>19 years, 11 months, 30 days</v>
          </cell>
          <cell r="J2637" t="str">
            <v>Renewables</v>
          </cell>
          <cell r="K2637" t="str">
            <v>Solar (Rooftop)</v>
          </cell>
          <cell r="L2637" t="str">
            <v>Solar</v>
          </cell>
          <cell r="M2637" t="str">
            <v>Dx</v>
          </cell>
          <cell r="N2637" t="str">
            <v>Brampton</v>
          </cell>
          <cell r="O2637" t="str">
            <v>Peel</v>
          </cell>
          <cell r="P2637" t="str">
            <v>Toronto</v>
          </cell>
        </row>
        <row r="2638">
          <cell r="C2638" t="str">
            <v>Rosseau Solar LP - Rosseau</v>
          </cell>
          <cell r="D2638" t="str">
            <v>Rosseau Solar LP</v>
          </cell>
          <cell r="E2638" t="str">
            <v>CO</v>
          </cell>
          <cell r="F2638">
            <v>43200</v>
          </cell>
          <cell r="G2638">
            <v>43556</v>
          </cell>
          <cell r="H2638">
            <v>50504</v>
          </cell>
          <cell r="I2638" t="str">
            <v>19 years, 0 months, 8 days</v>
          </cell>
          <cell r="J2638" t="str">
            <v>Renewables</v>
          </cell>
          <cell r="K2638" t="str">
            <v>Solar (Ground Mounted)</v>
          </cell>
          <cell r="L2638" t="str">
            <v>Solar</v>
          </cell>
          <cell r="M2638" t="str">
            <v>Dx</v>
          </cell>
          <cell r="N2638" t="str">
            <v>Parry Sound</v>
          </cell>
          <cell r="O2638" t="str">
            <v>Parry Sound</v>
          </cell>
          <cell r="P2638" t="str">
            <v>Essa</v>
          </cell>
        </row>
        <row r="2639">
          <cell r="C2639" t="str">
            <v>95 Struck Court 2</v>
          </cell>
          <cell r="D2639" t="str">
            <v>2356927 ONTARIO INC.</v>
          </cell>
          <cell r="E2639" t="str">
            <v>CO</v>
          </cell>
          <cell r="F2639">
            <v>42427</v>
          </cell>
          <cell r="G2639">
            <v>42432</v>
          </cell>
          <cell r="H2639">
            <v>49731</v>
          </cell>
          <cell r="I2639" t="str">
            <v>19 years, 11 months, 23 days</v>
          </cell>
          <cell r="J2639" t="str">
            <v>Renewables</v>
          </cell>
          <cell r="K2639" t="str">
            <v>Solar (Rooftop)</v>
          </cell>
          <cell r="L2639" t="str">
            <v>Solar</v>
          </cell>
          <cell r="M2639" t="str">
            <v>Dx</v>
          </cell>
          <cell r="N2639" t="str">
            <v>Cambridge</v>
          </cell>
          <cell r="O2639" t="str">
            <v>Waterloo</v>
          </cell>
          <cell r="P2639" t="str">
            <v>Southwest</v>
          </cell>
        </row>
        <row r="2640">
          <cell r="C2640" t="str">
            <v>Budget Environmental 1</v>
          </cell>
          <cell r="D2640" t="str">
            <v>QS1 2012 LP</v>
          </cell>
          <cell r="E2640" t="str">
            <v>CO</v>
          </cell>
          <cell r="F2640">
            <v>42429</v>
          </cell>
          <cell r="G2640">
            <v>42590</v>
          </cell>
          <cell r="H2640">
            <v>49733</v>
          </cell>
          <cell r="I2640" t="str">
            <v>19 years, 6 months, 20 days</v>
          </cell>
          <cell r="J2640" t="str">
            <v>Renewables</v>
          </cell>
          <cell r="K2640" t="str">
            <v>Solar (Rooftop)</v>
          </cell>
          <cell r="L2640" t="str">
            <v>Solar</v>
          </cell>
          <cell r="M2640" t="str">
            <v>Dx</v>
          </cell>
          <cell r="N2640" t="str">
            <v>Leith</v>
          </cell>
          <cell r="O2640" t="str">
            <v>Grey</v>
          </cell>
          <cell r="P2640" t="str">
            <v>Southwest</v>
          </cell>
        </row>
        <row r="2641">
          <cell r="C2641" t="str">
            <v>OT-314 INSHES</v>
          </cell>
          <cell r="D2641" t="str">
            <v>2387276 Ontario Inc.</v>
          </cell>
          <cell r="E2641" t="str">
            <v>CO</v>
          </cell>
          <cell r="F2641">
            <v>42659</v>
          </cell>
          <cell r="G2641">
            <v>42802</v>
          </cell>
          <cell r="H2641">
            <v>49963</v>
          </cell>
          <cell r="I2641" t="str">
            <v>19 years, 7 months, 7 days</v>
          </cell>
          <cell r="J2641" t="str">
            <v>Renewables</v>
          </cell>
          <cell r="K2641" t="str">
            <v>Solar (Rooftop)</v>
          </cell>
          <cell r="L2641" t="str">
            <v>Solar</v>
          </cell>
          <cell r="M2641" t="str">
            <v>Dx</v>
          </cell>
          <cell r="N2641" t="str">
            <v>Chatham</v>
          </cell>
          <cell r="O2641" t="str">
            <v>Chatham-Kent</v>
          </cell>
          <cell r="P2641" t="str">
            <v>West</v>
          </cell>
        </row>
        <row r="2642">
          <cell r="C2642" t="str">
            <v>20 Crestview Pl (J Hallman)</v>
          </cell>
          <cell r="D2642" t="str">
            <v>SUNSHARE1 LP</v>
          </cell>
          <cell r="E2642" t="str">
            <v>CO</v>
          </cell>
          <cell r="F2642">
            <v>42428</v>
          </cell>
          <cell r="G2642">
            <v>42349</v>
          </cell>
          <cell r="H2642">
            <v>49653</v>
          </cell>
          <cell r="I2642" t="str">
            <v>19 years, 11 months, 29 days</v>
          </cell>
          <cell r="J2642" t="str">
            <v>Renewables</v>
          </cell>
          <cell r="K2642" t="str">
            <v>Solar (Rooftop)</v>
          </cell>
          <cell r="L2642" t="str">
            <v>Solar</v>
          </cell>
          <cell r="M2642" t="str">
            <v>Dx</v>
          </cell>
          <cell r="N2642" t="str">
            <v>Kitchener</v>
          </cell>
          <cell r="O2642" t="str">
            <v>Waterloo</v>
          </cell>
          <cell r="P2642" t="str">
            <v>Southwest</v>
          </cell>
        </row>
        <row r="2643">
          <cell r="C2643" t="str">
            <v>GT CH2</v>
          </cell>
          <cell r="D2643" t="str">
            <v>Community Solar Assets 4 Limited</v>
          </cell>
          <cell r="E2643" t="str">
            <v>CO</v>
          </cell>
          <cell r="F2643">
            <v>42974</v>
          </cell>
          <cell r="G2643">
            <v>43122</v>
          </cell>
          <cell r="H2643">
            <v>50278</v>
          </cell>
          <cell r="I2643" t="str">
            <v>19 years, 7 months, 4 days</v>
          </cell>
          <cell r="J2643" t="str">
            <v>Renewables</v>
          </cell>
          <cell r="K2643" t="str">
            <v>Solar (Ground Mounted)</v>
          </cell>
          <cell r="L2643" t="str">
            <v>Solar</v>
          </cell>
          <cell r="M2643" t="str">
            <v>Dx</v>
          </cell>
          <cell r="N2643" t="str">
            <v>Englehart</v>
          </cell>
          <cell r="O2643" t="str">
            <v>Timiskaming</v>
          </cell>
          <cell r="P2643" t="str">
            <v>Northeast</v>
          </cell>
        </row>
        <row r="2644">
          <cell r="C2644" t="str">
            <v>George Johnson Solar</v>
          </cell>
          <cell r="D2644" t="str">
            <v>County of Oxford</v>
          </cell>
          <cell r="E2644" t="str">
            <v>CO</v>
          </cell>
          <cell r="F2644">
            <v>42447</v>
          </cell>
          <cell r="G2644">
            <v>42562</v>
          </cell>
          <cell r="H2644">
            <v>49751</v>
          </cell>
          <cell r="I2644" t="str">
            <v>19 years, 8 months, 6 days</v>
          </cell>
          <cell r="J2644" t="str">
            <v>Renewables</v>
          </cell>
          <cell r="K2644" t="str">
            <v>Solar (Rooftop)</v>
          </cell>
          <cell r="L2644" t="str">
            <v>Solar</v>
          </cell>
          <cell r="M2644" t="str">
            <v>Dx</v>
          </cell>
          <cell r="N2644" t="str">
            <v>Ingersoll</v>
          </cell>
          <cell r="O2644" t="str">
            <v>Oxford</v>
          </cell>
          <cell r="P2644" t="str">
            <v>Southwest</v>
          </cell>
        </row>
        <row r="2645">
          <cell r="C2645" t="str">
            <v>P047</v>
          </cell>
          <cell r="D2645" t="str">
            <v>Reliant First Nation Limited Partnership</v>
          </cell>
          <cell r="E2645" t="str">
            <v>CO</v>
          </cell>
          <cell r="F2645">
            <v>42994</v>
          </cell>
          <cell r="G2645">
            <v>43111</v>
          </cell>
          <cell r="H2645">
            <v>50298</v>
          </cell>
          <cell r="I2645" t="str">
            <v>19 years, 8 months, 4 days</v>
          </cell>
          <cell r="J2645" t="str">
            <v>Renewables</v>
          </cell>
          <cell r="K2645" t="str">
            <v>Solar (Rooftop)</v>
          </cell>
          <cell r="L2645" t="str">
            <v>Solar</v>
          </cell>
          <cell r="M2645" t="str">
            <v>Dx</v>
          </cell>
          <cell r="N2645" t="str">
            <v>Mississauga</v>
          </cell>
          <cell r="O2645" t="str">
            <v>Peel</v>
          </cell>
          <cell r="P2645" t="str">
            <v>Toronto</v>
          </cell>
        </row>
        <row r="2646">
          <cell r="C2646" t="str">
            <v>GE042</v>
          </cell>
          <cell r="D2646" t="str">
            <v>SIF #2 Reliant Essex LP</v>
          </cell>
          <cell r="E2646" t="str">
            <v>CO</v>
          </cell>
          <cell r="F2646">
            <v>42438</v>
          </cell>
          <cell r="G2646">
            <v>42619</v>
          </cell>
          <cell r="H2646">
            <v>49742</v>
          </cell>
          <cell r="I2646" t="str">
            <v>19 years, 6 months, 2 days</v>
          </cell>
          <cell r="J2646" t="str">
            <v>Renewables</v>
          </cell>
          <cell r="K2646" t="str">
            <v>Solar (Rooftop)</v>
          </cell>
          <cell r="L2646" t="str">
            <v>Solar</v>
          </cell>
          <cell r="M2646" t="str">
            <v>Dx</v>
          </cell>
          <cell r="N2646" t="str">
            <v>Windsor</v>
          </cell>
          <cell r="O2646" t="str">
            <v>Essex</v>
          </cell>
          <cell r="P2646" t="str">
            <v>West</v>
          </cell>
        </row>
        <row r="2647">
          <cell r="C2647" t="str">
            <v>Woolcott 2</v>
          </cell>
          <cell r="D2647" t="str">
            <v>Solar Profile LP</v>
          </cell>
          <cell r="E2647" t="str">
            <v>CO</v>
          </cell>
          <cell r="F2647">
            <v>42976</v>
          </cell>
          <cell r="G2647">
            <v>42830</v>
          </cell>
          <cell r="H2647">
            <v>50134</v>
          </cell>
          <cell r="I2647" t="str">
            <v>19 years, 11 months, 30 days</v>
          </cell>
          <cell r="J2647" t="str">
            <v>Renewables</v>
          </cell>
          <cell r="K2647" t="str">
            <v>Solar (Ground Mounted)</v>
          </cell>
          <cell r="L2647" t="str">
            <v>Solar</v>
          </cell>
          <cell r="M2647" t="str">
            <v>Dx</v>
          </cell>
          <cell r="N2647" t="str">
            <v>Millgrove</v>
          </cell>
          <cell r="O2647" t="str">
            <v>Hamilton</v>
          </cell>
          <cell r="P2647" t="str">
            <v>Southwest</v>
          </cell>
        </row>
        <row r="2648">
          <cell r="C2648" t="str">
            <v>P085</v>
          </cell>
          <cell r="D2648" t="str">
            <v>Reliant First Nation Limited Partnership</v>
          </cell>
          <cell r="E2648" t="str">
            <v>CO</v>
          </cell>
          <cell r="F2648">
            <v>42982</v>
          </cell>
          <cell r="G2648">
            <v>43152</v>
          </cell>
          <cell r="H2648">
            <v>50286</v>
          </cell>
          <cell r="I2648" t="str">
            <v>19 years, 6 months, 13 days</v>
          </cell>
          <cell r="J2648" t="str">
            <v>Renewables</v>
          </cell>
          <cell r="K2648" t="str">
            <v>Solar (Rooftop)</v>
          </cell>
          <cell r="L2648" t="str">
            <v>Solar</v>
          </cell>
          <cell r="M2648" t="str">
            <v>Dx</v>
          </cell>
          <cell r="N2648" t="str">
            <v>Brampton</v>
          </cell>
          <cell r="O2648" t="str">
            <v>Peel</v>
          </cell>
          <cell r="P2648" t="str">
            <v>Toronto</v>
          </cell>
        </row>
        <row r="2649">
          <cell r="C2649" t="str">
            <v>125 Samnah Cres 2</v>
          </cell>
          <cell r="D2649" t="str">
            <v>2356928 ONTARIO INC.</v>
          </cell>
          <cell r="E2649" t="str">
            <v>CO</v>
          </cell>
          <cell r="F2649">
            <v>42428</v>
          </cell>
          <cell r="G2649">
            <v>42549</v>
          </cell>
          <cell r="H2649">
            <v>49732</v>
          </cell>
          <cell r="I2649" t="str">
            <v>19 years, 7 months, 30 days</v>
          </cell>
          <cell r="J2649" t="str">
            <v>Renewables</v>
          </cell>
          <cell r="K2649" t="str">
            <v>Solar (Rooftop)</v>
          </cell>
          <cell r="L2649" t="str">
            <v>Solar</v>
          </cell>
          <cell r="M2649" t="str">
            <v>Dx</v>
          </cell>
          <cell r="N2649" t="str">
            <v>Ingersoll</v>
          </cell>
          <cell r="O2649" t="str">
            <v>Oxford</v>
          </cell>
          <cell r="P2649" t="str">
            <v>Southwest</v>
          </cell>
        </row>
        <row r="2650">
          <cell r="C2650" t="str">
            <v>Disco Station</v>
          </cell>
          <cell r="D2650" t="str">
            <v>City of Toronto</v>
          </cell>
          <cell r="E2650" t="str">
            <v>CO</v>
          </cell>
          <cell r="F2650">
            <v>42432</v>
          </cell>
          <cell r="G2650">
            <v>42432</v>
          </cell>
          <cell r="H2650">
            <v>49736</v>
          </cell>
          <cell r="I2650" t="str">
            <v>19 years, 11 months, 28 days</v>
          </cell>
          <cell r="J2650" t="str">
            <v>Renewables</v>
          </cell>
          <cell r="K2650" t="str">
            <v>Solar (Rooftop)</v>
          </cell>
          <cell r="L2650" t="str">
            <v>Solar</v>
          </cell>
          <cell r="M2650" t="str">
            <v>Dx</v>
          </cell>
          <cell r="N2650" t="str">
            <v>Toronto</v>
          </cell>
          <cell r="O2650" t="str">
            <v>Toronto</v>
          </cell>
          <cell r="P2650" t="str">
            <v>Toronto</v>
          </cell>
        </row>
        <row r="2651">
          <cell r="C2651" t="str">
            <v>GreenLife Solar 1</v>
          </cell>
          <cell r="D2651" t="str">
            <v>GreenLife Solar Projects Inc.</v>
          </cell>
          <cell r="E2651" t="str">
            <v>CO</v>
          </cell>
          <cell r="F2651">
            <v>42976</v>
          </cell>
          <cell r="G2651">
            <v>43474</v>
          </cell>
          <cell r="H2651">
            <v>50280</v>
          </cell>
          <cell r="I2651" t="str">
            <v>18 years, 7 months, 19 days</v>
          </cell>
          <cell r="J2651" t="str">
            <v>Renewables</v>
          </cell>
          <cell r="K2651" t="str">
            <v>Solar (Ground Mounted)</v>
          </cell>
          <cell r="L2651" t="str">
            <v>Solar</v>
          </cell>
          <cell r="M2651" t="str">
            <v>Dx</v>
          </cell>
          <cell r="N2651" t="str">
            <v>Grafton</v>
          </cell>
          <cell r="O2651" t="str">
            <v>Northumberland</v>
          </cell>
          <cell r="P2651" t="str">
            <v>East</v>
          </cell>
        </row>
        <row r="2652">
          <cell r="C2652" t="str">
            <v>516 Simmons Road (J Mason-PIT 3 North)</v>
          </cell>
          <cell r="D2652" t="str">
            <v>SUNSHARE2 LP</v>
          </cell>
          <cell r="E2652" t="str">
            <v>CO</v>
          </cell>
          <cell r="F2652">
            <v>42975</v>
          </cell>
          <cell r="G2652">
            <v>42929</v>
          </cell>
          <cell r="H2652">
            <v>50233</v>
          </cell>
          <cell r="I2652" t="str">
            <v>19 years, 11 months, 29 days</v>
          </cell>
          <cell r="J2652" t="str">
            <v>Renewables</v>
          </cell>
          <cell r="K2652" t="str">
            <v>Solar (Ground Mounted)</v>
          </cell>
          <cell r="L2652" t="str">
            <v>Solar</v>
          </cell>
          <cell r="M2652" t="str">
            <v>Dx</v>
          </cell>
          <cell r="N2652" t="str">
            <v>Chelmsford</v>
          </cell>
          <cell r="O2652" t="str">
            <v>Greater Sudbury</v>
          </cell>
          <cell r="P2652" t="str">
            <v>Northeast</v>
          </cell>
        </row>
        <row r="2653">
          <cell r="C2653" t="str">
            <v>Building B - 550 Parkside</v>
          </cell>
          <cell r="D2653" t="str">
            <v>2387281 Ontario Inc.</v>
          </cell>
          <cell r="E2653" t="str">
            <v>CO</v>
          </cell>
          <cell r="F2653">
            <v>42664</v>
          </cell>
          <cell r="G2653">
            <v>42846</v>
          </cell>
          <cell r="H2653">
            <v>49968</v>
          </cell>
          <cell r="I2653" t="str">
            <v>19 years, 5 months, 29 days</v>
          </cell>
          <cell r="J2653" t="str">
            <v>Renewables</v>
          </cell>
          <cell r="K2653" t="str">
            <v>Solar (Rooftop)</v>
          </cell>
          <cell r="L2653" t="str">
            <v>Solar</v>
          </cell>
          <cell r="M2653" t="str">
            <v>Dx</v>
          </cell>
          <cell r="N2653" t="str">
            <v>Waterloo</v>
          </cell>
          <cell r="O2653" t="str">
            <v>Waterloo</v>
          </cell>
          <cell r="P2653" t="str">
            <v>Southwest</v>
          </cell>
        </row>
        <row r="2654">
          <cell r="C2654" t="str">
            <v>GE021</v>
          </cell>
          <cell r="D2654" t="str">
            <v>SIF #2 Reliant Essex LP</v>
          </cell>
          <cell r="E2654" t="str">
            <v>CO</v>
          </cell>
          <cell r="F2654">
            <v>42438</v>
          </cell>
          <cell r="G2654">
            <v>42619</v>
          </cell>
          <cell r="H2654">
            <v>49742</v>
          </cell>
          <cell r="I2654" t="str">
            <v>19 years, 6 months, 2 days</v>
          </cell>
          <cell r="J2654" t="str">
            <v>Renewables</v>
          </cell>
          <cell r="K2654" t="str">
            <v>Solar (Rooftop)</v>
          </cell>
          <cell r="L2654" t="str">
            <v>Solar</v>
          </cell>
          <cell r="M2654" t="str">
            <v>Dx</v>
          </cell>
          <cell r="N2654" t="str">
            <v>Windsor</v>
          </cell>
          <cell r="O2654" t="str">
            <v>Essex</v>
          </cell>
          <cell r="P2654" t="str">
            <v>West</v>
          </cell>
        </row>
        <row r="2655">
          <cell r="C2655" t="str">
            <v>EMP-6 NAPIER</v>
          </cell>
          <cell r="D2655" t="str">
            <v>2387276 Ontario Inc.</v>
          </cell>
          <cell r="E2655" t="str">
            <v>CO</v>
          </cell>
          <cell r="F2655">
            <v>42657</v>
          </cell>
          <cell r="G2655">
            <v>42843</v>
          </cell>
          <cell r="H2655">
            <v>49961</v>
          </cell>
          <cell r="I2655" t="str">
            <v>19 years, 5 months, 25 days</v>
          </cell>
          <cell r="J2655" t="str">
            <v>Renewables</v>
          </cell>
          <cell r="K2655" t="str">
            <v>Solar (Rooftop)</v>
          </cell>
          <cell r="L2655" t="str">
            <v>Solar</v>
          </cell>
          <cell r="M2655" t="str">
            <v>Dx</v>
          </cell>
          <cell r="N2655" t="str">
            <v>Utopia</v>
          </cell>
          <cell r="O2655" t="str">
            <v>Simcoe</v>
          </cell>
          <cell r="P2655" t="str">
            <v>Essa</v>
          </cell>
        </row>
        <row r="2656">
          <cell r="C2656" t="str">
            <v>10021049_Lee</v>
          </cell>
          <cell r="D2656" t="str">
            <v>Skyline Private Opportunities Corp.</v>
          </cell>
          <cell r="E2656" t="str">
            <v>CO</v>
          </cell>
          <cell r="F2656">
            <v>42609</v>
          </cell>
          <cell r="G2656">
            <v>42710</v>
          </cell>
          <cell r="H2656">
            <v>49913</v>
          </cell>
          <cell r="I2656" t="str">
            <v>19 years, 8 months, 20 days</v>
          </cell>
          <cell r="J2656" t="str">
            <v>Renewables</v>
          </cell>
          <cell r="K2656" t="str">
            <v>Solar (Rooftop)</v>
          </cell>
          <cell r="L2656" t="str">
            <v>Solar</v>
          </cell>
          <cell r="M2656" t="str">
            <v>Dx</v>
          </cell>
          <cell r="N2656" t="str">
            <v>Waterford</v>
          </cell>
          <cell r="O2656" t="str">
            <v>Norfolk</v>
          </cell>
          <cell r="P2656" t="str">
            <v>Southwest</v>
          </cell>
        </row>
        <row r="2657">
          <cell r="C2657" t="str">
            <v>SPN 323</v>
          </cell>
          <cell r="D2657" t="str">
            <v>SPN LP 7</v>
          </cell>
          <cell r="E2657" t="str">
            <v>CO</v>
          </cell>
          <cell r="F2657">
            <v>42659</v>
          </cell>
          <cell r="G2657">
            <v>42843</v>
          </cell>
          <cell r="H2657">
            <v>49963</v>
          </cell>
          <cell r="I2657" t="str">
            <v>19 years, 5 months, 27 days</v>
          </cell>
          <cell r="J2657" t="str">
            <v>Renewables</v>
          </cell>
          <cell r="K2657" t="str">
            <v>Solar (Rooftop)</v>
          </cell>
          <cell r="L2657" t="str">
            <v>Solar</v>
          </cell>
          <cell r="M2657" t="str">
            <v>Dx</v>
          </cell>
          <cell r="N2657" t="str">
            <v>Paris</v>
          </cell>
          <cell r="O2657" t="str">
            <v>Brant</v>
          </cell>
          <cell r="P2657" t="str">
            <v>Southwest</v>
          </cell>
        </row>
        <row r="2658">
          <cell r="C2658" t="str">
            <v>Solexica - 100 Westcreek</v>
          </cell>
          <cell r="D2658" t="str">
            <v>Solexica Solar Brampton GP</v>
          </cell>
          <cell r="E2658" t="str">
            <v>CO</v>
          </cell>
          <cell r="F2658">
            <v>42666</v>
          </cell>
          <cell r="G2658">
            <v>42830</v>
          </cell>
          <cell r="H2658">
            <v>49970</v>
          </cell>
          <cell r="I2658" t="str">
            <v>19 years, 6 months, 17 days</v>
          </cell>
          <cell r="J2658" t="str">
            <v>Renewables</v>
          </cell>
          <cell r="K2658" t="str">
            <v>Solar (Rooftop)</v>
          </cell>
          <cell r="L2658" t="str">
            <v>Solar</v>
          </cell>
          <cell r="M2658" t="str">
            <v>Dx</v>
          </cell>
          <cell r="N2658" t="str">
            <v>Brampton</v>
          </cell>
          <cell r="O2658" t="str">
            <v>Peel</v>
          </cell>
          <cell r="P2658" t="str">
            <v>Toronto</v>
          </cell>
        </row>
        <row r="2659">
          <cell r="C2659" t="str">
            <v>P202</v>
          </cell>
          <cell r="D2659" t="str">
            <v>Reliant First Nation Limited Partnership</v>
          </cell>
          <cell r="E2659" t="str">
            <v>CO</v>
          </cell>
          <cell r="F2659">
            <v>42989</v>
          </cell>
          <cell r="G2659">
            <v>42846</v>
          </cell>
          <cell r="H2659">
            <v>50150</v>
          </cell>
          <cell r="I2659" t="str">
            <v>19 years, 11 months, 30 days</v>
          </cell>
          <cell r="J2659" t="str">
            <v>Renewables</v>
          </cell>
          <cell r="K2659" t="str">
            <v>Solar (Rooftop)</v>
          </cell>
          <cell r="L2659" t="str">
            <v>Solar</v>
          </cell>
          <cell r="M2659" t="str">
            <v>Dx</v>
          </cell>
          <cell r="N2659" t="str">
            <v>Brampton</v>
          </cell>
          <cell r="O2659" t="str">
            <v>Peel</v>
          </cell>
          <cell r="P2659" t="str">
            <v>Toronto</v>
          </cell>
        </row>
        <row r="2660">
          <cell r="C2660" t="str">
            <v>SPN 112</v>
          </cell>
          <cell r="D2660" t="str">
            <v>SPN LP 1</v>
          </cell>
          <cell r="E2660" t="str">
            <v>CO</v>
          </cell>
          <cell r="F2660">
            <v>42666</v>
          </cell>
          <cell r="G2660">
            <v>42845</v>
          </cell>
          <cell r="H2660">
            <v>49970</v>
          </cell>
          <cell r="I2660" t="str">
            <v>19 years, 6 months, 2 days</v>
          </cell>
          <cell r="J2660" t="str">
            <v>Renewables</v>
          </cell>
          <cell r="K2660" t="str">
            <v>Solar (Rooftop)</v>
          </cell>
          <cell r="L2660" t="str">
            <v>Solar</v>
          </cell>
          <cell r="M2660" t="str">
            <v>Dx</v>
          </cell>
          <cell r="N2660" t="str">
            <v>Leamington</v>
          </cell>
          <cell r="O2660" t="str">
            <v>Essex</v>
          </cell>
          <cell r="P2660" t="str">
            <v>West</v>
          </cell>
        </row>
        <row r="2661">
          <cell r="C2661" t="str">
            <v>104 Dawson Rd (M Balnar)</v>
          </cell>
          <cell r="D2661" t="str">
            <v>SUNSHARE2 LP</v>
          </cell>
          <cell r="E2661" t="str">
            <v>CO</v>
          </cell>
          <cell r="F2661">
            <v>42653</v>
          </cell>
          <cell r="G2661">
            <v>42668</v>
          </cell>
          <cell r="H2661">
            <v>49957</v>
          </cell>
          <cell r="I2661" t="str">
            <v>19 years, 11 months, 14 days</v>
          </cell>
          <cell r="J2661" t="str">
            <v>Renewables</v>
          </cell>
          <cell r="K2661" t="str">
            <v>Solar (Rooftop)</v>
          </cell>
          <cell r="L2661" t="str">
            <v>Solar</v>
          </cell>
          <cell r="M2661" t="str">
            <v>Dx</v>
          </cell>
          <cell r="N2661" t="str">
            <v>Guelph</v>
          </cell>
          <cell r="O2661" t="str">
            <v>Wellington</v>
          </cell>
          <cell r="P2661" t="str">
            <v>Southwest</v>
          </cell>
        </row>
        <row r="2662">
          <cell r="C2662" t="str">
            <v>HPEDSB Centennial SS</v>
          </cell>
          <cell r="D2662" t="str">
            <v>Ameresco HPEDSB Solar Inc.</v>
          </cell>
          <cell r="E2662" t="str">
            <v>CO</v>
          </cell>
          <cell r="F2662">
            <v>42428</v>
          </cell>
          <cell r="G2662">
            <v>42601</v>
          </cell>
          <cell r="H2662">
            <v>49732</v>
          </cell>
          <cell r="I2662" t="str">
            <v>19 years, 6 months, 8 days</v>
          </cell>
          <cell r="J2662" t="str">
            <v>Renewables</v>
          </cell>
          <cell r="K2662" t="str">
            <v>Solar (Rooftop)</v>
          </cell>
          <cell r="L2662" t="str">
            <v>Solar</v>
          </cell>
          <cell r="M2662" t="str">
            <v>Dx</v>
          </cell>
          <cell r="N2662" t="str">
            <v>Belleville</v>
          </cell>
          <cell r="O2662" t="str">
            <v>Hastings</v>
          </cell>
          <cell r="P2662" t="str">
            <v>East</v>
          </cell>
        </row>
        <row r="2663">
          <cell r="C2663" t="str">
            <v>SPN 450</v>
          </cell>
          <cell r="D2663" t="str">
            <v>SPN LP 4</v>
          </cell>
          <cell r="E2663" t="str">
            <v>CO</v>
          </cell>
          <cell r="F2663">
            <v>42671</v>
          </cell>
          <cell r="G2663">
            <v>42846</v>
          </cell>
          <cell r="H2663">
            <v>49975</v>
          </cell>
          <cell r="I2663" t="str">
            <v>19 years, 6 months, 6 days</v>
          </cell>
          <cell r="J2663" t="str">
            <v>Renewables</v>
          </cell>
          <cell r="K2663" t="str">
            <v>Solar (Rooftop)</v>
          </cell>
          <cell r="L2663" t="str">
            <v>Solar</v>
          </cell>
          <cell r="M2663" t="str">
            <v>Dx</v>
          </cell>
          <cell r="N2663" t="str">
            <v>Brantford</v>
          </cell>
          <cell r="O2663" t="str">
            <v>Brant</v>
          </cell>
          <cell r="P2663" t="str">
            <v>Southwest</v>
          </cell>
        </row>
        <row r="2664">
          <cell r="C2664" t="str">
            <v>OT-180 NORELCO</v>
          </cell>
          <cell r="D2664" t="str">
            <v>2387276 Ontario Inc.</v>
          </cell>
          <cell r="E2664" t="str">
            <v>CO</v>
          </cell>
          <cell r="F2664">
            <v>42657</v>
          </cell>
          <cell r="G2664">
            <v>42838</v>
          </cell>
          <cell r="H2664">
            <v>49961</v>
          </cell>
          <cell r="I2664" t="str">
            <v>19 years, 6 months, 0 days</v>
          </cell>
          <cell r="J2664" t="str">
            <v>Renewables</v>
          </cell>
          <cell r="K2664" t="str">
            <v>Solar (Rooftop)</v>
          </cell>
          <cell r="L2664" t="str">
            <v>Solar</v>
          </cell>
          <cell r="M2664" t="str">
            <v>Dx</v>
          </cell>
          <cell r="N2664" t="str">
            <v>Toronto</v>
          </cell>
          <cell r="O2664" t="str">
            <v>Toronto</v>
          </cell>
          <cell r="P2664" t="str">
            <v>Toronto</v>
          </cell>
        </row>
        <row r="2665">
          <cell r="C2665" t="str">
            <v>IP Rail Trail</v>
          </cell>
          <cell r="D2665" t="str">
            <v>Biidaaske Inc.</v>
          </cell>
          <cell r="E2665" t="str">
            <v>CO</v>
          </cell>
          <cell r="F2665">
            <v>42976</v>
          </cell>
          <cell r="G2665">
            <v>43328</v>
          </cell>
          <cell r="H2665">
            <v>50280</v>
          </cell>
          <cell r="I2665" t="str">
            <v>19 years, 0 months, 12 days</v>
          </cell>
          <cell r="J2665" t="str">
            <v>Renewables</v>
          </cell>
          <cell r="K2665" t="str">
            <v>Solar (Ground Mounted)</v>
          </cell>
          <cell r="L2665" t="str">
            <v>Solar</v>
          </cell>
          <cell r="M2665" t="str">
            <v>Dx</v>
          </cell>
          <cell r="N2665" t="str">
            <v>Owen Sound</v>
          </cell>
          <cell r="O2665" t="str">
            <v>Grey</v>
          </cell>
          <cell r="P2665" t="str">
            <v>Southwest</v>
          </cell>
        </row>
        <row r="2666">
          <cell r="C2666" t="str">
            <v>GE044</v>
          </cell>
          <cell r="D2666" t="str">
            <v>SIF #2 Reliant Essex LP</v>
          </cell>
          <cell r="E2666" t="str">
            <v>CO</v>
          </cell>
          <cell r="F2666">
            <v>42438</v>
          </cell>
          <cell r="G2666">
            <v>42667</v>
          </cell>
          <cell r="H2666">
            <v>49742</v>
          </cell>
          <cell r="I2666" t="str">
            <v>19 years, 4 months, 13 days</v>
          </cell>
          <cell r="J2666" t="str">
            <v>Renewables</v>
          </cell>
          <cell r="K2666" t="str">
            <v>Solar (Rooftop)</v>
          </cell>
          <cell r="L2666" t="str">
            <v>Solar</v>
          </cell>
          <cell r="M2666" t="str">
            <v>Dx</v>
          </cell>
          <cell r="N2666" t="str">
            <v>Wheatley</v>
          </cell>
          <cell r="O2666" t="str">
            <v>Chatham-Kent</v>
          </cell>
          <cell r="P2666" t="str">
            <v>West</v>
          </cell>
        </row>
        <row r="2667">
          <cell r="C2667" t="str">
            <v>P134</v>
          </cell>
          <cell r="D2667" t="str">
            <v>Reliant First Nation Limited Partnership</v>
          </cell>
          <cell r="E2667" t="str">
            <v>CO</v>
          </cell>
          <cell r="F2667">
            <v>42982</v>
          </cell>
          <cell r="G2667">
            <v>43035</v>
          </cell>
          <cell r="H2667">
            <v>50286</v>
          </cell>
          <cell r="I2667" t="str">
            <v>19 years, 10 months, 7 days</v>
          </cell>
          <cell r="J2667" t="str">
            <v>Renewables</v>
          </cell>
          <cell r="K2667" t="str">
            <v>Solar (Rooftop)</v>
          </cell>
          <cell r="L2667" t="str">
            <v>Solar</v>
          </cell>
          <cell r="M2667" t="str">
            <v>Dx</v>
          </cell>
          <cell r="N2667" t="str">
            <v>Brampton</v>
          </cell>
          <cell r="O2667" t="str">
            <v>Peel</v>
          </cell>
          <cell r="P2667" t="str">
            <v>Toronto</v>
          </cell>
        </row>
        <row r="2668">
          <cell r="C2668" t="str">
            <v>Ecole Jean-Robert-Gauthier</v>
          </cell>
          <cell r="D2668" t="str">
            <v>Conseil scolaire de district catholique du Centre-Est de l'Ontario</v>
          </cell>
          <cell r="E2668" t="str">
            <v>CO</v>
          </cell>
          <cell r="F2668">
            <v>42432</v>
          </cell>
          <cell r="G2668">
            <v>42339</v>
          </cell>
          <cell r="H2668">
            <v>49643</v>
          </cell>
          <cell r="I2668" t="str">
            <v>19 years, 11 months, 29 days</v>
          </cell>
          <cell r="J2668" t="str">
            <v>Renewables</v>
          </cell>
          <cell r="K2668" t="str">
            <v>Solar (Rooftop)</v>
          </cell>
          <cell r="L2668" t="str">
            <v>Solar</v>
          </cell>
          <cell r="M2668" t="str">
            <v>Dx</v>
          </cell>
          <cell r="N2668" t="str">
            <v>Ottawa</v>
          </cell>
          <cell r="O2668" t="str">
            <v>Ottawa</v>
          </cell>
          <cell r="P2668" t="str">
            <v>Ottawa</v>
          </cell>
        </row>
        <row r="2669">
          <cell r="C2669" t="str">
            <v>Muskoka Solar LP - PC</v>
          </cell>
          <cell r="D2669" t="str">
            <v>Muskoka Solar LP</v>
          </cell>
          <cell r="E2669" t="str">
            <v>CO</v>
          </cell>
          <cell r="F2669">
            <v>42975</v>
          </cell>
          <cell r="G2669">
            <v>42941</v>
          </cell>
          <cell r="H2669">
            <v>50245</v>
          </cell>
          <cell r="I2669" t="str">
            <v>19 years, 11 months, 29 days</v>
          </cell>
          <cell r="J2669" t="str">
            <v>Renewables</v>
          </cell>
          <cell r="K2669" t="str">
            <v>Solar (Ground Mounted)</v>
          </cell>
          <cell r="L2669" t="str">
            <v>Solar</v>
          </cell>
          <cell r="M2669" t="str">
            <v>Dx</v>
          </cell>
          <cell r="N2669" t="str">
            <v>Port Carling</v>
          </cell>
          <cell r="O2669" t="str">
            <v>Muskoka</v>
          </cell>
          <cell r="P2669" t="str">
            <v>Essa</v>
          </cell>
        </row>
        <row r="2670">
          <cell r="C2670" t="str">
            <v>P088</v>
          </cell>
          <cell r="D2670" t="str">
            <v>Reliant First Nation Limited Partnership</v>
          </cell>
          <cell r="E2670" t="str">
            <v>CO</v>
          </cell>
          <cell r="F2670">
            <v>42989</v>
          </cell>
          <cell r="G2670">
            <v>42790</v>
          </cell>
          <cell r="H2670">
            <v>50094</v>
          </cell>
          <cell r="I2670" t="str">
            <v>19 years, 11 months, 30 days</v>
          </cell>
          <cell r="J2670" t="str">
            <v>Renewables</v>
          </cell>
          <cell r="K2670" t="str">
            <v>Solar (Rooftop)</v>
          </cell>
          <cell r="L2670" t="str">
            <v>Solar</v>
          </cell>
          <cell r="M2670" t="str">
            <v>Dx</v>
          </cell>
          <cell r="N2670" t="str">
            <v>Mississauga</v>
          </cell>
          <cell r="O2670" t="str">
            <v>Peel</v>
          </cell>
          <cell r="P2670" t="str">
            <v>Toronto</v>
          </cell>
        </row>
        <row r="2671">
          <cell r="C2671" t="str">
            <v>Gordon Wood and Melanie Wood</v>
          </cell>
          <cell r="D2671" t="str">
            <v>Gordon Wood and Melanie Wood</v>
          </cell>
          <cell r="E2671" t="str">
            <v>CO</v>
          </cell>
          <cell r="F2671">
            <v>42609</v>
          </cell>
          <cell r="G2671">
            <v>42451</v>
          </cell>
          <cell r="H2671">
            <v>49755</v>
          </cell>
          <cell r="I2671" t="str">
            <v>19 years, 11 months, 28 days</v>
          </cell>
          <cell r="J2671" t="str">
            <v>Renewables</v>
          </cell>
          <cell r="K2671" t="str">
            <v>Solar (Rooftop)</v>
          </cell>
          <cell r="L2671" t="str">
            <v>Solar</v>
          </cell>
          <cell r="M2671" t="str">
            <v>Dx</v>
          </cell>
          <cell r="N2671" t="str">
            <v>Keene</v>
          </cell>
          <cell r="O2671" t="str">
            <v>Peterborough</v>
          </cell>
          <cell r="P2671" t="str">
            <v>East</v>
          </cell>
        </row>
        <row r="2672">
          <cell r="C2672" t="str">
            <v>F3-PS2013-043</v>
          </cell>
          <cell r="D2672" t="str">
            <v>Alectra Utilities Corporation</v>
          </cell>
          <cell r="E2672" t="str">
            <v>CO</v>
          </cell>
          <cell r="F2672">
            <v>42609</v>
          </cell>
          <cell r="G2672">
            <v>42368</v>
          </cell>
          <cell r="H2672">
            <v>49672</v>
          </cell>
          <cell r="I2672" t="str">
            <v>19 years, 11 months, 29 days</v>
          </cell>
          <cell r="J2672" t="str">
            <v>Renewables</v>
          </cell>
          <cell r="K2672" t="str">
            <v>Solar (Rooftop)</v>
          </cell>
          <cell r="L2672" t="str">
            <v>Solar</v>
          </cell>
          <cell r="M2672" t="str">
            <v>Dx</v>
          </cell>
          <cell r="N2672" t="str">
            <v>Markham</v>
          </cell>
          <cell r="O2672" t="str">
            <v>York</v>
          </cell>
          <cell r="P2672" t="str">
            <v>Toronto</v>
          </cell>
        </row>
        <row r="2673">
          <cell r="C2673" t="str">
            <v>HPEDSB Bayside SS</v>
          </cell>
          <cell r="D2673" t="str">
            <v>Ameresco HPEDSB Solar Inc.</v>
          </cell>
          <cell r="E2673" t="str">
            <v>CO</v>
          </cell>
          <cell r="F2673">
            <v>42428</v>
          </cell>
          <cell r="G2673">
            <v>42601</v>
          </cell>
          <cell r="H2673">
            <v>49732</v>
          </cell>
          <cell r="I2673" t="str">
            <v>19 years, 6 months, 8 days</v>
          </cell>
          <cell r="J2673" t="str">
            <v>Renewables</v>
          </cell>
          <cell r="K2673" t="str">
            <v>Solar (Rooftop)</v>
          </cell>
          <cell r="L2673" t="str">
            <v>Solar</v>
          </cell>
          <cell r="M2673" t="str">
            <v>Dx</v>
          </cell>
          <cell r="N2673" t="str">
            <v>Belleville</v>
          </cell>
          <cell r="O2673" t="str">
            <v>Hastings</v>
          </cell>
          <cell r="P2673" t="str">
            <v>East</v>
          </cell>
        </row>
        <row r="2674">
          <cell r="C2674" t="str">
            <v>P225</v>
          </cell>
          <cell r="D2674" t="str">
            <v>Reliant First Nation Limited Partnership</v>
          </cell>
          <cell r="E2674" t="str">
            <v>CO</v>
          </cell>
          <cell r="F2674">
            <v>42982</v>
          </cell>
          <cell r="G2674">
            <v>42818</v>
          </cell>
          <cell r="H2674">
            <v>50122</v>
          </cell>
          <cell r="I2674" t="str">
            <v>19 years, 11 months, 27 days</v>
          </cell>
          <cell r="J2674" t="str">
            <v>Renewables</v>
          </cell>
          <cell r="K2674" t="str">
            <v>Solar (Rooftop)</v>
          </cell>
          <cell r="L2674" t="str">
            <v>Solar</v>
          </cell>
          <cell r="M2674" t="str">
            <v>Dx</v>
          </cell>
          <cell r="N2674" t="str">
            <v>Brampton</v>
          </cell>
          <cell r="O2674" t="str">
            <v>Peel</v>
          </cell>
          <cell r="P2674" t="str">
            <v>Toronto</v>
          </cell>
        </row>
        <row r="2675">
          <cell r="C2675" t="str">
            <v>LDCSB St. Mary</v>
          </cell>
          <cell r="D2675" t="str">
            <v>Ameresco LDCSB Solar Inc.</v>
          </cell>
          <cell r="E2675" t="str">
            <v>CO</v>
          </cell>
          <cell r="F2675">
            <v>42428</v>
          </cell>
          <cell r="G2675">
            <v>42571</v>
          </cell>
          <cell r="H2675">
            <v>49732</v>
          </cell>
          <cell r="I2675" t="str">
            <v>19 years, 7 months, 7 days</v>
          </cell>
          <cell r="J2675" t="str">
            <v>Renewables</v>
          </cell>
          <cell r="K2675" t="str">
            <v>Solar (Rooftop)</v>
          </cell>
          <cell r="L2675" t="str">
            <v>Solar</v>
          </cell>
          <cell r="M2675" t="str">
            <v>Dx</v>
          </cell>
          <cell r="N2675" t="str">
            <v>London</v>
          </cell>
          <cell r="O2675" t="str">
            <v>Middlesex</v>
          </cell>
          <cell r="P2675" t="str">
            <v>West</v>
          </cell>
        </row>
        <row r="2676">
          <cell r="C2676" t="str">
            <v>SPN 252</v>
          </cell>
          <cell r="D2676" t="str">
            <v>LDREC SPN LP</v>
          </cell>
          <cell r="E2676" t="str">
            <v>CO</v>
          </cell>
          <cell r="F2676">
            <v>42653</v>
          </cell>
          <cell r="G2676">
            <v>42794</v>
          </cell>
          <cell r="H2676">
            <v>49957</v>
          </cell>
          <cell r="I2676" t="str">
            <v>19 years, 7 months, 11 days</v>
          </cell>
          <cell r="J2676" t="str">
            <v>Renewables</v>
          </cell>
          <cell r="K2676" t="str">
            <v>Solar (Rooftop)</v>
          </cell>
          <cell r="L2676" t="str">
            <v>Solar</v>
          </cell>
          <cell r="M2676" t="str">
            <v>Dx</v>
          </cell>
          <cell r="N2676" t="str">
            <v>London</v>
          </cell>
          <cell r="O2676" t="str">
            <v>Middlesex</v>
          </cell>
          <cell r="P2676" t="str">
            <v>West</v>
          </cell>
        </row>
        <row r="2677">
          <cell r="C2677" t="str">
            <v>Lot 10 Groundmount</v>
          </cell>
          <cell r="D2677" t="str">
            <v>Zaagate Giizis Energy Inc.</v>
          </cell>
          <cell r="E2677" t="str">
            <v>CO</v>
          </cell>
          <cell r="F2677">
            <v>43200</v>
          </cell>
          <cell r="G2677">
            <v>42829</v>
          </cell>
          <cell r="H2677">
            <v>50133</v>
          </cell>
          <cell r="I2677" t="str">
            <v>19 years, 11 months, 30 days</v>
          </cell>
          <cell r="J2677" t="str">
            <v>Renewables</v>
          </cell>
          <cell r="K2677" t="str">
            <v>Solar (Ground Mounted)</v>
          </cell>
          <cell r="L2677" t="str">
            <v>Solar</v>
          </cell>
          <cell r="M2677" t="str">
            <v>Dx</v>
          </cell>
          <cell r="N2677" t="str">
            <v>Sault Ste. Marie</v>
          </cell>
          <cell r="O2677" t="str">
            <v>Algoma</v>
          </cell>
          <cell r="P2677" t="str">
            <v>Northeast</v>
          </cell>
        </row>
        <row r="2678">
          <cell r="C2678" t="str">
            <v>SunEdison ON-11-0187</v>
          </cell>
          <cell r="D2678" t="str">
            <v>GSC Southlake Solar LP</v>
          </cell>
          <cell r="E2678" t="str">
            <v>CO</v>
          </cell>
          <cell r="F2678">
            <v>42980</v>
          </cell>
          <cell r="G2678">
            <v>43245</v>
          </cell>
          <cell r="H2678">
            <v>50284</v>
          </cell>
          <cell r="I2678" t="str">
            <v>19 years, 3 months, 7 days</v>
          </cell>
          <cell r="J2678" t="str">
            <v>Renewables</v>
          </cell>
          <cell r="K2678" t="str">
            <v>Solar (Ground Mounted)</v>
          </cell>
          <cell r="L2678" t="str">
            <v>Solar</v>
          </cell>
          <cell r="M2678" t="str">
            <v>Dx</v>
          </cell>
          <cell r="N2678" t="str">
            <v>Indian River</v>
          </cell>
          <cell r="O2678" t="str">
            <v>Peterborough</v>
          </cell>
          <cell r="P2678" t="str">
            <v>East</v>
          </cell>
        </row>
        <row r="2679">
          <cell r="C2679" t="str">
            <v>210 Gran Street</v>
          </cell>
          <cell r="D2679" t="str">
            <v>Zaagate Giizis Energy Inc.</v>
          </cell>
          <cell r="E2679" t="str">
            <v>CO</v>
          </cell>
          <cell r="F2679">
            <v>42653</v>
          </cell>
          <cell r="G2679">
            <v>42648</v>
          </cell>
          <cell r="H2679">
            <v>49952</v>
          </cell>
          <cell r="I2679" t="str">
            <v>19 years, 11 months, 29 days</v>
          </cell>
          <cell r="J2679" t="str">
            <v>Renewables</v>
          </cell>
          <cell r="K2679" t="str">
            <v>Solar (Rooftop)</v>
          </cell>
          <cell r="L2679" t="str">
            <v>Solar</v>
          </cell>
          <cell r="M2679" t="str">
            <v>Dx</v>
          </cell>
          <cell r="N2679" t="str">
            <v>Sault Ste. Marie</v>
          </cell>
          <cell r="O2679" t="str">
            <v>Algoma</v>
          </cell>
          <cell r="P2679" t="str">
            <v>Northeast</v>
          </cell>
        </row>
        <row r="2680">
          <cell r="C2680" t="str">
            <v>IP Compost Site</v>
          </cell>
          <cell r="D2680" t="str">
            <v>Biidaaske Inc.</v>
          </cell>
          <cell r="E2680" t="str">
            <v>CO</v>
          </cell>
          <cell r="F2680">
            <v>42976</v>
          </cell>
          <cell r="G2680">
            <v>43270</v>
          </cell>
          <cell r="H2680">
            <v>50280</v>
          </cell>
          <cell r="I2680" t="str">
            <v>19 years, 2 months, 9 days</v>
          </cell>
          <cell r="J2680" t="str">
            <v>Renewables</v>
          </cell>
          <cell r="K2680" t="str">
            <v>Solar (Ground Mounted)</v>
          </cell>
          <cell r="L2680" t="str">
            <v>Solar</v>
          </cell>
          <cell r="M2680" t="str">
            <v>Dx</v>
          </cell>
          <cell r="N2680" t="str">
            <v>Owen Sound</v>
          </cell>
          <cell r="O2680" t="str">
            <v>Grey</v>
          </cell>
          <cell r="P2680" t="str">
            <v>Southwest</v>
          </cell>
        </row>
        <row r="2681">
          <cell r="C2681" t="str">
            <v>10021164_maloney</v>
          </cell>
          <cell r="D2681" t="str">
            <v>Christopher Shawn Maloney &amp; Angela Marie Maloney</v>
          </cell>
          <cell r="E2681" t="str">
            <v>CO</v>
          </cell>
          <cell r="F2681">
            <v>42609</v>
          </cell>
          <cell r="G2681">
            <v>42755</v>
          </cell>
          <cell r="H2681">
            <v>49913</v>
          </cell>
          <cell r="I2681" t="str">
            <v>19 years, 7 months, 6 days</v>
          </cell>
          <cell r="J2681" t="str">
            <v>Renewables</v>
          </cell>
          <cell r="K2681" t="str">
            <v>Solar (Rooftop)</v>
          </cell>
          <cell r="L2681" t="str">
            <v>Solar</v>
          </cell>
          <cell r="M2681" t="str">
            <v>Dx</v>
          </cell>
          <cell r="N2681" t="str">
            <v>Seaforth</v>
          </cell>
          <cell r="O2681" t="str">
            <v>Huron</v>
          </cell>
          <cell r="P2681" t="str">
            <v>Southwest</v>
          </cell>
        </row>
        <row r="2682">
          <cell r="C2682" t="str">
            <v>182 pine bush 2</v>
          </cell>
          <cell r="D2682" t="str">
            <v>2356933 ONTARIO INC.</v>
          </cell>
          <cell r="E2682" t="str">
            <v>CO</v>
          </cell>
          <cell r="F2682">
            <v>42428</v>
          </cell>
          <cell r="G2682">
            <v>42524</v>
          </cell>
          <cell r="H2682">
            <v>49732</v>
          </cell>
          <cell r="I2682" t="str">
            <v>19 years, 8 months, 24 days</v>
          </cell>
          <cell r="J2682" t="str">
            <v>Renewables</v>
          </cell>
          <cell r="K2682" t="str">
            <v>Solar (Rooftop)</v>
          </cell>
          <cell r="L2682" t="str">
            <v>Solar</v>
          </cell>
          <cell r="M2682" t="str">
            <v>Dx</v>
          </cell>
          <cell r="N2682" t="str">
            <v>Cambridge</v>
          </cell>
          <cell r="O2682" t="str">
            <v>Waterloo</v>
          </cell>
          <cell r="P2682" t="str">
            <v>Southwest</v>
          </cell>
        </row>
        <row r="2683">
          <cell r="C2683" t="str">
            <v>York Region Forest Stewardship &amp; Education Centre</v>
          </cell>
          <cell r="D2683" t="str">
            <v>The Regional Municipality of York</v>
          </cell>
          <cell r="E2683" t="str">
            <v>CO</v>
          </cell>
          <cell r="F2683">
            <v>42609</v>
          </cell>
          <cell r="G2683">
            <v>42726</v>
          </cell>
          <cell r="H2683">
            <v>49913</v>
          </cell>
          <cell r="I2683" t="str">
            <v>19 years, 8 months, 4 days</v>
          </cell>
          <cell r="J2683" t="str">
            <v>Renewables</v>
          </cell>
          <cell r="K2683" t="str">
            <v>Solar (Rooftop)</v>
          </cell>
          <cell r="L2683" t="str">
            <v>Solar</v>
          </cell>
          <cell r="M2683" t="str">
            <v>Dx</v>
          </cell>
          <cell r="N2683" t="str">
            <v>Stouffville</v>
          </cell>
          <cell r="O2683" t="str">
            <v>York</v>
          </cell>
          <cell r="P2683" t="str">
            <v>Essa</v>
          </cell>
        </row>
        <row r="2684">
          <cell r="C2684" t="str">
            <v>Glen Abbey Community Center</v>
          </cell>
          <cell r="D2684" t="str">
            <v>Corporation of the Town of Oakville</v>
          </cell>
          <cell r="E2684" t="str">
            <v>CO</v>
          </cell>
          <cell r="F2684">
            <v>42447</v>
          </cell>
          <cell r="G2684">
            <v>42318</v>
          </cell>
          <cell r="H2684">
            <v>49622</v>
          </cell>
          <cell r="I2684" t="str">
            <v>19 years, 11 months, 30 days</v>
          </cell>
          <cell r="J2684" t="str">
            <v>Renewables</v>
          </cell>
          <cell r="K2684" t="str">
            <v>Solar (Rooftop)</v>
          </cell>
          <cell r="L2684" t="str">
            <v>Solar</v>
          </cell>
          <cell r="M2684" t="str">
            <v>Dx</v>
          </cell>
          <cell r="N2684" t="str">
            <v>Oakville</v>
          </cell>
          <cell r="O2684" t="str">
            <v>Halton</v>
          </cell>
          <cell r="P2684" t="str">
            <v>Southwest</v>
          </cell>
        </row>
        <row r="2685">
          <cell r="C2685" t="str">
            <v>IP Public Works</v>
          </cell>
          <cell r="D2685" t="str">
            <v>Biidaaske Inc.</v>
          </cell>
          <cell r="E2685" t="str">
            <v>CO</v>
          </cell>
          <cell r="F2685">
            <v>42976</v>
          </cell>
          <cell r="G2685">
            <v>43503</v>
          </cell>
          <cell r="H2685">
            <v>50280</v>
          </cell>
          <cell r="I2685" t="str">
            <v>18 years, 6 months, 21 days</v>
          </cell>
          <cell r="J2685" t="str">
            <v>Renewables</v>
          </cell>
          <cell r="K2685" t="str">
            <v>Solar (Ground Mounted)</v>
          </cell>
          <cell r="L2685" t="str">
            <v>Solar</v>
          </cell>
          <cell r="M2685" t="str">
            <v>Dx</v>
          </cell>
          <cell r="N2685" t="str">
            <v>Owen Sound</v>
          </cell>
          <cell r="O2685" t="str">
            <v>Grey</v>
          </cell>
          <cell r="P2685" t="str">
            <v>Southwest</v>
          </cell>
        </row>
        <row r="2686">
          <cell r="C2686" t="str">
            <v>P211</v>
          </cell>
          <cell r="D2686" t="str">
            <v>Reliant First Nation Limited Partnership</v>
          </cell>
          <cell r="E2686" t="str">
            <v>CO</v>
          </cell>
          <cell r="F2686">
            <v>42982</v>
          </cell>
          <cell r="G2686">
            <v>43035</v>
          </cell>
          <cell r="H2686">
            <v>50286</v>
          </cell>
          <cell r="I2686" t="str">
            <v>19 years, 10 months, 7 days</v>
          </cell>
          <cell r="J2686" t="str">
            <v>Renewables</v>
          </cell>
          <cell r="K2686" t="str">
            <v>Solar (Rooftop)</v>
          </cell>
          <cell r="L2686" t="str">
            <v>Solar</v>
          </cell>
          <cell r="M2686" t="str">
            <v>Dx</v>
          </cell>
          <cell r="N2686" t="str">
            <v>Brampton</v>
          </cell>
          <cell r="O2686" t="str">
            <v>Peel</v>
          </cell>
          <cell r="P2686" t="str">
            <v>Toronto</v>
          </cell>
        </row>
        <row r="2687">
          <cell r="C2687" t="str">
            <v>50 Kent Ave (MCCO)</v>
          </cell>
          <cell r="D2687" t="str">
            <v>SUNSHARE2 LP</v>
          </cell>
          <cell r="E2687" t="str">
            <v>CO</v>
          </cell>
          <cell r="F2687">
            <v>42428</v>
          </cell>
          <cell r="G2687">
            <v>42566</v>
          </cell>
          <cell r="H2687">
            <v>49732</v>
          </cell>
          <cell r="I2687" t="str">
            <v>19 years, 7 months, 12 days</v>
          </cell>
          <cell r="J2687" t="str">
            <v>Renewables</v>
          </cell>
          <cell r="K2687" t="str">
            <v>Solar (Rooftop)</v>
          </cell>
          <cell r="L2687" t="str">
            <v>Solar</v>
          </cell>
          <cell r="M2687" t="str">
            <v>Dx</v>
          </cell>
          <cell r="N2687" t="str">
            <v>Kitchener</v>
          </cell>
          <cell r="O2687" t="str">
            <v>Waterloo</v>
          </cell>
          <cell r="P2687" t="str">
            <v>Southwest</v>
          </cell>
        </row>
        <row r="2688">
          <cell r="C2688" t="str">
            <v>GreenLife Solar 7</v>
          </cell>
          <cell r="D2688" t="str">
            <v>GreenLife Solar Projects Inc.</v>
          </cell>
          <cell r="E2688" t="str">
            <v>CO</v>
          </cell>
          <cell r="F2688">
            <v>42976</v>
          </cell>
          <cell r="G2688">
            <v>43489</v>
          </cell>
          <cell r="H2688">
            <v>50280</v>
          </cell>
          <cell r="I2688" t="str">
            <v>18 years, 7 months, 4 days</v>
          </cell>
          <cell r="J2688" t="str">
            <v>Renewables</v>
          </cell>
          <cell r="K2688" t="str">
            <v>Solar (Ground Mounted)</v>
          </cell>
          <cell r="L2688" t="str">
            <v>Solar</v>
          </cell>
          <cell r="M2688" t="str">
            <v>Dx</v>
          </cell>
          <cell r="N2688" t="str">
            <v>Indian River</v>
          </cell>
          <cell r="O2688" t="str">
            <v>Peterborough</v>
          </cell>
          <cell r="P2688" t="str">
            <v>East</v>
          </cell>
        </row>
        <row r="2689">
          <cell r="C2689" t="str">
            <v>Asphodel-Norwood Community Centre</v>
          </cell>
          <cell r="D2689" t="str">
            <v>Peterborough Solar Projects Corporation</v>
          </cell>
          <cell r="E2689" t="str">
            <v>CO</v>
          </cell>
          <cell r="F2689">
            <v>42657</v>
          </cell>
          <cell r="G2689">
            <v>42622</v>
          </cell>
          <cell r="H2689">
            <v>49926</v>
          </cell>
          <cell r="I2689" t="str">
            <v>19 years, 11 months, 30 days</v>
          </cell>
          <cell r="J2689" t="str">
            <v>Renewables</v>
          </cell>
          <cell r="K2689" t="str">
            <v>Solar (Rooftop)</v>
          </cell>
          <cell r="L2689" t="str">
            <v>Solar</v>
          </cell>
          <cell r="M2689" t="str">
            <v>Dx</v>
          </cell>
          <cell r="N2689" t="str">
            <v>Norwood</v>
          </cell>
          <cell r="O2689" t="str">
            <v>Hastings</v>
          </cell>
          <cell r="P2689" t="str">
            <v>East</v>
          </cell>
        </row>
        <row r="2690">
          <cell r="C2690" t="str">
            <v>P182</v>
          </cell>
          <cell r="D2690" t="str">
            <v>Reliant First Nation Limited Partnership</v>
          </cell>
          <cell r="E2690" t="str">
            <v>CO</v>
          </cell>
          <cell r="F2690">
            <v>42982</v>
          </cell>
          <cell r="G2690">
            <v>43151</v>
          </cell>
          <cell r="H2690">
            <v>50286</v>
          </cell>
          <cell r="I2690" t="str">
            <v>19 years, 6 months, 14 days</v>
          </cell>
          <cell r="J2690" t="str">
            <v>Renewables</v>
          </cell>
          <cell r="K2690" t="str">
            <v>Solar (Rooftop)</v>
          </cell>
          <cell r="L2690" t="str">
            <v>Solar</v>
          </cell>
          <cell r="M2690" t="str">
            <v>Dx</v>
          </cell>
          <cell r="N2690" t="str">
            <v>Brampton</v>
          </cell>
          <cell r="O2690" t="str">
            <v>Peel</v>
          </cell>
          <cell r="P2690" t="str">
            <v>Toronto</v>
          </cell>
        </row>
        <row r="2691">
          <cell r="C2691" t="str">
            <v>P146</v>
          </cell>
          <cell r="D2691" t="str">
            <v>Reliant First Nation Limited Partnership</v>
          </cell>
          <cell r="E2691" t="str">
            <v>CO</v>
          </cell>
          <cell r="F2691">
            <v>42989</v>
          </cell>
          <cell r="G2691">
            <v>42835</v>
          </cell>
          <cell r="H2691">
            <v>50139</v>
          </cell>
          <cell r="I2691" t="str">
            <v>19 years, 11 months, 30 days</v>
          </cell>
          <cell r="J2691" t="str">
            <v>Renewables</v>
          </cell>
          <cell r="K2691" t="str">
            <v>Solar (Rooftop)</v>
          </cell>
          <cell r="L2691" t="str">
            <v>Solar</v>
          </cell>
          <cell r="M2691" t="str">
            <v>Dx</v>
          </cell>
          <cell r="N2691" t="str">
            <v>Brampton</v>
          </cell>
          <cell r="O2691" t="str">
            <v>Peel</v>
          </cell>
          <cell r="P2691" t="str">
            <v>Toronto</v>
          </cell>
        </row>
        <row r="2692">
          <cell r="C2692" t="str">
            <v>HPEDSB Park Dale PS</v>
          </cell>
          <cell r="D2692" t="str">
            <v>Ameresco HPEDSB Solar Inc.</v>
          </cell>
          <cell r="E2692" t="str">
            <v>CO</v>
          </cell>
          <cell r="F2692">
            <v>42428</v>
          </cell>
          <cell r="G2692">
            <v>42576</v>
          </cell>
          <cell r="H2692">
            <v>49732</v>
          </cell>
          <cell r="I2692" t="str">
            <v>19 years, 7 months, 2 days</v>
          </cell>
          <cell r="J2692" t="str">
            <v>Renewables</v>
          </cell>
          <cell r="K2692" t="str">
            <v>Solar (Rooftop)</v>
          </cell>
          <cell r="L2692" t="str">
            <v>Solar</v>
          </cell>
          <cell r="M2692" t="str">
            <v>Dx</v>
          </cell>
          <cell r="N2692" t="str">
            <v>Belleville</v>
          </cell>
          <cell r="O2692" t="str">
            <v>Hastings</v>
          </cell>
          <cell r="P2692" t="str">
            <v>East</v>
          </cell>
        </row>
        <row r="2693">
          <cell r="C2693" t="str">
            <v>P167</v>
          </cell>
          <cell r="D2693" t="str">
            <v>Reliant First Nation Limited Partnership</v>
          </cell>
          <cell r="E2693" t="str">
            <v>CO</v>
          </cell>
          <cell r="F2693">
            <v>42987</v>
          </cell>
          <cell r="G2693">
            <v>43111</v>
          </cell>
          <cell r="H2693">
            <v>50291</v>
          </cell>
          <cell r="I2693" t="str">
            <v>19 years, 7 months, 28 days</v>
          </cell>
          <cell r="J2693" t="str">
            <v>Renewables</v>
          </cell>
          <cell r="K2693" t="str">
            <v>Solar (Rooftop)</v>
          </cell>
          <cell r="L2693" t="str">
            <v>Solar</v>
          </cell>
          <cell r="M2693" t="str">
            <v>Dx</v>
          </cell>
          <cell r="N2693" t="str">
            <v>Brampton</v>
          </cell>
          <cell r="O2693" t="str">
            <v>Peel</v>
          </cell>
          <cell r="P2693" t="str">
            <v>Toronto</v>
          </cell>
        </row>
        <row r="2694">
          <cell r="C2694" t="str">
            <v>SFF 13</v>
          </cell>
          <cell r="D2694" t="str">
            <v>2387282 Ontario Inc.</v>
          </cell>
          <cell r="E2694" t="str">
            <v>CO</v>
          </cell>
          <cell r="F2694">
            <v>43204</v>
          </cell>
          <cell r="G2694">
            <v>43315</v>
          </cell>
          <cell r="H2694">
            <v>50508</v>
          </cell>
          <cell r="I2694" t="str">
            <v>19 years, 8 months, 10 days</v>
          </cell>
          <cell r="J2694" t="str">
            <v>Renewables</v>
          </cell>
          <cell r="K2694" t="str">
            <v>Solar (Ground Mounted)</v>
          </cell>
          <cell r="L2694" t="str">
            <v>Solar</v>
          </cell>
          <cell r="M2694" t="str">
            <v>Dx</v>
          </cell>
          <cell r="N2694" t="str">
            <v>Fenelon Falls</v>
          </cell>
          <cell r="O2694" t="str">
            <v>Kawartha Lakes</v>
          </cell>
          <cell r="P2694" t="str">
            <v>Essa</v>
          </cell>
        </row>
        <row r="2695">
          <cell r="C2695" t="str">
            <v>YDMC CURLING CLUB</v>
          </cell>
          <cell r="D2695" t="str">
            <v>Energie Matachewan Energy Inc.</v>
          </cell>
          <cell r="E2695" t="str">
            <v>CO</v>
          </cell>
          <cell r="F2695">
            <v>42447</v>
          </cell>
          <cell r="G2695">
            <v>42668</v>
          </cell>
          <cell r="H2695">
            <v>49751</v>
          </cell>
          <cell r="I2695" t="str">
            <v>19 years, 4 months, 21 days</v>
          </cell>
          <cell r="J2695" t="str">
            <v>Renewables</v>
          </cell>
          <cell r="K2695" t="str">
            <v>Solar (Rooftop)</v>
          </cell>
          <cell r="L2695" t="str">
            <v>Solar</v>
          </cell>
          <cell r="M2695" t="str">
            <v>Dx</v>
          </cell>
          <cell r="N2695" t="str">
            <v>Matachewan</v>
          </cell>
          <cell r="O2695" t="str">
            <v>Timiskaming</v>
          </cell>
          <cell r="P2695" t="str">
            <v>Northeast</v>
          </cell>
        </row>
        <row r="2696">
          <cell r="C2696" t="str">
            <v>Simpkins_10020709</v>
          </cell>
          <cell r="D2696" t="str">
            <v>Skyline Private Opportunities Corp.</v>
          </cell>
          <cell r="E2696" t="str">
            <v>CO</v>
          </cell>
          <cell r="F2696">
            <v>42609</v>
          </cell>
          <cell r="G2696">
            <v>42648</v>
          </cell>
          <cell r="H2696">
            <v>49913</v>
          </cell>
          <cell r="I2696" t="str">
            <v>19 years, 10 months, 21 days</v>
          </cell>
          <cell r="J2696" t="str">
            <v>Renewables</v>
          </cell>
          <cell r="K2696" t="str">
            <v>Solar (Rooftop)</v>
          </cell>
          <cell r="L2696" t="str">
            <v>Solar</v>
          </cell>
          <cell r="M2696" t="str">
            <v>Dx</v>
          </cell>
          <cell r="N2696" t="str">
            <v>Thomasburg</v>
          </cell>
          <cell r="O2696" t="str">
            <v>Hastings</v>
          </cell>
          <cell r="P2696" t="str">
            <v>East</v>
          </cell>
        </row>
        <row r="2697">
          <cell r="C2697" t="str">
            <v>825 Van Buren Street</v>
          </cell>
          <cell r="D2697" t="str">
            <v>Solacity Inc.</v>
          </cell>
          <cell r="E2697" t="str">
            <v>CO</v>
          </cell>
          <cell r="F2697">
            <v>42609</v>
          </cell>
          <cell r="G2697">
            <v>42925</v>
          </cell>
          <cell r="H2697">
            <v>49913</v>
          </cell>
          <cell r="I2697" t="str">
            <v>19 years, 1 months, 17 days</v>
          </cell>
          <cell r="J2697" t="str">
            <v>Renewables</v>
          </cell>
          <cell r="K2697" t="str">
            <v>Solar (Rooftop)</v>
          </cell>
          <cell r="L2697" t="str">
            <v>Solar</v>
          </cell>
          <cell r="M2697" t="str">
            <v>Dx</v>
          </cell>
          <cell r="N2697" t="str">
            <v>Chalk River</v>
          </cell>
          <cell r="O2697" t="str">
            <v>Renfrew</v>
          </cell>
          <cell r="P2697" t="str">
            <v>East</v>
          </cell>
        </row>
        <row r="2698">
          <cell r="C2698" t="str">
            <v>GG3-002</v>
          </cell>
          <cell r="D2698" t="str">
            <v>GSC Southlake Solar LP</v>
          </cell>
          <cell r="E2698" t="str">
            <v>CO</v>
          </cell>
          <cell r="F2698">
            <v>43204</v>
          </cell>
          <cell r="G2698">
            <v>43532</v>
          </cell>
          <cell r="H2698">
            <v>50508</v>
          </cell>
          <cell r="I2698" t="str">
            <v>19 years, 1 months, 5 days</v>
          </cell>
          <cell r="J2698" t="str">
            <v>Renewables</v>
          </cell>
          <cell r="K2698" t="str">
            <v>Solar (Ground Mounted)</v>
          </cell>
          <cell r="L2698" t="str">
            <v>Solar</v>
          </cell>
          <cell r="M2698" t="str">
            <v>Dx</v>
          </cell>
          <cell r="N2698" t="str">
            <v>Blezard Valley</v>
          </cell>
          <cell r="O2698" t="str">
            <v>Greater Sudbury</v>
          </cell>
          <cell r="P2698" t="str">
            <v>Northeast</v>
          </cell>
        </row>
        <row r="2699">
          <cell r="C2699" t="str">
            <v>2010-159-05</v>
          </cell>
          <cell r="D2699" t="str">
            <v>The Corporation of the City of Windsor</v>
          </cell>
          <cell r="E2699" t="str">
            <v>CO</v>
          </cell>
          <cell r="F2699">
            <v>42432</v>
          </cell>
          <cell r="G2699">
            <v>42599</v>
          </cell>
          <cell r="H2699">
            <v>49736</v>
          </cell>
          <cell r="I2699" t="str">
            <v>19 years, 6 months, 14 days</v>
          </cell>
          <cell r="J2699" t="str">
            <v>Renewables</v>
          </cell>
          <cell r="K2699" t="str">
            <v>Solar (Rooftop)</v>
          </cell>
          <cell r="L2699" t="str">
            <v>Solar</v>
          </cell>
          <cell r="M2699" t="str">
            <v>Dx</v>
          </cell>
          <cell r="N2699" t="str">
            <v>Windsor</v>
          </cell>
          <cell r="O2699" t="str">
            <v>Essex</v>
          </cell>
          <cell r="P2699" t="str">
            <v>West</v>
          </cell>
        </row>
        <row r="2700">
          <cell r="C2700" t="str">
            <v>P074</v>
          </cell>
          <cell r="D2700" t="str">
            <v>Reliant First Nation Limited Partnership</v>
          </cell>
          <cell r="E2700" t="str">
            <v>CO</v>
          </cell>
          <cell r="F2700">
            <v>42987</v>
          </cell>
          <cell r="G2700">
            <v>42804</v>
          </cell>
          <cell r="H2700">
            <v>50108</v>
          </cell>
          <cell r="I2700" t="str">
            <v>19 years, 11 months, 27 days</v>
          </cell>
          <cell r="J2700" t="str">
            <v>Renewables</v>
          </cell>
          <cell r="K2700" t="str">
            <v>Solar (Rooftop)</v>
          </cell>
          <cell r="L2700" t="str">
            <v>Solar</v>
          </cell>
          <cell r="M2700" t="str">
            <v>Dx</v>
          </cell>
          <cell r="N2700" t="str">
            <v>Mississauga</v>
          </cell>
          <cell r="O2700" t="str">
            <v>Peel</v>
          </cell>
          <cell r="P2700" t="str">
            <v>Toronto</v>
          </cell>
        </row>
        <row r="2701">
          <cell r="C2701" t="str">
            <v>P157</v>
          </cell>
          <cell r="D2701" t="str">
            <v>Reliant First Nation Limited Partnership</v>
          </cell>
          <cell r="E2701" t="str">
            <v>CO</v>
          </cell>
          <cell r="F2701">
            <v>42982</v>
          </cell>
          <cell r="G2701">
            <v>43124</v>
          </cell>
          <cell r="H2701">
            <v>50286</v>
          </cell>
          <cell r="I2701" t="str">
            <v>19 years, 7 months, 10 days</v>
          </cell>
          <cell r="J2701" t="str">
            <v>Renewables</v>
          </cell>
          <cell r="K2701" t="str">
            <v>Solar (Rooftop)</v>
          </cell>
          <cell r="L2701" t="str">
            <v>Solar</v>
          </cell>
          <cell r="M2701" t="str">
            <v>Dx</v>
          </cell>
          <cell r="N2701" t="str">
            <v>Brampton</v>
          </cell>
          <cell r="O2701" t="str">
            <v>Peel</v>
          </cell>
          <cell r="P2701" t="str">
            <v>Toronto</v>
          </cell>
        </row>
        <row r="2702">
          <cell r="C2702" t="str">
            <v>GreenLife Solar 24</v>
          </cell>
          <cell r="D2702" t="str">
            <v>GreenLife Solar Projects Inc.</v>
          </cell>
          <cell r="E2702" t="str">
            <v>CO</v>
          </cell>
          <cell r="F2702">
            <v>43200</v>
          </cell>
          <cell r="G2702">
            <v>43711</v>
          </cell>
          <cell r="H2702">
            <v>50504</v>
          </cell>
          <cell r="I2702" t="str">
            <v>18 years, 7 months, 6 days</v>
          </cell>
          <cell r="J2702" t="str">
            <v>Renewables</v>
          </cell>
          <cell r="K2702" t="str">
            <v>Solar (Ground Mounted)</v>
          </cell>
          <cell r="L2702" t="str">
            <v>Solar</v>
          </cell>
          <cell r="M2702" t="str">
            <v>Dx</v>
          </cell>
          <cell r="N2702" t="str">
            <v>Baltimore</v>
          </cell>
          <cell r="O2702" t="str">
            <v>Northumberland</v>
          </cell>
          <cell r="P2702" t="str">
            <v>East</v>
          </cell>
        </row>
        <row r="2703">
          <cell r="C2703" t="str">
            <v>OT-66 BULLOCK</v>
          </cell>
          <cell r="D2703" t="str">
            <v>OFIT RT INC.</v>
          </cell>
          <cell r="E2703" t="str">
            <v>CO</v>
          </cell>
          <cell r="F2703">
            <v>42653</v>
          </cell>
          <cell r="G2703">
            <v>43014</v>
          </cell>
          <cell r="H2703">
            <v>49957</v>
          </cell>
          <cell r="I2703" t="str">
            <v>19 years, 0 months, 3 days</v>
          </cell>
          <cell r="J2703" t="str">
            <v>Renewables</v>
          </cell>
          <cell r="K2703" t="str">
            <v>Solar (Rooftop)</v>
          </cell>
          <cell r="L2703" t="str">
            <v>Solar</v>
          </cell>
          <cell r="M2703" t="str">
            <v>Dx</v>
          </cell>
          <cell r="N2703" t="str">
            <v>Markham</v>
          </cell>
          <cell r="O2703" t="str">
            <v>York</v>
          </cell>
          <cell r="P2703" t="str">
            <v>Toronto</v>
          </cell>
        </row>
        <row r="2704">
          <cell r="C2704" t="str">
            <v>Amesbury Park</v>
          </cell>
          <cell r="D2704" t="str">
            <v>City of Toronto</v>
          </cell>
          <cell r="E2704" t="str">
            <v>CO</v>
          </cell>
          <cell r="F2704">
            <v>42432</v>
          </cell>
          <cell r="G2704">
            <v>42411</v>
          </cell>
          <cell r="H2704">
            <v>49715</v>
          </cell>
          <cell r="I2704" t="str">
            <v>19 years, 11 months, 30 days</v>
          </cell>
          <cell r="J2704" t="str">
            <v>Renewables</v>
          </cell>
          <cell r="K2704" t="str">
            <v>Solar (Rooftop)</v>
          </cell>
          <cell r="L2704" t="str">
            <v>Solar</v>
          </cell>
          <cell r="M2704" t="str">
            <v>Dx</v>
          </cell>
          <cell r="N2704" t="str">
            <v>Toronto</v>
          </cell>
          <cell r="O2704" t="str">
            <v>Toronto</v>
          </cell>
          <cell r="P2704" t="str">
            <v>Toronto</v>
          </cell>
        </row>
        <row r="2705">
          <cell r="C2705" t="str">
            <v>P199</v>
          </cell>
          <cell r="D2705" t="str">
            <v>Reliant First Nation Limited Partnership</v>
          </cell>
          <cell r="E2705" t="str">
            <v>CO</v>
          </cell>
          <cell r="F2705">
            <v>42433</v>
          </cell>
          <cell r="G2705">
            <v>42613</v>
          </cell>
          <cell r="H2705">
            <v>49737</v>
          </cell>
          <cell r="I2705" t="str">
            <v>19 years, 6 months, 1 days</v>
          </cell>
          <cell r="J2705" t="str">
            <v>Renewables</v>
          </cell>
          <cell r="K2705" t="str">
            <v>Solar (Rooftop)</v>
          </cell>
          <cell r="L2705" t="str">
            <v>Solar</v>
          </cell>
          <cell r="M2705" t="str">
            <v>Dx</v>
          </cell>
          <cell r="N2705" t="str">
            <v>Brampton</v>
          </cell>
          <cell r="O2705" t="str">
            <v>Peel</v>
          </cell>
          <cell r="P2705" t="str">
            <v>Toronto</v>
          </cell>
        </row>
        <row r="2706">
          <cell r="C2706" t="str">
            <v>P185</v>
          </cell>
          <cell r="D2706" t="str">
            <v>Reliant First Nation Limited Partnership</v>
          </cell>
          <cell r="E2706" t="str">
            <v>CO</v>
          </cell>
          <cell r="F2706">
            <v>42989</v>
          </cell>
          <cell r="G2706">
            <v>42962</v>
          </cell>
          <cell r="H2706">
            <v>50266</v>
          </cell>
          <cell r="I2706" t="str">
            <v>19 years, 11 months, 30 days</v>
          </cell>
          <cell r="J2706" t="str">
            <v>Renewables</v>
          </cell>
          <cell r="K2706" t="str">
            <v>Solar (Rooftop)</v>
          </cell>
          <cell r="L2706" t="str">
            <v>Solar</v>
          </cell>
          <cell r="M2706" t="str">
            <v>Dx</v>
          </cell>
          <cell r="N2706" t="str">
            <v>Brampton</v>
          </cell>
          <cell r="O2706" t="str">
            <v>Peel</v>
          </cell>
          <cell r="P2706" t="str">
            <v>Toronto</v>
          </cell>
        </row>
        <row r="2707">
          <cell r="C2707" t="str">
            <v>SPN 255</v>
          </cell>
          <cell r="D2707" t="str">
            <v>SPN LP 5</v>
          </cell>
          <cell r="E2707" t="str">
            <v>CO</v>
          </cell>
          <cell r="F2707">
            <v>42432</v>
          </cell>
          <cell r="G2707">
            <v>42472</v>
          </cell>
          <cell r="H2707">
            <v>49736</v>
          </cell>
          <cell r="I2707" t="str">
            <v>19 years, 10 months, 19 days</v>
          </cell>
          <cell r="J2707" t="str">
            <v>Renewables</v>
          </cell>
          <cell r="K2707" t="str">
            <v>Solar (Rooftop)</v>
          </cell>
          <cell r="L2707" t="str">
            <v>Solar</v>
          </cell>
          <cell r="M2707" t="str">
            <v>Dx</v>
          </cell>
          <cell r="N2707" t="str">
            <v>Markham</v>
          </cell>
          <cell r="O2707" t="str">
            <v>York</v>
          </cell>
          <cell r="P2707" t="str">
            <v>Toronto</v>
          </cell>
        </row>
        <row r="2708">
          <cell r="C2708" t="str">
            <v>SPN 341</v>
          </cell>
          <cell r="D2708" t="str">
            <v>SPN LP 1</v>
          </cell>
          <cell r="E2708" t="str">
            <v>CO</v>
          </cell>
          <cell r="F2708">
            <v>42671</v>
          </cell>
          <cell r="G2708">
            <v>42851</v>
          </cell>
          <cell r="H2708">
            <v>49975</v>
          </cell>
          <cell r="I2708" t="str">
            <v>19 years, 6 months, 1 days</v>
          </cell>
          <cell r="J2708" t="str">
            <v>Renewables</v>
          </cell>
          <cell r="K2708" t="str">
            <v>Solar (Rooftop)</v>
          </cell>
          <cell r="L2708" t="str">
            <v>Solar</v>
          </cell>
          <cell r="M2708" t="str">
            <v>Dx</v>
          </cell>
          <cell r="N2708" t="str">
            <v>Windsor</v>
          </cell>
          <cell r="O2708" t="str">
            <v>Essex</v>
          </cell>
          <cell r="P2708" t="str">
            <v>West</v>
          </cell>
        </row>
        <row r="2709">
          <cell r="C2709" t="str">
            <v>SunEdison ON-13-0115</v>
          </cell>
          <cell r="D2709" t="str">
            <v>Solar Provider Canada Power Health LP</v>
          </cell>
          <cell r="E2709" t="str">
            <v>CO</v>
          </cell>
          <cell r="F2709">
            <v>42452</v>
          </cell>
          <cell r="G2709">
            <v>42619</v>
          </cell>
          <cell r="H2709">
            <v>49756</v>
          </cell>
          <cell r="I2709" t="str">
            <v>19 years, 6 months, 16 days</v>
          </cell>
          <cell r="J2709" t="str">
            <v>Renewables</v>
          </cell>
          <cell r="K2709" t="str">
            <v>Solar (Rooftop)</v>
          </cell>
          <cell r="L2709" t="str">
            <v>Solar</v>
          </cell>
          <cell r="M2709" t="str">
            <v>Dx</v>
          </cell>
          <cell r="N2709" t="str">
            <v>Hamilton</v>
          </cell>
          <cell r="O2709" t="str">
            <v>Hamilton</v>
          </cell>
          <cell r="P2709" t="str">
            <v>Southwest</v>
          </cell>
        </row>
        <row r="2710">
          <cell r="C2710" t="str">
            <v>Kelly North</v>
          </cell>
          <cell r="D2710" t="str">
            <v>Peterborough Solar Projects Corporation</v>
          </cell>
          <cell r="E2710" t="str">
            <v>CO</v>
          </cell>
          <cell r="F2710">
            <v>43200</v>
          </cell>
          <cell r="G2710">
            <v>43581</v>
          </cell>
          <cell r="H2710">
            <v>50504</v>
          </cell>
          <cell r="I2710" t="str">
            <v>18 years, 11 months, 14 days</v>
          </cell>
          <cell r="J2710" t="str">
            <v>Renewables</v>
          </cell>
          <cell r="K2710" t="str">
            <v>Solar (Ground Mounted)</v>
          </cell>
          <cell r="L2710" t="str">
            <v>Solar</v>
          </cell>
          <cell r="M2710" t="str">
            <v>Dx</v>
          </cell>
          <cell r="N2710" t="str">
            <v>Bancroft</v>
          </cell>
          <cell r="O2710" t="str">
            <v>Hastings</v>
          </cell>
          <cell r="P2710" t="str">
            <v>East</v>
          </cell>
        </row>
        <row r="2711">
          <cell r="C2711" t="str">
            <v>Kirkland Lake #3</v>
          </cell>
          <cell r="D2711" t="str">
            <v>The Town of Kirkland Lake Solar Inc.</v>
          </cell>
          <cell r="E2711" t="str">
            <v>CO</v>
          </cell>
          <cell r="F2711">
            <v>42996</v>
          </cell>
          <cell r="G2711">
            <v>43542</v>
          </cell>
          <cell r="H2711">
            <v>50300</v>
          </cell>
          <cell r="I2711" t="str">
            <v>18 years, 5 months, 30 days</v>
          </cell>
          <cell r="J2711" t="str">
            <v>Renewables</v>
          </cell>
          <cell r="K2711" t="str">
            <v>Solar (Ground Mounted)</v>
          </cell>
          <cell r="L2711" t="str">
            <v>Solar</v>
          </cell>
          <cell r="M2711" t="str">
            <v>Dx</v>
          </cell>
          <cell r="N2711" t="str">
            <v>Kirkland Lake</v>
          </cell>
          <cell r="O2711" t="str">
            <v>Timiskaming</v>
          </cell>
          <cell r="P2711" t="str">
            <v>Northeast</v>
          </cell>
        </row>
        <row r="2712">
          <cell r="C2712" t="str">
            <v>Joint Operations Centre - 6558 8th Line</v>
          </cell>
          <cell r="D2712" t="str">
            <v>Sologix Clean Energy Corporation</v>
          </cell>
          <cell r="E2712" t="str">
            <v>CO</v>
          </cell>
          <cell r="F2712">
            <v>42664</v>
          </cell>
          <cell r="G2712">
            <v>42845</v>
          </cell>
          <cell r="H2712">
            <v>49968</v>
          </cell>
          <cell r="I2712" t="str">
            <v>19 years, 6 months, 0 days</v>
          </cell>
          <cell r="J2712" t="str">
            <v>Renewables</v>
          </cell>
          <cell r="K2712" t="str">
            <v>Solar (Rooftop)</v>
          </cell>
          <cell r="L2712" t="str">
            <v>Solar</v>
          </cell>
          <cell r="M2712" t="str">
            <v>Dx</v>
          </cell>
          <cell r="N2712" t="str">
            <v>Beeton</v>
          </cell>
          <cell r="O2712" t="str">
            <v>Simcoe</v>
          </cell>
          <cell r="P2712" t="str">
            <v>Southwest</v>
          </cell>
        </row>
        <row r="2713">
          <cell r="C2713" t="str">
            <v>HPEDSB Prince Charles PS (Belleville)</v>
          </cell>
          <cell r="D2713" t="str">
            <v>Ameresco HPEDSB Solar Inc.</v>
          </cell>
          <cell r="E2713" t="str">
            <v>CO</v>
          </cell>
          <cell r="F2713">
            <v>42428</v>
          </cell>
          <cell r="G2713">
            <v>42576</v>
          </cell>
          <cell r="H2713">
            <v>49732</v>
          </cell>
          <cell r="I2713" t="str">
            <v>19 years, 7 months, 2 days</v>
          </cell>
          <cell r="J2713" t="str">
            <v>Renewables</v>
          </cell>
          <cell r="K2713" t="str">
            <v>Solar (Rooftop)</v>
          </cell>
          <cell r="L2713" t="str">
            <v>Solar</v>
          </cell>
          <cell r="M2713" t="str">
            <v>Dx</v>
          </cell>
          <cell r="N2713" t="str">
            <v>Belleville</v>
          </cell>
          <cell r="O2713" t="str">
            <v>Hastings</v>
          </cell>
          <cell r="P2713" t="str">
            <v>East</v>
          </cell>
        </row>
        <row r="2714">
          <cell r="C2714" t="str">
            <v>P164</v>
          </cell>
          <cell r="D2714" t="str">
            <v>Reliant First Nation Limited Partnership</v>
          </cell>
          <cell r="E2714" t="str">
            <v>CO</v>
          </cell>
          <cell r="F2714">
            <v>42987</v>
          </cell>
          <cell r="G2714">
            <v>43136</v>
          </cell>
          <cell r="H2714">
            <v>50291</v>
          </cell>
          <cell r="I2714" t="str">
            <v>19 years, 7 months, 3 days</v>
          </cell>
          <cell r="J2714" t="str">
            <v>Renewables</v>
          </cell>
          <cell r="K2714" t="str">
            <v>Solar (Rooftop)</v>
          </cell>
          <cell r="L2714" t="str">
            <v>Solar</v>
          </cell>
          <cell r="M2714" t="str">
            <v>Dx</v>
          </cell>
          <cell r="N2714" t="str">
            <v>Brampton</v>
          </cell>
          <cell r="O2714" t="str">
            <v>Peel</v>
          </cell>
          <cell r="P2714" t="str">
            <v>Toronto</v>
          </cell>
        </row>
        <row r="2715">
          <cell r="C2715" t="str">
            <v>1665 River Rd (G Pichette)</v>
          </cell>
          <cell r="D2715" t="str">
            <v>NORTH SHORE POWER GROUP INC.</v>
          </cell>
          <cell r="E2715" t="str">
            <v>CO</v>
          </cell>
          <cell r="F2715">
            <v>42980</v>
          </cell>
          <cell r="G2715">
            <v>43048</v>
          </cell>
          <cell r="H2715">
            <v>50284</v>
          </cell>
          <cell r="I2715" t="str">
            <v>19 years, 9 months, 23 days</v>
          </cell>
          <cell r="J2715" t="str">
            <v>Renewables</v>
          </cell>
          <cell r="K2715" t="str">
            <v>Solar (Ground Mounted)</v>
          </cell>
          <cell r="L2715" t="str">
            <v>Solar</v>
          </cell>
          <cell r="M2715" t="str">
            <v>Dx</v>
          </cell>
          <cell r="N2715" t="str">
            <v>Massey</v>
          </cell>
          <cell r="O2715" t="str">
            <v>Sudbury</v>
          </cell>
          <cell r="P2715" t="str">
            <v>Northeast</v>
          </cell>
        </row>
        <row r="2716">
          <cell r="C2716" t="str">
            <v>SPN 370</v>
          </cell>
          <cell r="D2716" t="str">
            <v>SPN LP 1</v>
          </cell>
          <cell r="E2716" t="str">
            <v>CO</v>
          </cell>
          <cell r="F2716">
            <v>42671</v>
          </cell>
          <cell r="G2716">
            <v>42853</v>
          </cell>
          <cell r="H2716">
            <v>49975</v>
          </cell>
          <cell r="I2716" t="str">
            <v>19 years, 5 months, 29 days</v>
          </cell>
          <cell r="J2716" t="str">
            <v>Renewables</v>
          </cell>
          <cell r="K2716" t="str">
            <v>Solar (Rooftop)</v>
          </cell>
          <cell r="L2716" t="str">
            <v>Solar</v>
          </cell>
          <cell r="M2716" t="str">
            <v>Dx</v>
          </cell>
          <cell r="N2716" t="str">
            <v>Windsor</v>
          </cell>
          <cell r="O2716" t="str">
            <v>Essex</v>
          </cell>
          <cell r="P2716" t="str">
            <v>West</v>
          </cell>
        </row>
        <row r="2717">
          <cell r="C2717" t="str">
            <v>GreenLife Solar 10</v>
          </cell>
          <cell r="D2717" t="str">
            <v>GreenLife Solar Projects Inc.</v>
          </cell>
          <cell r="E2717" t="str">
            <v>CO</v>
          </cell>
          <cell r="F2717">
            <v>42976</v>
          </cell>
          <cell r="G2717">
            <v>43487</v>
          </cell>
          <cell r="H2717">
            <v>50280</v>
          </cell>
          <cell r="I2717" t="str">
            <v>18 years, 7 months, 6 days</v>
          </cell>
          <cell r="J2717" t="str">
            <v>Renewables</v>
          </cell>
          <cell r="K2717" t="str">
            <v>Solar (Ground Mounted)</v>
          </cell>
          <cell r="L2717" t="str">
            <v>Solar</v>
          </cell>
          <cell r="M2717" t="str">
            <v>Dx</v>
          </cell>
          <cell r="N2717" t="str">
            <v>Bobcaygeon</v>
          </cell>
          <cell r="O2717" t="str">
            <v>Kawartha Lakes</v>
          </cell>
          <cell r="P2717" t="str">
            <v>Essa</v>
          </cell>
        </row>
        <row r="2718">
          <cell r="C2718" t="str">
            <v>P069</v>
          </cell>
          <cell r="D2718" t="str">
            <v>Reliant First Nation Limited Partnership</v>
          </cell>
          <cell r="E2718" t="str">
            <v>CO</v>
          </cell>
          <cell r="F2718">
            <v>42987</v>
          </cell>
          <cell r="G2718">
            <v>42823</v>
          </cell>
          <cell r="H2718">
            <v>50127</v>
          </cell>
          <cell r="I2718" t="str">
            <v>19 years, 11 months, 27 days</v>
          </cell>
          <cell r="J2718" t="str">
            <v>Renewables</v>
          </cell>
          <cell r="K2718" t="str">
            <v>Solar (Rooftop)</v>
          </cell>
          <cell r="L2718" t="str">
            <v>Solar</v>
          </cell>
          <cell r="M2718" t="str">
            <v>Dx</v>
          </cell>
          <cell r="N2718" t="str">
            <v>Brampton</v>
          </cell>
          <cell r="O2718" t="str">
            <v>Peel</v>
          </cell>
          <cell r="P2718" t="str">
            <v>Toronto</v>
          </cell>
        </row>
        <row r="2719">
          <cell r="C2719" t="str">
            <v>Solexica - 9446 McLaughlin</v>
          </cell>
          <cell r="D2719" t="str">
            <v>Solexica Solar Brampton GP</v>
          </cell>
          <cell r="E2719" t="str">
            <v>CO</v>
          </cell>
          <cell r="F2719">
            <v>42666</v>
          </cell>
          <cell r="G2719">
            <v>42830</v>
          </cell>
          <cell r="H2719">
            <v>49970</v>
          </cell>
          <cell r="I2719" t="str">
            <v>19 years, 6 months, 17 days</v>
          </cell>
          <cell r="J2719" t="str">
            <v>Renewables</v>
          </cell>
          <cell r="K2719" t="str">
            <v>Solar (Rooftop)</v>
          </cell>
          <cell r="L2719" t="str">
            <v>Solar</v>
          </cell>
          <cell r="M2719" t="str">
            <v>Dx</v>
          </cell>
          <cell r="N2719" t="str">
            <v>Brampton</v>
          </cell>
          <cell r="O2719" t="str">
            <v>Peel</v>
          </cell>
          <cell r="P2719" t="str">
            <v>Toronto</v>
          </cell>
        </row>
        <row r="2720">
          <cell r="C2720" t="str">
            <v>Partridge_10021151</v>
          </cell>
          <cell r="D2720" t="str">
            <v>Skyline Private Opportunities Corp.</v>
          </cell>
          <cell r="E2720" t="str">
            <v>CO</v>
          </cell>
          <cell r="F2720">
            <v>42609</v>
          </cell>
          <cell r="G2720">
            <v>42626</v>
          </cell>
          <cell r="H2720">
            <v>49913</v>
          </cell>
          <cell r="I2720" t="str">
            <v>19 years, 11 months, 13 days</v>
          </cell>
          <cell r="J2720" t="str">
            <v>Renewables</v>
          </cell>
          <cell r="K2720" t="str">
            <v>Solar (Rooftop)</v>
          </cell>
          <cell r="L2720" t="str">
            <v>Solar</v>
          </cell>
          <cell r="M2720" t="str">
            <v>Dx</v>
          </cell>
          <cell r="N2720" t="str">
            <v>Pontypool</v>
          </cell>
          <cell r="O2720" t="str">
            <v>Kawartha Lakes</v>
          </cell>
          <cell r="P2720" t="str">
            <v>Toronto</v>
          </cell>
        </row>
        <row r="2721">
          <cell r="C2721" t="str">
            <v>SPN 304</v>
          </cell>
          <cell r="D2721" t="str">
            <v>SPN LP 3</v>
          </cell>
          <cell r="E2721" t="str">
            <v>CO</v>
          </cell>
          <cell r="F2721">
            <v>42428</v>
          </cell>
          <cell r="G2721">
            <v>42473</v>
          </cell>
          <cell r="H2721">
            <v>49732</v>
          </cell>
          <cell r="I2721" t="str">
            <v>19 years, 10 months, 14 days</v>
          </cell>
          <cell r="J2721" t="str">
            <v>Renewables</v>
          </cell>
          <cell r="K2721" t="str">
            <v>Solar (Rooftop)</v>
          </cell>
          <cell r="L2721" t="str">
            <v>Solar</v>
          </cell>
          <cell r="M2721" t="str">
            <v>Dx</v>
          </cell>
          <cell r="N2721" t="str">
            <v>Oakville</v>
          </cell>
          <cell r="O2721" t="str">
            <v>Halton</v>
          </cell>
          <cell r="P2721" t="str">
            <v>Southwest</v>
          </cell>
        </row>
        <row r="2722">
          <cell r="C2722" t="str">
            <v>Liddiard_10021027</v>
          </cell>
          <cell r="D2722" t="str">
            <v>3691 Manning Solar Inc.</v>
          </cell>
          <cell r="E2722" t="str">
            <v>CO</v>
          </cell>
          <cell r="F2722">
            <v>42609</v>
          </cell>
          <cell r="G2722">
            <v>42706</v>
          </cell>
          <cell r="H2722">
            <v>49913</v>
          </cell>
          <cell r="I2722" t="str">
            <v>19 years, 8 months, 24 days</v>
          </cell>
          <cell r="J2722" t="str">
            <v>Renewables</v>
          </cell>
          <cell r="K2722" t="str">
            <v>Solar (Rooftop)</v>
          </cell>
          <cell r="L2722" t="str">
            <v>Solar</v>
          </cell>
          <cell r="M2722" t="str">
            <v>Dx</v>
          </cell>
          <cell r="N2722" t="str">
            <v>London</v>
          </cell>
          <cell r="O2722" t="str">
            <v>Middlesex</v>
          </cell>
          <cell r="P2722" t="str">
            <v>West</v>
          </cell>
        </row>
        <row r="2723">
          <cell r="C2723" t="str">
            <v>Times Fibre</v>
          </cell>
          <cell r="D2723" t="str">
            <v>SE5 2013 LP</v>
          </cell>
          <cell r="E2723" t="str">
            <v>CO</v>
          </cell>
          <cell r="F2723">
            <v>42431</v>
          </cell>
          <cell r="G2723">
            <v>42598</v>
          </cell>
          <cell r="H2723">
            <v>49735</v>
          </cell>
          <cell r="I2723" t="str">
            <v>19 years, 6 months, 14 days</v>
          </cell>
          <cell r="J2723" t="str">
            <v>Renewables</v>
          </cell>
          <cell r="K2723" t="str">
            <v>Solar (Rooftop)</v>
          </cell>
          <cell r="L2723" t="str">
            <v>Solar</v>
          </cell>
          <cell r="M2723" t="str">
            <v>Dx</v>
          </cell>
          <cell r="N2723" t="str">
            <v>Renfrew</v>
          </cell>
          <cell r="O2723" t="str">
            <v>Renfrew</v>
          </cell>
          <cell r="P2723" t="str">
            <v>East</v>
          </cell>
        </row>
        <row r="2724">
          <cell r="C2724" t="str">
            <v>Barrette_10020846</v>
          </cell>
          <cell r="D2724" t="str">
            <v>Skyline Private Opportunities Corp.</v>
          </cell>
          <cell r="E2724" t="str">
            <v>CO</v>
          </cell>
          <cell r="F2724">
            <v>42609</v>
          </cell>
          <cell r="G2724">
            <v>42565</v>
          </cell>
          <cell r="H2724">
            <v>49869</v>
          </cell>
          <cell r="I2724" t="str">
            <v>19 years, 11 months, 29 days</v>
          </cell>
          <cell r="J2724" t="str">
            <v>Renewables</v>
          </cell>
          <cell r="K2724" t="str">
            <v>Solar (Rooftop)</v>
          </cell>
          <cell r="L2724" t="str">
            <v>Solar</v>
          </cell>
          <cell r="M2724" t="str">
            <v>Dx</v>
          </cell>
          <cell r="N2724" t="str">
            <v>Belle River</v>
          </cell>
          <cell r="O2724" t="str">
            <v>Essex</v>
          </cell>
          <cell r="P2724" t="str">
            <v>West</v>
          </cell>
        </row>
        <row r="2725">
          <cell r="C2725" t="str">
            <v>Ray Friel Complex</v>
          </cell>
          <cell r="D2725" t="str">
            <v>Hydro Ottawa Holding Inc.</v>
          </cell>
          <cell r="E2725" t="str">
            <v>CO</v>
          </cell>
          <cell r="F2725">
            <v>42447</v>
          </cell>
          <cell r="G2725">
            <v>42585</v>
          </cell>
          <cell r="H2725">
            <v>49751</v>
          </cell>
          <cell r="I2725" t="str">
            <v>19 years, 7 months, 14 days</v>
          </cell>
          <cell r="J2725" t="str">
            <v>Renewables</v>
          </cell>
          <cell r="K2725" t="str">
            <v>Solar (Rooftop)</v>
          </cell>
          <cell r="L2725" t="str">
            <v>Solar</v>
          </cell>
          <cell r="M2725" t="str">
            <v>Dx</v>
          </cell>
          <cell r="N2725" t="str">
            <v>Ottawa</v>
          </cell>
          <cell r="O2725" t="str">
            <v>Ottawa</v>
          </cell>
          <cell r="P2725" t="str">
            <v>Ottawa</v>
          </cell>
        </row>
        <row r="2726">
          <cell r="C2726" t="str">
            <v>Card</v>
          </cell>
          <cell r="D2726" t="str">
            <v>Peterborough Solar Projects Corporation</v>
          </cell>
          <cell r="E2726" t="str">
            <v>CO</v>
          </cell>
          <cell r="F2726">
            <v>43200</v>
          </cell>
          <cell r="G2726">
            <v>43581</v>
          </cell>
          <cell r="H2726">
            <v>50504</v>
          </cell>
          <cell r="I2726" t="str">
            <v>18 years, 11 months, 14 days</v>
          </cell>
          <cell r="J2726" t="str">
            <v>Renewables</v>
          </cell>
          <cell r="K2726" t="str">
            <v>Solar (Ground Mounted)</v>
          </cell>
          <cell r="L2726" t="str">
            <v>Solar</v>
          </cell>
          <cell r="M2726" t="str">
            <v>Dx</v>
          </cell>
          <cell r="N2726" t="str">
            <v>Cardiff</v>
          </cell>
          <cell r="O2726" t="str">
            <v>Hastings</v>
          </cell>
          <cell r="P2726" t="str">
            <v>East</v>
          </cell>
        </row>
        <row r="2727">
          <cell r="C2727" t="str">
            <v>P221A</v>
          </cell>
          <cell r="D2727" t="str">
            <v>Reliant First Nation Limited Partnership</v>
          </cell>
          <cell r="E2727" t="str">
            <v>CO</v>
          </cell>
          <cell r="F2727">
            <v>42994</v>
          </cell>
          <cell r="G2727">
            <v>43133</v>
          </cell>
          <cell r="H2727">
            <v>50298</v>
          </cell>
          <cell r="I2727" t="str">
            <v>19 years, 7 months, 13 days</v>
          </cell>
          <cell r="J2727" t="str">
            <v>Renewables</v>
          </cell>
          <cell r="K2727" t="str">
            <v>Solar (Rooftop)</v>
          </cell>
          <cell r="L2727" t="str">
            <v>Solar</v>
          </cell>
          <cell r="M2727" t="str">
            <v>Dx</v>
          </cell>
          <cell r="N2727" t="str">
            <v>Mississauga</v>
          </cell>
          <cell r="O2727" t="str">
            <v>Peel</v>
          </cell>
          <cell r="P2727" t="str">
            <v>Toronto</v>
          </cell>
        </row>
        <row r="2728">
          <cell r="C2728" t="str">
            <v>10021042_McKinley</v>
          </cell>
          <cell r="D2728" t="str">
            <v>Skyline Private Opportunities Corp.</v>
          </cell>
          <cell r="E2728" t="str">
            <v>CO</v>
          </cell>
          <cell r="F2728">
            <v>42609</v>
          </cell>
          <cell r="G2728">
            <v>42710</v>
          </cell>
          <cell r="H2728">
            <v>49913</v>
          </cell>
          <cell r="I2728" t="str">
            <v>19 years, 8 months, 20 days</v>
          </cell>
          <cell r="J2728" t="str">
            <v>Renewables</v>
          </cell>
          <cell r="K2728" t="str">
            <v>Solar (Rooftop)</v>
          </cell>
          <cell r="L2728" t="str">
            <v>Solar</v>
          </cell>
          <cell r="M2728" t="str">
            <v>Dx</v>
          </cell>
          <cell r="N2728" t="str">
            <v>Oldcastle</v>
          </cell>
          <cell r="O2728" t="str">
            <v>Essex</v>
          </cell>
          <cell r="P2728" t="str">
            <v>West</v>
          </cell>
        </row>
        <row r="2729">
          <cell r="C2729" t="str">
            <v>Project Aussie Freedom</v>
          </cell>
          <cell r="D2729" t="str">
            <v>Project Aussie Freedom INC</v>
          </cell>
          <cell r="E2729" t="str">
            <v>CO</v>
          </cell>
          <cell r="F2729">
            <v>42609</v>
          </cell>
          <cell r="G2729">
            <v>42418</v>
          </cell>
          <cell r="H2729">
            <v>49722</v>
          </cell>
          <cell r="I2729" t="str">
            <v>19 years, 11 months, 30 days</v>
          </cell>
          <cell r="J2729" t="str">
            <v>Renewables</v>
          </cell>
          <cell r="K2729" t="str">
            <v>Solar (Rooftop)</v>
          </cell>
          <cell r="L2729" t="str">
            <v>Solar</v>
          </cell>
          <cell r="M2729" t="str">
            <v>Dx</v>
          </cell>
          <cell r="N2729" t="str">
            <v>Ennismore</v>
          </cell>
          <cell r="O2729" t="str">
            <v>Peterborough</v>
          </cell>
          <cell r="P2729" t="str">
            <v>East</v>
          </cell>
        </row>
        <row r="2730">
          <cell r="C2730" t="str">
            <v>P214</v>
          </cell>
          <cell r="D2730" t="str">
            <v>Reliant First Nation Limited Partnership</v>
          </cell>
          <cell r="E2730" t="str">
            <v>CO</v>
          </cell>
          <cell r="F2730">
            <v>42982</v>
          </cell>
          <cell r="G2730">
            <v>43153</v>
          </cell>
          <cell r="H2730">
            <v>50286</v>
          </cell>
          <cell r="I2730" t="str">
            <v>19 years, 6 months, 12 days</v>
          </cell>
          <cell r="J2730" t="str">
            <v>Renewables</v>
          </cell>
          <cell r="K2730" t="str">
            <v>Solar (Rooftop)</v>
          </cell>
          <cell r="L2730" t="str">
            <v>Solar</v>
          </cell>
          <cell r="M2730" t="str">
            <v>Dx</v>
          </cell>
          <cell r="N2730" t="str">
            <v>Brampton</v>
          </cell>
          <cell r="O2730" t="str">
            <v>Peel</v>
          </cell>
          <cell r="P2730" t="str">
            <v>Toronto</v>
          </cell>
        </row>
        <row r="2731">
          <cell r="C2731" t="str">
            <v>P026</v>
          </cell>
          <cell r="D2731" t="str">
            <v>Reliant First Nation Limited Partnership</v>
          </cell>
          <cell r="E2731" t="str">
            <v>CO</v>
          </cell>
          <cell r="F2731">
            <v>42989</v>
          </cell>
          <cell r="G2731">
            <v>42961</v>
          </cell>
          <cell r="H2731">
            <v>50265</v>
          </cell>
          <cell r="I2731" t="str">
            <v>19 years, 11 months, 30 days</v>
          </cell>
          <cell r="J2731" t="str">
            <v>Renewables</v>
          </cell>
          <cell r="K2731" t="str">
            <v>Solar (Rooftop)</v>
          </cell>
          <cell r="L2731" t="str">
            <v>Solar</v>
          </cell>
          <cell r="M2731" t="str">
            <v>Dx</v>
          </cell>
          <cell r="N2731" t="str">
            <v>Mississauga</v>
          </cell>
          <cell r="O2731" t="str">
            <v>Peel</v>
          </cell>
          <cell r="P2731" t="str">
            <v>Toronto</v>
          </cell>
        </row>
        <row r="2732">
          <cell r="C2732" t="str">
            <v>GE004</v>
          </cell>
          <cell r="D2732" t="str">
            <v>SIF #2 Reliant Essex LP</v>
          </cell>
          <cell r="E2732" t="str">
            <v>CO</v>
          </cell>
          <cell r="F2732">
            <v>42433</v>
          </cell>
          <cell r="G2732">
            <v>42810</v>
          </cell>
          <cell r="H2732">
            <v>49737</v>
          </cell>
          <cell r="I2732" t="str">
            <v>18 years, 11 months, 16 days</v>
          </cell>
          <cell r="J2732" t="str">
            <v>Renewables</v>
          </cell>
          <cell r="K2732" t="str">
            <v>Solar (Rooftop)</v>
          </cell>
          <cell r="L2732" t="str">
            <v>Solar</v>
          </cell>
          <cell r="M2732" t="str">
            <v>Dx</v>
          </cell>
          <cell r="N2732" t="str">
            <v>Belle River</v>
          </cell>
          <cell r="O2732" t="str">
            <v>Essex</v>
          </cell>
          <cell r="P2732" t="str">
            <v>West</v>
          </cell>
        </row>
        <row r="2733">
          <cell r="C2733" t="str">
            <v>P098</v>
          </cell>
          <cell r="D2733" t="str">
            <v>Reliant First Nation Limited Partnership</v>
          </cell>
          <cell r="E2733" t="str">
            <v>CO</v>
          </cell>
          <cell r="F2733">
            <v>42989</v>
          </cell>
          <cell r="G2733">
            <v>42983</v>
          </cell>
          <cell r="H2733">
            <v>50287</v>
          </cell>
          <cell r="I2733" t="str">
            <v>19 years, 11 months, 30 days</v>
          </cell>
          <cell r="J2733" t="str">
            <v>Renewables</v>
          </cell>
          <cell r="K2733" t="str">
            <v>Solar (Rooftop)</v>
          </cell>
          <cell r="L2733" t="str">
            <v>Solar</v>
          </cell>
          <cell r="M2733" t="str">
            <v>Dx</v>
          </cell>
          <cell r="N2733" t="str">
            <v>Mississauga</v>
          </cell>
          <cell r="O2733" t="str">
            <v>Peel</v>
          </cell>
          <cell r="P2733" t="str">
            <v>Toronto</v>
          </cell>
        </row>
        <row r="2734">
          <cell r="C2734" t="str">
            <v>Solar Romiluxe</v>
          </cell>
          <cell r="D2734" t="str">
            <v>SOLAR ROMILUXE LP</v>
          </cell>
          <cell r="E2734" t="str">
            <v>CO</v>
          </cell>
          <cell r="F2734">
            <v>42429</v>
          </cell>
          <cell r="G2734">
            <v>42411</v>
          </cell>
          <cell r="H2734">
            <v>49715</v>
          </cell>
          <cell r="I2734" t="str">
            <v>19 years, 11 months, 30 days</v>
          </cell>
          <cell r="J2734" t="str">
            <v>Renewables</v>
          </cell>
          <cell r="K2734" t="str">
            <v>Solar (Rooftop)</v>
          </cell>
          <cell r="L2734" t="str">
            <v>Solar</v>
          </cell>
          <cell r="M2734" t="str">
            <v>Dx</v>
          </cell>
          <cell r="N2734" t="str">
            <v>Lefaivre</v>
          </cell>
          <cell r="O2734" t="str">
            <v>Prescott and Russell</v>
          </cell>
          <cell r="P2734" t="str">
            <v>Ottawa</v>
          </cell>
        </row>
        <row r="2735">
          <cell r="C2735" t="str">
            <v>Magna Centre</v>
          </cell>
          <cell r="D2735" t="str">
            <v>The Corporation of the Town of Newmarket</v>
          </cell>
          <cell r="E2735" t="str">
            <v>CO</v>
          </cell>
          <cell r="F2735">
            <v>42445</v>
          </cell>
          <cell r="G2735">
            <v>42361</v>
          </cell>
          <cell r="H2735">
            <v>49665</v>
          </cell>
          <cell r="I2735" t="str">
            <v>19 years, 11 months, 29 days</v>
          </cell>
          <cell r="J2735" t="str">
            <v>Renewables</v>
          </cell>
          <cell r="K2735" t="str">
            <v>Solar (Rooftop)</v>
          </cell>
          <cell r="L2735" t="str">
            <v>Solar</v>
          </cell>
          <cell r="M2735" t="str">
            <v>Dx</v>
          </cell>
          <cell r="N2735" t="str">
            <v>Newmarket</v>
          </cell>
          <cell r="O2735" t="str">
            <v>York</v>
          </cell>
          <cell r="P2735" t="str">
            <v>Essa</v>
          </cell>
        </row>
        <row r="2736">
          <cell r="C2736" t="str">
            <v>10 Ontario Road 2</v>
          </cell>
          <cell r="D2736" t="str">
            <v>2356934 ONTARIO INC.</v>
          </cell>
          <cell r="E2736" t="str">
            <v>CO</v>
          </cell>
          <cell r="F2736">
            <v>42653</v>
          </cell>
          <cell r="G2736">
            <v>42801</v>
          </cell>
          <cell r="H2736">
            <v>49957</v>
          </cell>
          <cell r="I2736" t="str">
            <v>19 years, 7 months, 2 days</v>
          </cell>
          <cell r="J2736" t="str">
            <v>Renewables</v>
          </cell>
          <cell r="K2736" t="str">
            <v>Solar (Rooftop)</v>
          </cell>
          <cell r="L2736" t="str">
            <v>Solar</v>
          </cell>
          <cell r="M2736" t="str">
            <v>Dx</v>
          </cell>
          <cell r="N2736" t="str">
            <v>St. Thomas</v>
          </cell>
          <cell r="O2736" t="str">
            <v>Elgin</v>
          </cell>
          <cell r="P2736" t="str">
            <v>West</v>
          </cell>
        </row>
        <row r="2737">
          <cell r="C2737" t="str">
            <v>1689 River Rd (G Beland)</v>
          </cell>
          <cell r="D2737" t="str">
            <v>NORTH SHORE POWER GROUP INC.</v>
          </cell>
          <cell r="E2737" t="str">
            <v>CO</v>
          </cell>
          <cell r="F2737">
            <v>42980</v>
          </cell>
          <cell r="G2737">
            <v>43111</v>
          </cell>
          <cell r="H2737">
            <v>50284</v>
          </cell>
          <cell r="I2737" t="str">
            <v>19 years, 7 months, 21 days</v>
          </cell>
          <cell r="J2737" t="str">
            <v>Renewables</v>
          </cell>
          <cell r="K2737" t="str">
            <v>Solar (Ground Mounted)</v>
          </cell>
          <cell r="L2737" t="str">
            <v>Solar</v>
          </cell>
          <cell r="M2737" t="str">
            <v>Dx</v>
          </cell>
          <cell r="N2737" t="str">
            <v>Massey</v>
          </cell>
          <cell r="O2737" t="str">
            <v>Sudbury</v>
          </cell>
          <cell r="P2737" t="str">
            <v>Northeast</v>
          </cell>
        </row>
        <row r="2738">
          <cell r="C2738" t="str">
            <v>P102</v>
          </cell>
          <cell r="D2738" t="str">
            <v>Reliant First Nation Limited Partnership</v>
          </cell>
          <cell r="E2738" t="str">
            <v>CO</v>
          </cell>
          <cell r="F2738">
            <v>42987</v>
          </cell>
          <cell r="G2738">
            <v>43119</v>
          </cell>
          <cell r="H2738">
            <v>50291</v>
          </cell>
          <cell r="I2738" t="str">
            <v>19 years, 7 months, 20 days</v>
          </cell>
          <cell r="J2738" t="str">
            <v>Renewables</v>
          </cell>
          <cell r="K2738" t="str">
            <v>Solar (Rooftop)</v>
          </cell>
          <cell r="L2738" t="str">
            <v>Solar</v>
          </cell>
          <cell r="M2738" t="str">
            <v>Dx</v>
          </cell>
          <cell r="N2738" t="str">
            <v>Mississauga</v>
          </cell>
          <cell r="O2738" t="str">
            <v>Peel</v>
          </cell>
          <cell r="P2738" t="str">
            <v>Toronto</v>
          </cell>
        </row>
        <row r="2739">
          <cell r="C2739" t="str">
            <v>P008</v>
          </cell>
          <cell r="D2739" t="str">
            <v>Reliant First Nation Limited Partnership</v>
          </cell>
          <cell r="E2739" t="str">
            <v>CO</v>
          </cell>
          <cell r="F2739">
            <v>42982</v>
          </cell>
          <cell r="G2739">
            <v>42961</v>
          </cell>
          <cell r="H2739">
            <v>50265</v>
          </cell>
          <cell r="I2739" t="str">
            <v>19 years, 11 months, 30 days</v>
          </cell>
          <cell r="J2739" t="str">
            <v>Renewables</v>
          </cell>
          <cell r="K2739" t="str">
            <v>Solar (Rooftop)</v>
          </cell>
          <cell r="L2739" t="str">
            <v>Solar</v>
          </cell>
          <cell r="M2739" t="str">
            <v>Dx</v>
          </cell>
          <cell r="N2739" t="str">
            <v>Mississauga</v>
          </cell>
          <cell r="O2739" t="str">
            <v>Peel</v>
          </cell>
          <cell r="P2739" t="str">
            <v>Toronto</v>
          </cell>
        </row>
        <row r="2740">
          <cell r="C2740" t="str">
            <v>GT CH13</v>
          </cell>
          <cell r="D2740" t="str">
            <v>Community Solar Assets 4 Limited</v>
          </cell>
          <cell r="E2740" t="str">
            <v>CO</v>
          </cell>
          <cell r="F2740">
            <v>42974</v>
          </cell>
          <cell r="G2740">
            <v>42978</v>
          </cell>
          <cell r="H2740">
            <v>50278</v>
          </cell>
          <cell r="I2740" t="str">
            <v>19 years, 11 months, 26 days</v>
          </cell>
          <cell r="J2740" t="str">
            <v>Renewables</v>
          </cell>
          <cell r="K2740" t="str">
            <v>Solar (Ground Mounted)</v>
          </cell>
          <cell r="L2740" t="str">
            <v>Solar</v>
          </cell>
          <cell r="M2740" t="str">
            <v>Dx</v>
          </cell>
          <cell r="N2740" t="str">
            <v>Englehart</v>
          </cell>
          <cell r="O2740" t="str">
            <v>Timiskaming</v>
          </cell>
          <cell r="P2740" t="str">
            <v>Northeast</v>
          </cell>
        </row>
        <row r="2741">
          <cell r="C2741" t="str">
            <v>P017</v>
          </cell>
          <cell r="D2741" t="str">
            <v>Reliant First Nation Limited Partnership</v>
          </cell>
          <cell r="E2741" t="str">
            <v>CO</v>
          </cell>
          <cell r="F2741">
            <v>42989</v>
          </cell>
          <cell r="G2741">
            <v>43021</v>
          </cell>
          <cell r="H2741">
            <v>50293</v>
          </cell>
          <cell r="I2741" t="str">
            <v>19 years, 10 months, 28 days</v>
          </cell>
          <cell r="J2741" t="str">
            <v>Renewables</v>
          </cell>
          <cell r="K2741" t="str">
            <v>Solar (Rooftop)</v>
          </cell>
          <cell r="L2741" t="str">
            <v>Solar</v>
          </cell>
          <cell r="M2741" t="str">
            <v>Dx</v>
          </cell>
          <cell r="N2741" t="str">
            <v>Mississauga</v>
          </cell>
          <cell r="O2741" t="str">
            <v>Peel</v>
          </cell>
          <cell r="P2741" t="str">
            <v>Toronto</v>
          </cell>
        </row>
        <row r="2742">
          <cell r="C2742" t="str">
            <v>MLT-3655B WESTON</v>
          </cell>
          <cell r="D2742" t="str">
            <v>2387281 Ontario Inc.</v>
          </cell>
          <cell r="E2742" t="str">
            <v>CO</v>
          </cell>
          <cell r="F2742">
            <v>42659</v>
          </cell>
          <cell r="G2742">
            <v>42843</v>
          </cell>
          <cell r="H2742">
            <v>49963</v>
          </cell>
          <cell r="I2742" t="str">
            <v>19 years, 5 months, 27 days</v>
          </cell>
          <cell r="J2742" t="str">
            <v>Renewables</v>
          </cell>
          <cell r="K2742" t="str">
            <v>Solar (Rooftop)</v>
          </cell>
          <cell r="L2742" t="str">
            <v>Solar</v>
          </cell>
          <cell r="M2742" t="str">
            <v>Dx</v>
          </cell>
          <cell r="N2742" t="str">
            <v>Toronto</v>
          </cell>
          <cell r="O2742" t="str">
            <v>Toronto</v>
          </cell>
          <cell r="P2742" t="str">
            <v>Toronto</v>
          </cell>
        </row>
        <row r="2743">
          <cell r="C2743" t="str">
            <v>SPN 260</v>
          </cell>
          <cell r="D2743" t="str">
            <v>SPN LP 4</v>
          </cell>
          <cell r="E2743" t="str">
            <v>CO</v>
          </cell>
          <cell r="F2743">
            <v>42432</v>
          </cell>
          <cell r="G2743">
            <v>42612</v>
          </cell>
          <cell r="H2743">
            <v>49736</v>
          </cell>
          <cell r="I2743" t="str">
            <v>19 years, 6 months, 1 days</v>
          </cell>
          <cell r="J2743" t="str">
            <v>Renewables</v>
          </cell>
          <cell r="K2743" t="str">
            <v>Solar (Rooftop)</v>
          </cell>
          <cell r="L2743" t="str">
            <v>Solar</v>
          </cell>
          <cell r="M2743" t="str">
            <v>Dx</v>
          </cell>
          <cell r="N2743" t="str">
            <v>Val Caron</v>
          </cell>
          <cell r="O2743" t="str">
            <v>Greater Sudbury</v>
          </cell>
          <cell r="P2743" t="str">
            <v>Northeast</v>
          </cell>
        </row>
        <row r="2744">
          <cell r="C2744" t="str">
            <v>JAZZ MIIGWETCH I</v>
          </cell>
          <cell r="D2744" t="str">
            <v>JAZZ MIIGWETCH I LP</v>
          </cell>
          <cell r="E2744" t="str">
            <v>CO</v>
          </cell>
          <cell r="F2744">
            <v>42429</v>
          </cell>
          <cell r="G2744">
            <v>42667</v>
          </cell>
          <cell r="H2744">
            <v>49733</v>
          </cell>
          <cell r="I2744" t="str">
            <v>19 years, 4 months, 4 days</v>
          </cell>
          <cell r="J2744" t="str">
            <v>Renewables</v>
          </cell>
          <cell r="K2744" t="str">
            <v>Solar (Rooftop)</v>
          </cell>
          <cell r="L2744" t="str">
            <v>Solar</v>
          </cell>
          <cell r="M2744" t="str">
            <v>Dx</v>
          </cell>
          <cell r="N2744" t="str">
            <v>Ottawa</v>
          </cell>
          <cell r="O2744" t="str">
            <v>Ottawa</v>
          </cell>
          <cell r="P2744" t="str">
            <v>Ottawa</v>
          </cell>
        </row>
        <row r="2745">
          <cell r="C2745" t="str">
            <v>P062</v>
          </cell>
          <cell r="D2745" t="str">
            <v>Reliant First Nation Limited Partnership</v>
          </cell>
          <cell r="E2745" t="str">
            <v>CO</v>
          </cell>
          <cell r="F2745">
            <v>42433</v>
          </cell>
          <cell r="G2745">
            <v>42606</v>
          </cell>
          <cell r="H2745">
            <v>49737</v>
          </cell>
          <cell r="I2745" t="str">
            <v>19 years, 6 months, 8 days</v>
          </cell>
          <cell r="J2745" t="str">
            <v>Renewables</v>
          </cell>
          <cell r="K2745" t="str">
            <v>Solar (Rooftop)</v>
          </cell>
          <cell r="L2745" t="str">
            <v>Solar</v>
          </cell>
          <cell r="M2745" t="str">
            <v>Dx</v>
          </cell>
          <cell r="N2745" t="str">
            <v>Mississauga</v>
          </cell>
          <cell r="O2745" t="str">
            <v>Peel</v>
          </cell>
          <cell r="P2745" t="str">
            <v>Toronto</v>
          </cell>
        </row>
        <row r="2746">
          <cell r="C2746" t="str">
            <v>EMP-41 SCOTT</v>
          </cell>
          <cell r="D2746" t="str">
            <v>2387276 Ontario Inc.</v>
          </cell>
          <cell r="E2746" t="str">
            <v>CO</v>
          </cell>
          <cell r="F2746">
            <v>42657</v>
          </cell>
          <cell r="G2746">
            <v>42843</v>
          </cell>
          <cell r="H2746">
            <v>49961</v>
          </cell>
          <cell r="I2746" t="str">
            <v>19 years, 5 months, 25 days</v>
          </cell>
          <cell r="J2746" t="str">
            <v>Renewables</v>
          </cell>
          <cell r="K2746" t="str">
            <v>Solar (Rooftop)</v>
          </cell>
          <cell r="L2746" t="str">
            <v>Solar</v>
          </cell>
          <cell r="M2746" t="str">
            <v>Dx</v>
          </cell>
          <cell r="N2746" t="str">
            <v>Stratford</v>
          </cell>
          <cell r="O2746" t="str">
            <v>Perth</v>
          </cell>
          <cell r="P2746" t="str">
            <v>Southwest</v>
          </cell>
        </row>
        <row r="2747">
          <cell r="C2747" t="str">
            <v>P027</v>
          </cell>
          <cell r="D2747" t="str">
            <v>Reliant First Nation Limited Partnership</v>
          </cell>
          <cell r="E2747" t="str">
            <v>CO</v>
          </cell>
          <cell r="F2747">
            <v>42989</v>
          </cell>
          <cell r="G2747">
            <v>42804</v>
          </cell>
          <cell r="H2747">
            <v>50108</v>
          </cell>
          <cell r="I2747" t="str">
            <v>19 years, 11 months, 27 days</v>
          </cell>
          <cell r="J2747" t="str">
            <v>Renewables</v>
          </cell>
          <cell r="K2747" t="str">
            <v>Solar (Rooftop)</v>
          </cell>
          <cell r="L2747" t="str">
            <v>Solar</v>
          </cell>
          <cell r="M2747" t="str">
            <v>Dx</v>
          </cell>
          <cell r="N2747" t="str">
            <v>Mississauga</v>
          </cell>
          <cell r="O2747" t="str">
            <v>Peel</v>
          </cell>
          <cell r="P2747" t="str">
            <v>Toronto</v>
          </cell>
        </row>
        <row r="2748">
          <cell r="C2748" t="str">
            <v>Miles_10021161</v>
          </cell>
          <cell r="D2748" t="str">
            <v>Skyline Private Opportunities Corp.</v>
          </cell>
          <cell r="E2748" t="str">
            <v>CO</v>
          </cell>
          <cell r="F2748">
            <v>42609</v>
          </cell>
          <cell r="G2748">
            <v>42787</v>
          </cell>
          <cell r="H2748">
            <v>49913</v>
          </cell>
          <cell r="I2748" t="str">
            <v>19 years, 6 months, 5 days</v>
          </cell>
          <cell r="J2748" t="str">
            <v>Renewables</v>
          </cell>
          <cell r="K2748" t="str">
            <v>Solar (Rooftop)</v>
          </cell>
          <cell r="L2748" t="str">
            <v>Solar</v>
          </cell>
          <cell r="M2748" t="str">
            <v>Dx</v>
          </cell>
          <cell r="N2748" t="str">
            <v>Waterford</v>
          </cell>
          <cell r="O2748" t="str">
            <v>Norfolk</v>
          </cell>
          <cell r="P2748" t="str">
            <v>Southwest</v>
          </cell>
        </row>
        <row r="2749">
          <cell r="C2749" t="str">
            <v>GE060</v>
          </cell>
          <cell r="D2749" t="str">
            <v>SIF #2 Reliant Essex LP</v>
          </cell>
          <cell r="E2749" t="str">
            <v>CO</v>
          </cell>
          <cell r="F2749">
            <v>42433</v>
          </cell>
          <cell r="G2749">
            <v>42654</v>
          </cell>
          <cell r="H2749">
            <v>49737</v>
          </cell>
          <cell r="I2749" t="str">
            <v>19 years, 4 months, 21 days</v>
          </cell>
          <cell r="J2749" t="str">
            <v>Renewables</v>
          </cell>
          <cell r="K2749" t="str">
            <v>Solar (Rooftop)</v>
          </cell>
          <cell r="L2749" t="str">
            <v>Solar</v>
          </cell>
          <cell r="M2749" t="str">
            <v>Dx</v>
          </cell>
          <cell r="N2749" t="str">
            <v>Leamington</v>
          </cell>
          <cell r="O2749" t="str">
            <v>Essex</v>
          </cell>
          <cell r="P2749" t="str">
            <v>West</v>
          </cell>
        </row>
        <row r="2750">
          <cell r="C2750" t="str">
            <v>P052</v>
          </cell>
          <cell r="D2750" t="str">
            <v>Reliant First Nation Limited Partnership</v>
          </cell>
          <cell r="E2750" t="str">
            <v>CO</v>
          </cell>
          <cell r="F2750">
            <v>42989</v>
          </cell>
          <cell r="G2750">
            <v>43138</v>
          </cell>
          <cell r="H2750">
            <v>50293</v>
          </cell>
          <cell r="I2750" t="str">
            <v>19 years, 7 months, 3 days</v>
          </cell>
          <cell r="J2750" t="str">
            <v>Renewables</v>
          </cell>
          <cell r="K2750" t="str">
            <v>Solar (Rooftop)</v>
          </cell>
          <cell r="L2750" t="str">
            <v>Solar</v>
          </cell>
          <cell r="M2750" t="str">
            <v>Dx</v>
          </cell>
          <cell r="N2750" t="str">
            <v>Mississauga</v>
          </cell>
          <cell r="O2750" t="str">
            <v>Peel</v>
          </cell>
          <cell r="P2750" t="str">
            <v>Toronto</v>
          </cell>
        </row>
        <row r="2751">
          <cell r="C2751" t="str">
            <v>East End Pool</v>
          </cell>
          <cell r="D2751" t="str">
            <v>Hydro Ottawa Holding Inc.</v>
          </cell>
          <cell r="E2751" t="str">
            <v>CO</v>
          </cell>
          <cell r="F2751">
            <v>42447</v>
          </cell>
          <cell r="G2751">
            <v>42549</v>
          </cell>
          <cell r="H2751">
            <v>49751</v>
          </cell>
          <cell r="I2751" t="str">
            <v>19 years, 8 months, 18 days</v>
          </cell>
          <cell r="J2751" t="str">
            <v>Renewables</v>
          </cell>
          <cell r="K2751" t="str">
            <v>Solar (Rooftop)</v>
          </cell>
          <cell r="L2751" t="str">
            <v>Solar</v>
          </cell>
          <cell r="M2751" t="str">
            <v>Dx</v>
          </cell>
          <cell r="N2751" t="str">
            <v>Ottawa</v>
          </cell>
          <cell r="O2751" t="str">
            <v>Ottawa</v>
          </cell>
          <cell r="P2751" t="str">
            <v>Ottawa</v>
          </cell>
        </row>
        <row r="2752">
          <cell r="C2752" t="str">
            <v>SunEdison ON-13-0107</v>
          </cell>
          <cell r="D2752" t="str">
            <v>Solar Provider Canada Power Health LP</v>
          </cell>
          <cell r="E2752" t="str">
            <v>CO</v>
          </cell>
          <cell r="F2752">
            <v>42447</v>
          </cell>
          <cell r="G2752">
            <v>42607</v>
          </cell>
          <cell r="H2752">
            <v>49751</v>
          </cell>
          <cell r="I2752" t="str">
            <v>19 years, 6 months, 21 days</v>
          </cell>
          <cell r="J2752" t="str">
            <v>Renewables</v>
          </cell>
          <cell r="K2752" t="str">
            <v>Solar (Rooftop)</v>
          </cell>
          <cell r="L2752" t="str">
            <v>Solar</v>
          </cell>
          <cell r="M2752" t="str">
            <v>Dx</v>
          </cell>
          <cell r="N2752" t="str">
            <v>Hamilton</v>
          </cell>
          <cell r="O2752" t="str">
            <v>Hamilton</v>
          </cell>
          <cell r="P2752" t="str">
            <v>Southwest</v>
          </cell>
        </row>
        <row r="2753">
          <cell r="C2753" t="str">
            <v>Bayside WTP Solar</v>
          </cell>
          <cell r="D2753" t="str">
            <v>The Corporation of the City of Quinte West</v>
          </cell>
          <cell r="E2753" t="str">
            <v>CO</v>
          </cell>
          <cell r="F2753">
            <v>42447</v>
          </cell>
          <cell r="G2753">
            <v>42429</v>
          </cell>
          <cell r="H2753">
            <v>49733</v>
          </cell>
          <cell r="I2753" t="str">
            <v>19 years, 11 months, 30 days</v>
          </cell>
          <cell r="J2753" t="str">
            <v>Renewables</v>
          </cell>
          <cell r="K2753" t="str">
            <v>Solar (Rooftop)</v>
          </cell>
          <cell r="L2753" t="str">
            <v>Solar</v>
          </cell>
          <cell r="M2753" t="str">
            <v>Dx</v>
          </cell>
          <cell r="N2753" t="str">
            <v>Brighton</v>
          </cell>
          <cell r="O2753" t="str">
            <v>Northumberland</v>
          </cell>
          <cell r="P2753" t="str">
            <v>East</v>
          </cell>
        </row>
        <row r="2754">
          <cell r="C2754" t="str">
            <v>CEW Simcoe XI</v>
          </cell>
          <cell r="D2754" t="str">
            <v>CEW Simcoe XI Limited Partnership</v>
          </cell>
          <cell r="E2754" t="str">
            <v>CO</v>
          </cell>
          <cell r="F2754">
            <v>42671</v>
          </cell>
          <cell r="G2754">
            <v>42502</v>
          </cell>
          <cell r="H2754">
            <v>49806</v>
          </cell>
          <cell r="I2754" t="str">
            <v>19 years, 11 months, 29 days</v>
          </cell>
          <cell r="J2754" t="str">
            <v>Renewables</v>
          </cell>
          <cell r="K2754" t="str">
            <v>Solar (Rooftop)</v>
          </cell>
          <cell r="L2754" t="str">
            <v>Solar</v>
          </cell>
          <cell r="M2754" t="str">
            <v>Dx</v>
          </cell>
          <cell r="N2754" t="str">
            <v>Woodstock</v>
          </cell>
          <cell r="O2754" t="str">
            <v>Oxford</v>
          </cell>
          <cell r="P2754" t="str">
            <v>Southwest</v>
          </cell>
        </row>
        <row r="2755">
          <cell r="C2755" t="str">
            <v>P178</v>
          </cell>
          <cell r="D2755" t="str">
            <v>Reliant First Nation Limited Partnership</v>
          </cell>
          <cell r="E2755" t="str">
            <v>CO</v>
          </cell>
          <cell r="F2755">
            <v>42989</v>
          </cell>
          <cell r="G2755">
            <v>43090</v>
          </cell>
          <cell r="H2755">
            <v>50293</v>
          </cell>
          <cell r="I2755" t="str">
            <v>19 years, 8 months, 20 days</v>
          </cell>
          <cell r="J2755" t="str">
            <v>Renewables</v>
          </cell>
          <cell r="K2755" t="str">
            <v>Solar (Rooftop)</v>
          </cell>
          <cell r="L2755" t="str">
            <v>Solar</v>
          </cell>
          <cell r="M2755" t="str">
            <v>Dx</v>
          </cell>
          <cell r="N2755" t="str">
            <v>Brampton</v>
          </cell>
          <cell r="O2755" t="str">
            <v>Peel</v>
          </cell>
          <cell r="P2755" t="str">
            <v>Toronto</v>
          </cell>
        </row>
        <row r="2756">
          <cell r="C2756" t="str">
            <v>P150</v>
          </cell>
          <cell r="D2756" t="str">
            <v>Reliant First Nation Limited Partnership</v>
          </cell>
          <cell r="E2756" t="str">
            <v>CO</v>
          </cell>
          <cell r="F2756">
            <v>42982</v>
          </cell>
          <cell r="G2756">
            <v>42821</v>
          </cell>
          <cell r="H2756">
            <v>50125</v>
          </cell>
          <cell r="I2756" t="str">
            <v>19 years, 11 months, 27 days</v>
          </cell>
          <cell r="J2756" t="str">
            <v>Renewables</v>
          </cell>
          <cell r="K2756" t="str">
            <v>Solar (Rooftop)</v>
          </cell>
          <cell r="L2756" t="str">
            <v>Solar</v>
          </cell>
          <cell r="M2756" t="str">
            <v>Dx</v>
          </cell>
          <cell r="N2756" t="str">
            <v>Brampton</v>
          </cell>
          <cell r="O2756" t="str">
            <v>Peel</v>
          </cell>
          <cell r="P2756" t="str">
            <v>Toronto</v>
          </cell>
        </row>
        <row r="2757">
          <cell r="C2757" t="str">
            <v>Emma Cardiff 2</v>
          </cell>
          <cell r="D2757" t="str">
            <v>Peterborough Solar Projects Corporation</v>
          </cell>
          <cell r="E2757" t="str">
            <v>CO</v>
          </cell>
          <cell r="F2757">
            <v>42981</v>
          </cell>
          <cell r="G2757">
            <v>43508</v>
          </cell>
          <cell r="H2757">
            <v>50285</v>
          </cell>
          <cell r="I2757" t="str">
            <v>18 years, 6 months, 21 days</v>
          </cell>
          <cell r="J2757" t="str">
            <v>Renewables</v>
          </cell>
          <cell r="K2757" t="str">
            <v>Solar (Ground Mounted)</v>
          </cell>
          <cell r="L2757" t="str">
            <v>Solar</v>
          </cell>
          <cell r="M2757" t="str">
            <v>Dx</v>
          </cell>
          <cell r="N2757" t="str">
            <v>Cardiff</v>
          </cell>
          <cell r="O2757" t="str">
            <v>Hastings</v>
          </cell>
          <cell r="P2757" t="str">
            <v>East</v>
          </cell>
        </row>
        <row r="2758">
          <cell r="C2758" t="str">
            <v>Gerry McCrory Countryside sports complex</v>
          </cell>
          <cell r="D2758" t="str">
            <v>City of Greater Sudbury</v>
          </cell>
          <cell r="E2758" t="str">
            <v>CO</v>
          </cell>
          <cell r="F2758">
            <v>42432</v>
          </cell>
          <cell r="G2758">
            <v>42608</v>
          </cell>
          <cell r="H2758">
            <v>49736</v>
          </cell>
          <cell r="I2758" t="str">
            <v>19 years, 6 months, 5 days</v>
          </cell>
          <cell r="J2758" t="str">
            <v>Renewables</v>
          </cell>
          <cell r="K2758" t="str">
            <v>Solar (Rooftop)</v>
          </cell>
          <cell r="L2758" t="str">
            <v>Solar</v>
          </cell>
          <cell r="M2758" t="str">
            <v>Dx</v>
          </cell>
          <cell r="N2758" t="str">
            <v>Sudbury</v>
          </cell>
          <cell r="O2758" t="str">
            <v>Greater Sudbury</v>
          </cell>
          <cell r="P2758" t="str">
            <v>Northeast</v>
          </cell>
        </row>
        <row r="2759">
          <cell r="C2759" t="str">
            <v>Kemptville Storage</v>
          </cell>
          <cell r="D2759" t="str">
            <v>CK Solar Projects LP</v>
          </cell>
          <cell r="E2759" t="str">
            <v>CO</v>
          </cell>
          <cell r="F2759">
            <v>42428</v>
          </cell>
          <cell r="G2759">
            <v>42621</v>
          </cell>
          <cell r="H2759">
            <v>49732</v>
          </cell>
          <cell r="I2759" t="str">
            <v>19 years, 5 months, 19 days</v>
          </cell>
          <cell r="J2759" t="str">
            <v>Renewables</v>
          </cell>
          <cell r="K2759" t="str">
            <v>Solar (Rooftop)</v>
          </cell>
          <cell r="L2759" t="str">
            <v>Solar</v>
          </cell>
          <cell r="M2759" t="str">
            <v>Dx</v>
          </cell>
          <cell r="N2759" t="str">
            <v>Kemptville</v>
          </cell>
          <cell r="O2759" t="str">
            <v>Leeds and Grenville</v>
          </cell>
          <cell r="P2759" t="str">
            <v>East</v>
          </cell>
        </row>
        <row r="2760">
          <cell r="C2760" t="str">
            <v>SPN 588</v>
          </cell>
          <cell r="D2760" t="str">
            <v>SPN LP 4</v>
          </cell>
          <cell r="E2760" t="str">
            <v>CO</v>
          </cell>
          <cell r="F2760">
            <v>42671</v>
          </cell>
          <cell r="G2760">
            <v>42831</v>
          </cell>
          <cell r="H2760">
            <v>49975</v>
          </cell>
          <cell r="I2760" t="str">
            <v>19 years, 6 months, 21 days</v>
          </cell>
          <cell r="J2760" t="str">
            <v>Renewables</v>
          </cell>
          <cell r="K2760" t="str">
            <v>Solar (Rooftop)</v>
          </cell>
          <cell r="L2760" t="str">
            <v>Solar</v>
          </cell>
          <cell r="M2760" t="str">
            <v>Dx</v>
          </cell>
          <cell r="N2760" t="str">
            <v>Brantford</v>
          </cell>
          <cell r="O2760" t="str">
            <v>Brant</v>
          </cell>
          <cell r="P2760" t="str">
            <v>Southwest</v>
          </cell>
        </row>
        <row r="2761">
          <cell r="C2761" t="str">
            <v>Kinsmen Civic Centre</v>
          </cell>
          <cell r="D2761" t="str">
            <v>Peterborough Solar Projects Corporation</v>
          </cell>
          <cell r="E2761" t="str">
            <v>CO</v>
          </cell>
          <cell r="F2761">
            <v>42445</v>
          </cell>
          <cell r="G2761">
            <v>42587</v>
          </cell>
          <cell r="H2761">
            <v>49749</v>
          </cell>
          <cell r="I2761" t="str">
            <v>19 years, 7 months, 10 days</v>
          </cell>
          <cell r="J2761" t="str">
            <v>Renewables</v>
          </cell>
          <cell r="K2761" t="str">
            <v>Solar (Rooftop)</v>
          </cell>
          <cell r="L2761" t="str">
            <v>Solar</v>
          </cell>
          <cell r="M2761" t="str">
            <v>Dx</v>
          </cell>
          <cell r="N2761" t="str">
            <v>Peterborough</v>
          </cell>
          <cell r="O2761" t="str">
            <v>Peterborough</v>
          </cell>
          <cell r="P2761" t="str">
            <v>East</v>
          </cell>
        </row>
        <row r="2762">
          <cell r="C2762" t="str">
            <v>SPN 336</v>
          </cell>
          <cell r="D2762" t="str">
            <v>SPN LP 3</v>
          </cell>
          <cell r="E2762" t="str">
            <v>CO</v>
          </cell>
          <cell r="F2762">
            <v>42653</v>
          </cell>
          <cell r="G2762">
            <v>42761</v>
          </cell>
          <cell r="H2762">
            <v>49957</v>
          </cell>
          <cell r="I2762" t="str">
            <v>19 years, 8 months, 13 days</v>
          </cell>
          <cell r="J2762" t="str">
            <v>Renewables</v>
          </cell>
          <cell r="K2762" t="str">
            <v>Solar (Rooftop)</v>
          </cell>
          <cell r="L2762" t="str">
            <v>Solar</v>
          </cell>
          <cell r="M2762" t="str">
            <v>Dx</v>
          </cell>
          <cell r="N2762" t="str">
            <v>Toronto</v>
          </cell>
          <cell r="O2762" t="str">
            <v>Toronto</v>
          </cell>
          <cell r="P2762" t="str">
            <v>Toronto</v>
          </cell>
        </row>
        <row r="2763">
          <cell r="C2763" t="str">
            <v>Solar Del Rey</v>
          </cell>
          <cell r="D2763" t="str">
            <v>CEW L3V SOLAR III LIMITED PARTNERSHIP</v>
          </cell>
          <cell r="E2763" t="str">
            <v>CO</v>
          </cell>
          <cell r="F2763">
            <v>42666</v>
          </cell>
          <cell r="G2763">
            <v>42832</v>
          </cell>
          <cell r="H2763">
            <v>49970</v>
          </cell>
          <cell r="I2763" t="str">
            <v>19 years, 6 months, 15 days</v>
          </cell>
          <cell r="J2763" t="str">
            <v>Renewables</v>
          </cell>
          <cell r="K2763" t="str">
            <v>Solar (Rooftop)</v>
          </cell>
          <cell r="L2763" t="str">
            <v>Solar</v>
          </cell>
          <cell r="M2763" t="str">
            <v>Dx</v>
          </cell>
          <cell r="N2763" t="str">
            <v>Orillia</v>
          </cell>
          <cell r="O2763" t="str">
            <v>Simcoe</v>
          </cell>
          <cell r="P2763" t="str">
            <v>Essa</v>
          </cell>
        </row>
        <row r="2764">
          <cell r="C2764" t="str">
            <v>Carson Sales Barn</v>
          </cell>
          <cell r="D2764" t="str">
            <v>CK Solar Projects LP</v>
          </cell>
          <cell r="E2764" t="str">
            <v>CO</v>
          </cell>
          <cell r="F2764">
            <v>42428</v>
          </cell>
          <cell r="G2764">
            <v>42621</v>
          </cell>
          <cell r="H2764">
            <v>49732</v>
          </cell>
          <cell r="I2764" t="str">
            <v>19 years, 5 months, 19 days</v>
          </cell>
          <cell r="J2764" t="str">
            <v>Renewables</v>
          </cell>
          <cell r="K2764" t="str">
            <v>Solar (Rooftop)</v>
          </cell>
          <cell r="L2764" t="str">
            <v>Solar</v>
          </cell>
          <cell r="M2764" t="str">
            <v>Dx</v>
          </cell>
          <cell r="N2764" t="str">
            <v>Listowel</v>
          </cell>
          <cell r="O2764" t="str">
            <v>Perth</v>
          </cell>
          <cell r="P2764" t="str">
            <v>Southwest</v>
          </cell>
        </row>
        <row r="2765">
          <cell r="C2765" t="str">
            <v>Maurice Lapointe</v>
          </cell>
          <cell r="D2765" t="str">
            <v>Ottawa Renewable Energy Co-operative Inc.</v>
          </cell>
          <cell r="E2765" t="str">
            <v>CO</v>
          </cell>
          <cell r="F2765">
            <v>42431</v>
          </cell>
          <cell r="G2765">
            <v>42405</v>
          </cell>
          <cell r="H2765">
            <v>49709</v>
          </cell>
          <cell r="I2765" t="str">
            <v>19 years, 11 months, 30 days</v>
          </cell>
          <cell r="J2765" t="str">
            <v>Renewables</v>
          </cell>
          <cell r="K2765" t="str">
            <v>Solar (Rooftop)</v>
          </cell>
          <cell r="L2765" t="str">
            <v>Solar</v>
          </cell>
          <cell r="M2765" t="str">
            <v>Dx</v>
          </cell>
          <cell r="N2765" t="str">
            <v>Ottawa</v>
          </cell>
          <cell r="O2765" t="str">
            <v>Ottawa</v>
          </cell>
          <cell r="P2765" t="str">
            <v>Ottawa</v>
          </cell>
        </row>
        <row r="2766">
          <cell r="C2766" t="str">
            <v>SPN 263</v>
          </cell>
          <cell r="D2766" t="str">
            <v>SPN LP 3</v>
          </cell>
          <cell r="E2766" t="str">
            <v>CO</v>
          </cell>
          <cell r="F2766">
            <v>42429</v>
          </cell>
          <cell r="G2766">
            <v>42452</v>
          </cell>
          <cell r="H2766">
            <v>49733</v>
          </cell>
          <cell r="I2766" t="str">
            <v>19 years, 11 months, 5 days</v>
          </cell>
          <cell r="J2766" t="str">
            <v>Renewables</v>
          </cell>
          <cell r="K2766" t="str">
            <v>Solar (Rooftop)</v>
          </cell>
          <cell r="L2766" t="str">
            <v>Solar</v>
          </cell>
          <cell r="M2766" t="str">
            <v>Dx</v>
          </cell>
          <cell r="N2766" t="str">
            <v>Orillia</v>
          </cell>
          <cell r="O2766" t="str">
            <v>Simcoe</v>
          </cell>
          <cell r="P2766" t="str">
            <v>Essa</v>
          </cell>
        </row>
        <row r="2767">
          <cell r="C2767" t="str">
            <v>Painter</v>
          </cell>
          <cell r="D2767" t="str">
            <v>Peterborough Solar Projects Corporation</v>
          </cell>
          <cell r="E2767" t="str">
            <v>CO</v>
          </cell>
          <cell r="F2767">
            <v>42981</v>
          </cell>
          <cell r="G2767">
            <v>43377</v>
          </cell>
          <cell r="H2767">
            <v>50285</v>
          </cell>
          <cell r="I2767" t="str">
            <v>18 years, 10 months, 29 days</v>
          </cell>
          <cell r="J2767" t="str">
            <v>Renewables</v>
          </cell>
          <cell r="K2767" t="str">
            <v>Solar (Ground Mounted)</v>
          </cell>
          <cell r="L2767" t="str">
            <v>Solar</v>
          </cell>
          <cell r="M2767" t="str">
            <v>Dx</v>
          </cell>
          <cell r="N2767" t="str">
            <v>Coe Hill</v>
          </cell>
          <cell r="O2767" t="str">
            <v>Hastings</v>
          </cell>
          <cell r="P2767" t="str">
            <v>East</v>
          </cell>
        </row>
        <row r="2768">
          <cell r="C2768" t="str">
            <v>Burford Community Center</v>
          </cell>
          <cell r="D2768" t="str">
            <v>Corporation of the County of Brant; Sustainability Brant Community Energy Co-operative Inc. Joint Venture</v>
          </cell>
          <cell r="E2768" t="str">
            <v>CO</v>
          </cell>
          <cell r="F2768">
            <v>42657</v>
          </cell>
          <cell r="G2768">
            <v>42628</v>
          </cell>
          <cell r="H2768">
            <v>49932</v>
          </cell>
          <cell r="I2768" t="str">
            <v>19 years, 11 months, 30 days</v>
          </cell>
          <cell r="J2768" t="str">
            <v>Renewables</v>
          </cell>
          <cell r="K2768" t="str">
            <v>Solar (Rooftop)</v>
          </cell>
          <cell r="L2768" t="str">
            <v>Solar</v>
          </cell>
          <cell r="M2768" t="str">
            <v>Dx</v>
          </cell>
          <cell r="N2768" t="str">
            <v>Burford</v>
          </cell>
          <cell r="O2768" t="str">
            <v>Brant</v>
          </cell>
          <cell r="P2768" t="str">
            <v>Southwest</v>
          </cell>
        </row>
        <row r="2769">
          <cell r="C2769" t="str">
            <v>SPN 264</v>
          </cell>
          <cell r="D2769" t="str">
            <v>SPN LP 3</v>
          </cell>
          <cell r="E2769" t="str">
            <v>CO</v>
          </cell>
          <cell r="F2769">
            <v>42428</v>
          </cell>
          <cell r="G2769">
            <v>42471</v>
          </cell>
          <cell r="H2769">
            <v>49732</v>
          </cell>
          <cell r="I2769" t="str">
            <v>19 years, 10 months, 16 days</v>
          </cell>
          <cell r="J2769" t="str">
            <v>Renewables</v>
          </cell>
          <cell r="K2769" t="str">
            <v>Solar (Rooftop)</v>
          </cell>
          <cell r="L2769" t="str">
            <v>Solar</v>
          </cell>
          <cell r="M2769" t="str">
            <v>Dx</v>
          </cell>
          <cell r="N2769" t="str">
            <v>Waterdown</v>
          </cell>
          <cell r="O2769" t="str">
            <v>Hamilton</v>
          </cell>
          <cell r="P2769" t="str">
            <v>Southwest</v>
          </cell>
        </row>
        <row r="2770">
          <cell r="C2770" t="str">
            <v>6319 Hwy 26</v>
          </cell>
          <cell r="D2770" t="str">
            <v>Chi Biidaaske Inc.</v>
          </cell>
          <cell r="E2770" t="str">
            <v>CO</v>
          </cell>
          <cell r="F2770">
            <v>42428</v>
          </cell>
          <cell r="G2770">
            <v>42517</v>
          </cell>
          <cell r="H2770">
            <v>49732</v>
          </cell>
          <cell r="I2770" t="str">
            <v>19 years, 9 months, 0 days</v>
          </cell>
          <cell r="J2770" t="str">
            <v>Renewables</v>
          </cell>
          <cell r="K2770" t="str">
            <v>Solar (Rooftop)</v>
          </cell>
          <cell r="L2770" t="str">
            <v>Solar</v>
          </cell>
          <cell r="M2770" t="str">
            <v>Dx</v>
          </cell>
          <cell r="N2770" t="str">
            <v>Stayner</v>
          </cell>
          <cell r="O2770" t="str">
            <v>Simcoe</v>
          </cell>
          <cell r="P2770" t="str">
            <v>Southwest</v>
          </cell>
        </row>
        <row r="2771">
          <cell r="C2771" t="str">
            <v>1 - Messenger Freight</v>
          </cell>
          <cell r="D2771" t="str">
            <v>Messenger Project LP</v>
          </cell>
          <cell r="E2771" t="str">
            <v>CO</v>
          </cell>
          <cell r="F2771">
            <v>42653</v>
          </cell>
          <cell r="G2771">
            <v>42872</v>
          </cell>
          <cell r="H2771">
            <v>49957</v>
          </cell>
          <cell r="I2771" t="str">
            <v>19 years, 4 months, 22 days</v>
          </cell>
          <cell r="J2771" t="str">
            <v>Renewables</v>
          </cell>
          <cell r="K2771" t="str">
            <v>Solar (Rooftop)</v>
          </cell>
          <cell r="L2771" t="str">
            <v>Solar</v>
          </cell>
          <cell r="M2771" t="str">
            <v>Dx</v>
          </cell>
          <cell r="N2771" t="str">
            <v>St. Thomas</v>
          </cell>
          <cell r="O2771" t="str">
            <v>Elgin</v>
          </cell>
          <cell r="P2771" t="str">
            <v>West</v>
          </cell>
        </row>
        <row r="2772">
          <cell r="C2772" t="str">
            <v>DRDH SOLAR</v>
          </cell>
          <cell r="D2772" t="str">
            <v>DEEP RIVER AND DISTRICT HOSPITAL</v>
          </cell>
          <cell r="E2772" t="str">
            <v>CO</v>
          </cell>
          <cell r="F2772">
            <v>42432</v>
          </cell>
          <cell r="G2772">
            <v>42465</v>
          </cell>
          <cell r="H2772">
            <v>49736</v>
          </cell>
          <cell r="I2772" t="str">
            <v>19 years, 10 months, 26 days</v>
          </cell>
          <cell r="J2772" t="str">
            <v>Renewables</v>
          </cell>
          <cell r="K2772" t="str">
            <v>Solar (Rooftop)</v>
          </cell>
          <cell r="L2772" t="str">
            <v>Solar</v>
          </cell>
          <cell r="M2772" t="str">
            <v>Dx</v>
          </cell>
          <cell r="N2772" t="str">
            <v>Deep River</v>
          </cell>
          <cell r="O2772" t="str">
            <v>Renfrew</v>
          </cell>
          <cell r="P2772" t="str">
            <v>Essa</v>
          </cell>
        </row>
        <row r="2773">
          <cell r="C2773" t="str">
            <v>Township of Mulmur</v>
          </cell>
          <cell r="D2773" t="str">
            <v>Corporation of the Township of Mulmur</v>
          </cell>
          <cell r="E2773" t="str">
            <v>CO</v>
          </cell>
          <cell r="F2773">
            <v>42447</v>
          </cell>
          <cell r="G2773">
            <v>42464</v>
          </cell>
          <cell r="H2773">
            <v>49751</v>
          </cell>
          <cell r="I2773" t="str">
            <v>19 years, 11 months, 13 days</v>
          </cell>
          <cell r="J2773" t="str">
            <v>Renewables</v>
          </cell>
          <cell r="K2773" t="str">
            <v>Solar (Rooftop)</v>
          </cell>
          <cell r="L2773" t="str">
            <v>Solar</v>
          </cell>
          <cell r="M2773" t="str">
            <v>Dx</v>
          </cell>
          <cell r="N2773" t="str">
            <v>Orangeville</v>
          </cell>
          <cell r="O2773" t="str">
            <v>Dufferin</v>
          </cell>
          <cell r="P2773" t="str">
            <v>Southwest</v>
          </cell>
        </row>
        <row r="2774">
          <cell r="C2774" t="str">
            <v>LDCSB St. Anne (St. Thomas)</v>
          </cell>
          <cell r="D2774" t="str">
            <v>Ameresco LDCSB Solar Inc.</v>
          </cell>
          <cell r="E2774" t="str">
            <v>CO</v>
          </cell>
          <cell r="F2774">
            <v>42429</v>
          </cell>
          <cell r="G2774">
            <v>42530</v>
          </cell>
          <cell r="H2774">
            <v>49733</v>
          </cell>
          <cell r="I2774" t="str">
            <v>19 years, 8 months, 19 days</v>
          </cell>
          <cell r="J2774" t="str">
            <v>Renewables</v>
          </cell>
          <cell r="K2774" t="str">
            <v>Solar (Rooftop)</v>
          </cell>
          <cell r="L2774" t="str">
            <v>Solar</v>
          </cell>
          <cell r="M2774" t="str">
            <v>Dx</v>
          </cell>
          <cell r="N2774" t="str">
            <v>St. Thomas</v>
          </cell>
          <cell r="O2774" t="str">
            <v>Elgin</v>
          </cell>
          <cell r="P2774" t="str">
            <v>West</v>
          </cell>
        </row>
        <row r="2775">
          <cell r="C2775" t="str">
            <v>SPN 595</v>
          </cell>
          <cell r="D2775" t="str">
            <v>LDREC SPN LP</v>
          </cell>
          <cell r="E2775" t="str">
            <v>CO</v>
          </cell>
          <cell r="F2775">
            <v>42653</v>
          </cell>
          <cell r="G2775">
            <v>42822</v>
          </cell>
          <cell r="H2775">
            <v>49957</v>
          </cell>
          <cell r="I2775" t="str">
            <v>19 years, 6 months, 11 days</v>
          </cell>
          <cell r="J2775" t="str">
            <v>Renewables</v>
          </cell>
          <cell r="K2775" t="str">
            <v>Solar (Rooftop)</v>
          </cell>
          <cell r="L2775" t="str">
            <v>Solar</v>
          </cell>
          <cell r="M2775" t="str">
            <v>Dx</v>
          </cell>
          <cell r="N2775" t="str">
            <v>London</v>
          </cell>
          <cell r="O2775" t="str">
            <v>Middlesex</v>
          </cell>
          <cell r="P2775" t="str">
            <v>West</v>
          </cell>
        </row>
        <row r="2776">
          <cell r="C2776" t="str">
            <v>P133</v>
          </cell>
          <cell r="D2776" t="str">
            <v>Reliant First Nation Limited Partnership</v>
          </cell>
          <cell r="E2776" t="str">
            <v>CO</v>
          </cell>
          <cell r="F2776">
            <v>42987</v>
          </cell>
          <cell r="G2776">
            <v>42836</v>
          </cell>
          <cell r="H2776">
            <v>50140</v>
          </cell>
          <cell r="I2776" t="str">
            <v>19 years, 11 months, 30 days</v>
          </cell>
          <cell r="J2776" t="str">
            <v>Renewables</v>
          </cell>
          <cell r="K2776" t="str">
            <v>Solar (Rooftop)</v>
          </cell>
          <cell r="L2776" t="str">
            <v>Solar</v>
          </cell>
          <cell r="M2776" t="str">
            <v>Dx</v>
          </cell>
          <cell r="N2776" t="str">
            <v>Brampton</v>
          </cell>
          <cell r="O2776" t="str">
            <v>Peel</v>
          </cell>
          <cell r="P2776" t="str">
            <v>Toronto</v>
          </cell>
        </row>
        <row r="2777">
          <cell r="C2777" t="str">
            <v>Jim Durrell Recreation Complex</v>
          </cell>
          <cell r="D2777" t="str">
            <v>Hydro Ottawa Holding Inc.</v>
          </cell>
          <cell r="E2777" t="str">
            <v>CO</v>
          </cell>
          <cell r="F2777">
            <v>42445</v>
          </cell>
          <cell r="G2777">
            <v>42570</v>
          </cell>
          <cell r="H2777">
            <v>49749</v>
          </cell>
          <cell r="I2777" t="str">
            <v>19 years, 7 months, 25 days</v>
          </cell>
          <cell r="J2777" t="str">
            <v>Renewables</v>
          </cell>
          <cell r="K2777" t="str">
            <v>Solar (Rooftop)</v>
          </cell>
          <cell r="L2777" t="str">
            <v>Solar</v>
          </cell>
          <cell r="M2777" t="str">
            <v>Dx</v>
          </cell>
          <cell r="N2777" t="str">
            <v>Ottawa</v>
          </cell>
          <cell r="O2777" t="str">
            <v>Ottawa</v>
          </cell>
          <cell r="P2777" t="str">
            <v>Ottawa</v>
          </cell>
        </row>
        <row r="2778">
          <cell r="C2778" t="str">
            <v>GreenLife Solar 12</v>
          </cell>
          <cell r="D2778" t="str">
            <v>GreenLife Solar Projects Inc.</v>
          </cell>
          <cell r="E2778" t="str">
            <v>CO</v>
          </cell>
          <cell r="F2778">
            <v>42976</v>
          </cell>
          <cell r="G2778">
            <v>43487</v>
          </cell>
          <cell r="H2778">
            <v>50280</v>
          </cell>
          <cell r="I2778" t="str">
            <v>18 years, 7 months, 6 days</v>
          </cell>
          <cell r="J2778" t="str">
            <v>Renewables</v>
          </cell>
          <cell r="K2778" t="str">
            <v>Solar (Ground Mounted)</v>
          </cell>
          <cell r="L2778" t="str">
            <v>Solar</v>
          </cell>
          <cell r="M2778" t="str">
            <v>Dx</v>
          </cell>
          <cell r="N2778" t="str">
            <v>Harwood</v>
          </cell>
          <cell r="O2778" t="str">
            <v>Northumberland</v>
          </cell>
          <cell r="P2778" t="str">
            <v>East</v>
          </cell>
        </row>
        <row r="2779">
          <cell r="C2779" t="str">
            <v>GreenLife Solar 3</v>
          </cell>
          <cell r="D2779" t="str">
            <v>GreenLife Solar Projects Inc.</v>
          </cell>
          <cell r="E2779" t="str">
            <v>CO</v>
          </cell>
          <cell r="F2779">
            <v>42976</v>
          </cell>
          <cell r="G2779">
            <v>43486</v>
          </cell>
          <cell r="H2779">
            <v>50280</v>
          </cell>
          <cell r="I2779" t="str">
            <v>18 years, 7 months, 7 days</v>
          </cell>
          <cell r="J2779" t="str">
            <v>Renewables</v>
          </cell>
          <cell r="K2779" t="str">
            <v>Solar (Ground Mounted)</v>
          </cell>
          <cell r="L2779" t="str">
            <v>Solar</v>
          </cell>
          <cell r="M2779" t="str">
            <v>Dx</v>
          </cell>
          <cell r="N2779" t="str">
            <v>Madoc</v>
          </cell>
          <cell r="O2779" t="str">
            <v>Hastings</v>
          </cell>
          <cell r="P2779" t="str">
            <v>East</v>
          </cell>
        </row>
        <row r="2780">
          <cell r="C2780" t="str">
            <v>SPN 251</v>
          </cell>
          <cell r="D2780" t="str">
            <v>LDREC SPN LP</v>
          </cell>
          <cell r="E2780" t="str">
            <v>CO</v>
          </cell>
          <cell r="F2780">
            <v>42653</v>
          </cell>
          <cell r="G2780">
            <v>42789</v>
          </cell>
          <cell r="H2780">
            <v>49957</v>
          </cell>
          <cell r="I2780" t="str">
            <v>19 years, 7 months, 16 days</v>
          </cell>
          <cell r="J2780" t="str">
            <v>Renewables</v>
          </cell>
          <cell r="K2780" t="str">
            <v>Solar (Rooftop)</v>
          </cell>
          <cell r="L2780" t="str">
            <v>Solar</v>
          </cell>
          <cell r="M2780" t="str">
            <v>Dx</v>
          </cell>
          <cell r="N2780" t="str">
            <v>London</v>
          </cell>
          <cell r="O2780" t="str">
            <v>Middlesex</v>
          </cell>
          <cell r="P2780" t="str">
            <v>West</v>
          </cell>
        </row>
        <row r="2781">
          <cell r="C2781" t="str">
            <v>P132</v>
          </cell>
          <cell r="D2781" t="str">
            <v>Reliant First Nation Limited Partnership</v>
          </cell>
          <cell r="E2781" t="str">
            <v>CO</v>
          </cell>
          <cell r="F2781">
            <v>42994</v>
          </cell>
          <cell r="G2781">
            <v>43035</v>
          </cell>
          <cell r="H2781">
            <v>50298</v>
          </cell>
          <cell r="I2781" t="str">
            <v>19 years, 10 months, 19 days</v>
          </cell>
          <cell r="J2781" t="str">
            <v>Renewables</v>
          </cell>
          <cell r="K2781" t="str">
            <v>Solar (Rooftop)</v>
          </cell>
          <cell r="L2781" t="str">
            <v>Solar</v>
          </cell>
          <cell r="M2781" t="str">
            <v>Dx</v>
          </cell>
          <cell r="N2781" t="str">
            <v>Brampton</v>
          </cell>
          <cell r="O2781" t="str">
            <v>Peel</v>
          </cell>
          <cell r="P2781" t="str">
            <v>Toronto</v>
          </cell>
        </row>
        <row r="2782">
          <cell r="C2782" t="str">
            <v>SunEdison ON-11-0074</v>
          </cell>
          <cell r="D2782" t="str">
            <v>GSC Southlake Solar LP</v>
          </cell>
          <cell r="E2782" t="str">
            <v>CO</v>
          </cell>
          <cell r="F2782">
            <v>42980</v>
          </cell>
          <cell r="G2782">
            <v>43518</v>
          </cell>
          <cell r="H2782">
            <v>50284</v>
          </cell>
          <cell r="I2782" t="str">
            <v>18 years, 6 months, 10 days</v>
          </cell>
          <cell r="J2782" t="str">
            <v>Renewables</v>
          </cell>
          <cell r="K2782" t="str">
            <v>Solar (Ground Mounted)</v>
          </cell>
          <cell r="L2782" t="str">
            <v>Solar</v>
          </cell>
          <cell r="M2782" t="str">
            <v>Dx</v>
          </cell>
          <cell r="N2782" t="str">
            <v>Merrickville</v>
          </cell>
          <cell r="O2782" t="str">
            <v>Leeds and Grenville</v>
          </cell>
          <cell r="P2782" t="str">
            <v>East</v>
          </cell>
        </row>
        <row r="2783">
          <cell r="C2783" t="str">
            <v>SPN 329</v>
          </cell>
          <cell r="D2783" t="str">
            <v>LDREC SPN LP</v>
          </cell>
          <cell r="E2783" t="str">
            <v>CO</v>
          </cell>
          <cell r="F2783">
            <v>42653</v>
          </cell>
          <cell r="G2783">
            <v>42822</v>
          </cell>
          <cell r="H2783">
            <v>49957</v>
          </cell>
          <cell r="I2783" t="str">
            <v>19 years, 6 months, 11 days</v>
          </cell>
          <cell r="J2783" t="str">
            <v>Renewables</v>
          </cell>
          <cell r="K2783" t="str">
            <v>Solar (Rooftop)</v>
          </cell>
          <cell r="L2783" t="str">
            <v>Solar</v>
          </cell>
          <cell r="M2783" t="str">
            <v>Dx</v>
          </cell>
          <cell r="N2783" t="str">
            <v>London</v>
          </cell>
          <cell r="O2783" t="str">
            <v>Middlesex</v>
          </cell>
          <cell r="P2783" t="str">
            <v>West</v>
          </cell>
        </row>
        <row r="2784">
          <cell r="C2784" t="str">
            <v>Corner View Farms</v>
          </cell>
          <cell r="D2784" t="str">
            <v>CK Solar Projects LP</v>
          </cell>
          <cell r="E2784" t="str">
            <v>CO</v>
          </cell>
          <cell r="F2784">
            <v>42428</v>
          </cell>
          <cell r="G2784">
            <v>42621</v>
          </cell>
          <cell r="H2784">
            <v>49732</v>
          </cell>
          <cell r="I2784" t="str">
            <v>19 years, 5 months, 19 days</v>
          </cell>
          <cell r="J2784" t="str">
            <v>Renewables</v>
          </cell>
          <cell r="K2784" t="str">
            <v>Solar (Rooftop)</v>
          </cell>
          <cell r="L2784" t="str">
            <v>Solar</v>
          </cell>
          <cell r="M2784" t="str">
            <v>Dx</v>
          </cell>
          <cell r="N2784" t="str">
            <v>Richmond</v>
          </cell>
          <cell r="O2784" t="str">
            <v>Ottawa</v>
          </cell>
          <cell r="P2784" t="str">
            <v>Ottawa</v>
          </cell>
        </row>
        <row r="2785">
          <cell r="C2785" t="str">
            <v>Rockton Fair</v>
          </cell>
          <cell r="D2785" t="str">
            <v>QS6 2012 LP</v>
          </cell>
          <cell r="E2785" t="str">
            <v>CO</v>
          </cell>
          <cell r="F2785">
            <v>42428</v>
          </cell>
          <cell r="G2785">
            <v>42409</v>
          </cell>
          <cell r="H2785">
            <v>49713</v>
          </cell>
          <cell r="I2785" t="str">
            <v>19 years, 11 months, 30 days</v>
          </cell>
          <cell r="J2785" t="str">
            <v>Renewables</v>
          </cell>
          <cell r="K2785" t="str">
            <v>Solar (Rooftop)</v>
          </cell>
          <cell r="L2785" t="str">
            <v>Solar</v>
          </cell>
          <cell r="M2785" t="str">
            <v>Dx</v>
          </cell>
          <cell r="N2785" t="str">
            <v>Rockton</v>
          </cell>
          <cell r="O2785" t="str">
            <v>Hamilton</v>
          </cell>
          <cell r="P2785" t="str">
            <v>Southwest</v>
          </cell>
        </row>
        <row r="2786">
          <cell r="C2786" t="str">
            <v>Main Public Works Garage Addition</v>
          </cell>
          <cell r="D2786" t="str">
            <v>The Corporation of the Township of Selwyn</v>
          </cell>
          <cell r="E2786" t="str">
            <v>CO</v>
          </cell>
          <cell r="F2786">
            <v>42609</v>
          </cell>
          <cell r="G2786">
            <v>42580</v>
          </cell>
          <cell r="H2786">
            <v>49884</v>
          </cell>
          <cell r="I2786" t="str">
            <v>19 years, 11 months, 29 days</v>
          </cell>
          <cell r="J2786" t="str">
            <v>Renewables</v>
          </cell>
          <cell r="K2786" t="str">
            <v>Solar (Rooftop)</v>
          </cell>
          <cell r="L2786" t="str">
            <v>Solar</v>
          </cell>
          <cell r="M2786" t="str">
            <v>Dx</v>
          </cell>
          <cell r="N2786" t="str">
            <v>Peterborough</v>
          </cell>
          <cell r="O2786" t="str">
            <v>Peterborough</v>
          </cell>
          <cell r="P2786" t="str">
            <v>East</v>
          </cell>
        </row>
        <row r="2787">
          <cell r="C2787" t="str">
            <v>GE014</v>
          </cell>
          <cell r="D2787" t="str">
            <v>SIF #2 Reliant Essex LP</v>
          </cell>
          <cell r="E2787" t="str">
            <v>CO</v>
          </cell>
          <cell r="F2787">
            <v>42440</v>
          </cell>
          <cell r="G2787">
            <v>42607</v>
          </cell>
          <cell r="H2787">
            <v>49744</v>
          </cell>
          <cell r="I2787" t="str">
            <v>19 years, 6 months, 14 days</v>
          </cell>
          <cell r="J2787" t="str">
            <v>Renewables</v>
          </cell>
          <cell r="K2787" t="str">
            <v>Solar (Rooftop)</v>
          </cell>
          <cell r="L2787" t="str">
            <v>Solar</v>
          </cell>
          <cell r="M2787" t="str">
            <v>Dx</v>
          </cell>
          <cell r="N2787" t="str">
            <v>Windsor</v>
          </cell>
          <cell r="O2787" t="str">
            <v>Essex</v>
          </cell>
          <cell r="P2787" t="str">
            <v>West</v>
          </cell>
        </row>
        <row r="2788">
          <cell r="C2788" t="str">
            <v>10021089_cloutier</v>
          </cell>
          <cell r="D2788" t="str">
            <v>Skyline Private Opportunities Corp.</v>
          </cell>
          <cell r="E2788" t="str">
            <v>CO</v>
          </cell>
          <cell r="F2788">
            <v>42609</v>
          </cell>
          <cell r="G2788">
            <v>42632</v>
          </cell>
          <cell r="H2788">
            <v>49913</v>
          </cell>
          <cell r="I2788" t="str">
            <v>19 years, 11 months, 7 days</v>
          </cell>
          <cell r="J2788" t="str">
            <v>Renewables</v>
          </cell>
          <cell r="K2788" t="str">
            <v>Solar (Rooftop)</v>
          </cell>
          <cell r="L2788" t="str">
            <v>Solar</v>
          </cell>
          <cell r="M2788" t="str">
            <v>Dx</v>
          </cell>
          <cell r="N2788" t="str">
            <v>Earlton</v>
          </cell>
          <cell r="O2788" t="str">
            <v>Timiskaming</v>
          </cell>
          <cell r="P2788" t="str">
            <v>Northeast</v>
          </cell>
        </row>
        <row r="2789">
          <cell r="C2789" t="str">
            <v>SPN 030</v>
          </cell>
          <cell r="D2789" t="str">
            <v>SPN LP 1</v>
          </cell>
          <cell r="E2789" t="str">
            <v>CO</v>
          </cell>
          <cell r="F2789">
            <v>42666</v>
          </cell>
          <cell r="G2789">
            <v>42845</v>
          </cell>
          <cell r="H2789">
            <v>49970</v>
          </cell>
          <cell r="I2789" t="str">
            <v>19 years, 6 months, 2 days</v>
          </cell>
          <cell r="J2789" t="str">
            <v>Renewables</v>
          </cell>
          <cell r="K2789" t="str">
            <v>Solar (Rooftop)</v>
          </cell>
          <cell r="L2789" t="str">
            <v>Solar</v>
          </cell>
          <cell r="M2789" t="str">
            <v>Dx</v>
          </cell>
          <cell r="N2789" t="str">
            <v>Leamington</v>
          </cell>
          <cell r="O2789" t="str">
            <v>Essex</v>
          </cell>
          <cell r="P2789" t="str">
            <v>West</v>
          </cell>
        </row>
        <row r="2790">
          <cell r="C2790" t="str">
            <v>C2 Hayfield URSP</v>
          </cell>
          <cell r="D2790" t="str">
            <v>2291506 Ontario INC.</v>
          </cell>
          <cell r="E2790" t="str">
            <v>CO</v>
          </cell>
          <cell r="F2790">
            <v>42609</v>
          </cell>
          <cell r="G2790">
            <v>42788</v>
          </cell>
          <cell r="H2790">
            <v>49913</v>
          </cell>
          <cell r="I2790" t="str">
            <v>19 years, 6 months, 4 days</v>
          </cell>
          <cell r="J2790" t="str">
            <v>Renewables</v>
          </cell>
          <cell r="K2790" t="str">
            <v>Solar (Rooftop)</v>
          </cell>
          <cell r="L2790" t="str">
            <v>Solar</v>
          </cell>
          <cell r="M2790" t="str">
            <v>Dx</v>
          </cell>
          <cell r="N2790" t="str">
            <v>Port Dover</v>
          </cell>
          <cell r="O2790" t="str">
            <v>Norfolk</v>
          </cell>
          <cell r="P2790" t="str">
            <v>Southwest</v>
          </cell>
        </row>
        <row r="2791">
          <cell r="C2791" t="str">
            <v>P208</v>
          </cell>
          <cell r="D2791" t="str">
            <v>Reliant First Nation Limited Partnership</v>
          </cell>
          <cell r="E2791" t="str">
            <v>CO</v>
          </cell>
          <cell r="F2791">
            <v>42989</v>
          </cell>
          <cell r="G2791">
            <v>43124</v>
          </cell>
          <cell r="H2791">
            <v>50293</v>
          </cell>
          <cell r="I2791" t="str">
            <v>19 years, 7 months, 17 days</v>
          </cell>
          <cell r="J2791" t="str">
            <v>Renewables</v>
          </cell>
          <cell r="K2791" t="str">
            <v>Solar (Rooftop)</v>
          </cell>
          <cell r="L2791" t="str">
            <v>Solar</v>
          </cell>
          <cell r="M2791" t="str">
            <v>Dx</v>
          </cell>
          <cell r="N2791" t="str">
            <v>Brampton</v>
          </cell>
          <cell r="O2791" t="str">
            <v>Peel</v>
          </cell>
          <cell r="P2791" t="str">
            <v>Toronto</v>
          </cell>
        </row>
        <row r="2792">
          <cell r="C2792" t="str">
            <v>LDCSB St. Bernadette</v>
          </cell>
          <cell r="D2792" t="str">
            <v>Ameresco LDCSB Solar Inc.</v>
          </cell>
          <cell r="E2792" t="str">
            <v>CO</v>
          </cell>
          <cell r="F2792">
            <v>42653</v>
          </cell>
          <cell r="G2792">
            <v>42703</v>
          </cell>
          <cell r="H2792">
            <v>49957</v>
          </cell>
          <cell r="I2792" t="str">
            <v>19 years, 10 months, 10 days</v>
          </cell>
          <cell r="J2792" t="str">
            <v>Renewables</v>
          </cell>
          <cell r="K2792" t="str">
            <v>Solar (Rooftop)</v>
          </cell>
          <cell r="L2792" t="str">
            <v>Solar</v>
          </cell>
          <cell r="M2792" t="str">
            <v>Dx</v>
          </cell>
          <cell r="N2792" t="str">
            <v>London</v>
          </cell>
          <cell r="O2792" t="str">
            <v>Middlesex</v>
          </cell>
          <cell r="P2792" t="str">
            <v>West</v>
          </cell>
        </row>
        <row r="2793">
          <cell r="C2793" t="str">
            <v>Marburg URSP</v>
          </cell>
          <cell r="D2793" t="str">
            <v>2291506 Ontario INC.</v>
          </cell>
          <cell r="E2793" t="str">
            <v>CO</v>
          </cell>
          <cell r="F2793">
            <v>42609</v>
          </cell>
          <cell r="G2793">
            <v>42761</v>
          </cell>
          <cell r="H2793">
            <v>49913</v>
          </cell>
          <cell r="I2793" t="str">
            <v>19 years, 7 months, 0 days</v>
          </cell>
          <cell r="J2793" t="str">
            <v>Renewables</v>
          </cell>
          <cell r="K2793" t="str">
            <v>Solar (Rooftop)</v>
          </cell>
          <cell r="L2793" t="str">
            <v>Solar</v>
          </cell>
          <cell r="M2793" t="str">
            <v>Dx</v>
          </cell>
          <cell r="N2793" t="str">
            <v>Port Dover</v>
          </cell>
          <cell r="O2793" t="str">
            <v>Norfolk</v>
          </cell>
          <cell r="P2793" t="str">
            <v>Southwest</v>
          </cell>
        </row>
        <row r="2794">
          <cell r="C2794" t="str">
            <v>Pioneer Manor</v>
          </cell>
          <cell r="D2794" t="str">
            <v>City of Greater Sudbury</v>
          </cell>
          <cell r="E2794" t="str">
            <v>CO</v>
          </cell>
          <cell r="F2794">
            <v>42432</v>
          </cell>
          <cell r="G2794">
            <v>42656</v>
          </cell>
          <cell r="H2794">
            <v>49736</v>
          </cell>
          <cell r="I2794" t="str">
            <v>19 years, 4 months, 18 days</v>
          </cell>
          <cell r="J2794" t="str">
            <v>Renewables</v>
          </cell>
          <cell r="K2794" t="str">
            <v>Solar (Rooftop)</v>
          </cell>
          <cell r="L2794" t="str">
            <v>Solar</v>
          </cell>
          <cell r="M2794" t="str">
            <v>Dx</v>
          </cell>
          <cell r="N2794" t="str">
            <v>Sudbury</v>
          </cell>
          <cell r="O2794" t="str">
            <v>Greater Sudbury</v>
          </cell>
          <cell r="P2794" t="str">
            <v>Northeast</v>
          </cell>
        </row>
        <row r="2795">
          <cell r="C2795" t="str">
            <v>SPN 344</v>
          </cell>
          <cell r="D2795" t="str">
            <v>SPN LP 3</v>
          </cell>
          <cell r="E2795" t="str">
            <v>CO</v>
          </cell>
          <cell r="F2795">
            <v>42653</v>
          </cell>
          <cell r="G2795">
            <v>42828</v>
          </cell>
          <cell r="H2795">
            <v>49957</v>
          </cell>
          <cell r="I2795" t="str">
            <v>19 years, 6 months, 6 days</v>
          </cell>
          <cell r="J2795" t="str">
            <v>Renewables</v>
          </cell>
          <cell r="K2795" t="str">
            <v>Solar (Rooftop)</v>
          </cell>
          <cell r="L2795" t="str">
            <v>Solar</v>
          </cell>
          <cell r="M2795" t="str">
            <v>Dx</v>
          </cell>
          <cell r="N2795" t="str">
            <v>Paris</v>
          </cell>
          <cell r="O2795" t="str">
            <v>Brant</v>
          </cell>
          <cell r="P2795" t="str">
            <v>Southwest</v>
          </cell>
        </row>
        <row r="2796">
          <cell r="C2796" t="str">
            <v>2010-159-04</v>
          </cell>
          <cell r="D2796" t="str">
            <v>The Corporation of the City of Windsor</v>
          </cell>
          <cell r="E2796" t="str">
            <v>CO</v>
          </cell>
          <cell r="F2796">
            <v>42431</v>
          </cell>
          <cell r="G2796">
            <v>42600</v>
          </cell>
          <cell r="H2796">
            <v>49735</v>
          </cell>
          <cell r="I2796" t="str">
            <v>19 years, 6 months, 12 days</v>
          </cell>
          <cell r="J2796" t="str">
            <v>Renewables</v>
          </cell>
          <cell r="K2796" t="str">
            <v>Solar (Rooftop)</v>
          </cell>
          <cell r="L2796" t="str">
            <v>Solar</v>
          </cell>
          <cell r="M2796" t="str">
            <v>Dx</v>
          </cell>
          <cell r="N2796" t="str">
            <v>Windsor</v>
          </cell>
          <cell r="O2796" t="str">
            <v>Essex</v>
          </cell>
          <cell r="P2796" t="str">
            <v>West</v>
          </cell>
        </row>
        <row r="2797">
          <cell r="C2797" t="str">
            <v>195 Savannah Oaks Drive</v>
          </cell>
          <cell r="D2797" t="str">
            <v>Chi Biidaaske Inc.</v>
          </cell>
          <cell r="E2797" t="str">
            <v>CO</v>
          </cell>
          <cell r="F2797">
            <v>42428</v>
          </cell>
          <cell r="G2797">
            <v>42376</v>
          </cell>
          <cell r="H2797">
            <v>49680</v>
          </cell>
          <cell r="I2797" t="str">
            <v>19 years, 11 months, 30 days</v>
          </cell>
          <cell r="J2797" t="str">
            <v>Renewables</v>
          </cell>
          <cell r="K2797" t="str">
            <v>Solar (Rooftop)</v>
          </cell>
          <cell r="L2797" t="str">
            <v>Solar</v>
          </cell>
          <cell r="M2797" t="str">
            <v>Dx</v>
          </cell>
          <cell r="N2797" t="str">
            <v>Brantford</v>
          </cell>
          <cell r="O2797" t="str">
            <v>Brant</v>
          </cell>
          <cell r="P2797" t="str">
            <v>Southwest</v>
          </cell>
        </row>
        <row r="2798">
          <cell r="C2798" t="str">
            <v>OT-10 CENTENNIAL</v>
          </cell>
          <cell r="D2798" t="str">
            <v>2387276 Ontario Inc.</v>
          </cell>
          <cell r="E2798" t="str">
            <v>CO</v>
          </cell>
          <cell r="F2798">
            <v>42659</v>
          </cell>
          <cell r="G2798">
            <v>42709</v>
          </cell>
          <cell r="H2798">
            <v>49963</v>
          </cell>
          <cell r="I2798" t="str">
            <v>19 years, 10 months, 10 days</v>
          </cell>
          <cell r="J2798" t="str">
            <v>Renewables</v>
          </cell>
          <cell r="K2798" t="str">
            <v>Solar (Rooftop)</v>
          </cell>
          <cell r="L2798" t="str">
            <v>Solar</v>
          </cell>
          <cell r="M2798" t="str">
            <v>Dx</v>
          </cell>
          <cell r="N2798" t="str">
            <v>Orangeville</v>
          </cell>
          <cell r="O2798" t="str">
            <v>Dufferin</v>
          </cell>
          <cell r="P2798" t="str">
            <v>Southwest</v>
          </cell>
        </row>
        <row r="2799">
          <cell r="C2799" t="str">
            <v>NSPG Tracker Project</v>
          </cell>
          <cell r="D2799" t="str">
            <v>NORTH SHORE POWER GROUP INC.</v>
          </cell>
          <cell r="E2799" t="str">
            <v>CO</v>
          </cell>
          <cell r="F2799">
            <v>43204</v>
          </cell>
          <cell r="G2799">
            <v>43301</v>
          </cell>
          <cell r="H2799">
            <v>50508</v>
          </cell>
          <cell r="I2799" t="str">
            <v>19 years, 8 months, 24 days</v>
          </cell>
          <cell r="J2799" t="str">
            <v>Renewables</v>
          </cell>
          <cell r="K2799" t="str">
            <v>Solar (Ground Mounted)</v>
          </cell>
          <cell r="L2799" t="str">
            <v>Solar</v>
          </cell>
          <cell r="M2799" t="str">
            <v>Dx</v>
          </cell>
          <cell r="N2799" t="str">
            <v>Blind River</v>
          </cell>
          <cell r="O2799" t="str">
            <v>Algoma</v>
          </cell>
          <cell r="P2799" t="str">
            <v>Northeast</v>
          </cell>
        </row>
        <row r="2800">
          <cell r="C2800" t="str">
            <v>Carson Barn 4,5,6</v>
          </cell>
          <cell r="D2800" t="str">
            <v>CK Solar Projects LP</v>
          </cell>
          <cell r="E2800" t="str">
            <v>CO</v>
          </cell>
          <cell r="F2800">
            <v>42428</v>
          </cell>
          <cell r="G2800">
            <v>42621</v>
          </cell>
          <cell r="H2800">
            <v>49732</v>
          </cell>
          <cell r="I2800" t="str">
            <v>19 years, 5 months, 19 days</v>
          </cell>
          <cell r="J2800" t="str">
            <v>Renewables</v>
          </cell>
          <cell r="K2800" t="str">
            <v>Solar (Rooftop)</v>
          </cell>
          <cell r="L2800" t="str">
            <v>Solar</v>
          </cell>
          <cell r="M2800" t="str">
            <v>Dx</v>
          </cell>
          <cell r="N2800" t="str">
            <v>Listowel</v>
          </cell>
          <cell r="O2800" t="str">
            <v>Perth</v>
          </cell>
          <cell r="P2800" t="str">
            <v>Southwest</v>
          </cell>
        </row>
        <row r="2801">
          <cell r="C2801" t="str">
            <v>Solexica - 12 Fisherman</v>
          </cell>
          <cell r="D2801" t="str">
            <v>Solexica Solar Brampton GP</v>
          </cell>
          <cell r="E2801" t="str">
            <v>CO</v>
          </cell>
          <cell r="F2801">
            <v>42666</v>
          </cell>
          <cell r="G2801">
            <v>42830</v>
          </cell>
          <cell r="H2801">
            <v>49970</v>
          </cell>
          <cell r="I2801" t="str">
            <v>19 years, 6 months, 17 days</v>
          </cell>
          <cell r="J2801" t="str">
            <v>Renewables</v>
          </cell>
          <cell r="K2801" t="str">
            <v>Solar (Rooftop)</v>
          </cell>
          <cell r="L2801" t="str">
            <v>Solar</v>
          </cell>
          <cell r="M2801" t="str">
            <v>Dx</v>
          </cell>
          <cell r="N2801" t="str">
            <v>Brampton</v>
          </cell>
          <cell r="O2801" t="str">
            <v>Peel</v>
          </cell>
          <cell r="P2801" t="str">
            <v>Toronto</v>
          </cell>
        </row>
        <row r="2802">
          <cell r="C2802" t="str">
            <v>SPN 445</v>
          </cell>
          <cell r="D2802" t="str">
            <v>SPN LP 7</v>
          </cell>
          <cell r="E2802" t="str">
            <v>CO</v>
          </cell>
          <cell r="F2802">
            <v>42659</v>
          </cell>
          <cell r="G2802">
            <v>42843</v>
          </cell>
          <cell r="H2802">
            <v>49963</v>
          </cell>
          <cell r="I2802" t="str">
            <v>19 years, 5 months, 27 days</v>
          </cell>
          <cell r="J2802" t="str">
            <v>Renewables</v>
          </cell>
          <cell r="K2802" t="str">
            <v>Solar (Rooftop)</v>
          </cell>
          <cell r="L2802" t="str">
            <v>Solar</v>
          </cell>
          <cell r="M2802" t="str">
            <v>Dx</v>
          </cell>
          <cell r="N2802" t="str">
            <v>Aurora</v>
          </cell>
          <cell r="O2802" t="str">
            <v>York</v>
          </cell>
          <cell r="P2802" t="str">
            <v>Essa</v>
          </cell>
        </row>
        <row r="2803">
          <cell r="C2803" t="str">
            <v>QPA Grd 2</v>
          </cell>
          <cell r="D2803" t="str">
            <v>ME10 2012 LP</v>
          </cell>
          <cell r="E2803" t="str">
            <v>CO</v>
          </cell>
          <cell r="F2803">
            <v>42981</v>
          </cell>
          <cell r="G2803">
            <v>42865</v>
          </cell>
          <cell r="H2803">
            <v>50169</v>
          </cell>
          <cell r="I2803" t="str">
            <v>19 years, 11 months, 29 days</v>
          </cell>
          <cell r="J2803" t="str">
            <v>Renewables</v>
          </cell>
          <cell r="K2803" t="str">
            <v>Solar (Ground Mounted)</v>
          </cell>
          <cell r="L2803" t="str">
            <v>Solar</v>
          </cell>
          <cell r="M2803" t="str">
            <v>Dx</v>
          </cell>
          <cell r="N2803" t="str">
            <v>Granton</v>
          </cell>
          <cell r="O2803" t="str">
            <v>Middlesex</v>
          </cell>
          <cell r="P2803" t="str">
            <v>West</v>
          </cell>
        </row>
        <row r="2804">
          <cell r="C2804" t="str">
            <v>P128</v>
          </cell>
          <cell r="D2804" t="str">
            <v>Reliant First Nation Limited Partnership</v>
          </cell>
          <cell r="E2804" t="str">
            <v>CO</v>
          </cell>
          <cell r="F2804">
            <v>42987</v>
          </cell>
          <cell r="G2804">
            <v>43152</v>
          </cell>
          <cell r="H2804">
            <v>50291</v>
          </cell>
          <cell r="I2804" t="str">
            <v>19 years, 6 months, 18 days</v>
          </cell>
          <cell r="J2804" t="str">
            <v>Renewables</v>
          </cell>
          <cell r="K2804" t="str">
            <v>Solar (Rooftop)</v>
          </cell>
          <cell r="L2804" t="str">
            <v>Solar</v>
          </cell>
          <cell r="M2804" t="str">
            <v>Dx</v>
          </cell>
          <cell r="N2804" t="str">
            <v>Brampton</v>
          </cell>
          <cell r="O2804" t="str">
            <v>Peel</v>
          </cell>
          <cell r="P2804" t="str">
            <v>Toronto</v>
          </cell>
        </row>
        <row r="2805">
          <cell r="C2805" t="str">
            <v>Kanata Recreation Complex</v>
          </cell>
          <cell r="D2805" t="str">
            <v>Hydro Ottawa Holding Inc.</v>
          </cell>
          <cell r="E2805" t="str">
            <v>CO</v>
          </cell>
          <cell r="F2805">
            <v>42445</v>
          </cell>
          <cell r="G2805">
            <v>42566</v>
          </cell>
          <cell r="H2805">
            <v>49749</v>
          </cell>
          <cell r="I2805" t="str">
            <v>19 years, 8 months, 0 days</v>
          </cell>
          <cell r="J2805" t="str">
            <v>Renewables</v>
          </cell>
          <cell r="K2805" t="str">
            <v>Solar (Rooftop)</v>
          </cell>
          <cell r="L2805" t="str">
            <v>Solar</v>
          </cell>
          <cell r="M2805" t="str">
            <v>Dx</v>
          </cell>
          <cell r="N2805" t="str">
            <v>Ottawa</v>
          </cell>
          <cell r="O2805" t="str">
            <v>Ottawa</v>
          </cell>
          <cell r="P2805" t="str">
            <v>Ottawa</v>
          </cell>
        </row>
        <row r="2806">
          <cell r="C2806" t="str">
            <v>Grisdale</v>
          </cell>
          <cell r="D2806" t="str">
            <v>QS6 2012 LP</v>
          </cell>
          <cell r="E2806" t="str">
            <v>CO</v>
          </cell>
          <cell r="F2806">
            <v>42428</v>
          </cell>
          <cell r="G2806">
            <v>42409</v>
          </cell>
          <cell r="H2806">
            <v>49713</v>
          </cell>
          <cell r="I2806" t="str">
            <v>19 years, 11 months, 30 days</v>
          </cell>
          <cell r="J2806" t="str">
            <v>Renewables</v>
          </cell>
          <cell r="K2806" t="str">
            <v>Solar (Rooftop)</v>
          </cell>
          <cell r="L2806" t="str">
            <v>Solar</v>
          </cell>
          <cell r="M2806" t="str">
            <v>Dx</v>
          </cell>
          <cell r="N2806" t="str">
            <v>Hamilton</v>
          </cell>
          <cell r="O2806" t="str">
            <v>Hamilton</v>
          </cell>
          <cell r="P2806" t="str">
            <v>Southwest</v>
          </cell>
        </row>
        <row r="2807">
          <cell r="C2807" t="str">
            <v>MEL-311 BOWES</v>
          </cell>
          <cell r="D2807" t="str">
            <v>2391395 Ontario Inc.</v>
          </cell>
          <cell r="E2807" t="str">
            <v>CO</v>
          </cell>
          <cell r="F2807">
            <v>42664</v>
          </cell>
          <cell r="G2807">
            <v>42802</v>
          </cell>
          <cell r="H2807">
            <v>49968</v>
          </cell>
          <cell r="I2807" t="str">
            <v>19 years, 7 months, 12 days</v>
          </cell>
          <cell r="J2807" t="str">
            <v>Renewables</v>
          </cell>
          <cell r="K2807" t="str">
            <v>Solar (Rooftop)</v>
          </cell>
          <cell r="L2807" t="str">
            <v>Solar</v>
          </cell>
          <cell r="M2807" t="str">
            <v>Dx</v>
          </cell>
          <cell r="N2807" t="str">
            <v>Concord</v>
          </cell>
          <cell r="O2807" t="str">
            <v>York</v>
          </cell>
          <cell r="P2807" t="str">
            <v>Toronto</v>
          </cell>
        </row>
        <row r="2808">
          <cell r="C2808" t="str">
            <v>Kelly South</v>
          </cell>
          <cell r="D2808" t="str">
            <v>Peterborough Solar Projects Corporation</v>
          </cell>
          <cell r="E2808" t="str">
            <v>CO</v>
          </cell>
          <cell r="F2808">
            <v>43200</v>
          </cell>
          <cell r="G2808">
            <v>43614</v>
          </cell>
          <cell r="H2808">
            <v>50504</v>
          </cell>
          <cell r="I2808" t="str">
            <v>18 years, 10 months, 11 days</v>
          </cell>
          <cell r="J2808" t="str">
            <v>Renewables</v>
          </cell>
          <cell r="K2808" t="str">
            <v>Solar (Ground Mounted)</v>
          </cell>
          <cell r="L2808" t="str">
            <v>Solar</v>
          </cell>
          <cell r="M2808" t="str">
            <v>Dx</v>
          </cell>
          <cell r="N2808" t="str">
            <v>Bancroft</v>
          </cell>
          <cell r="O2808" t="str">
            <v>Hastings</v>
          </cell>
          <cell r="P2808" t="str">
            <v>East</v>
          </cell>
        </row>
        <row r="2809">
          <cell r="C2809" t="str">
            <v>Cummer CC</v>
          </cell>
          <cell r="D2809" t="str">
            <v>City of Toronto</v>
          </cell>
          <cell r="E2809" t="str">
            <v>CO</v>
          </cell>
          <cell r="F2809">
            <v>42432</v>
          </cell>
          <cell r="G2809">
            <v>42419</v>
          </cell>
          <cell r="H2809">
            <v>49723</v>
          </cell>
          <cell r="I2809" t="str">
            <v>19 years, 11 months, 30 days</v>
          </cell>
          <cell r="J2809" t="str">
            <v>Renewables</v>
          </cell>
          <cell r="K2809" t="str">
            <v>Solar (Rooftop)</v>
          </cell>
          <cell r="L2809" t="str">
            <v>Solar</v>
          </cell>
          <cell r="M2809" t="str">
            <v>Dx</v>
          </cell>
          <cell r="N2809" t="str">
            <v>Toronto</v>
          </cell>
          <cell r="O2809" t="str">
            <v>Toronto</v>
          </cell>
          <cell r="P2809" t="str">
            <v>Toronto</v>
          </cell>
        </row>
        <row r="2810">
          <cell r="C2810" t="str">
            <v>SunEdison ON-13-0108</v>
          </cell>
          <cell r="D2810" t="str">
            <v>Solar Provider Canada Power Health LP</v>
          </cell>
          <cell r="E2810" t="str">
            <v>CO</v>
          </cell>
          <cell r="F2810">
            <v>42447</v>
          </cell>
          <cell r="G2810">
            <v>42622</v>
          </cell>
          <cell r="H2810">
            <v>49751</v>
          </cell>
          <cell r="I2810" t="str">
            <v>19 years, 6 months, 8 days</v>
          </cell>
          <cell r="J2810" t="str">
            <v>Renewables</v>
          </cell>
          <cell r="K2810" t="str">
            <v>Solar (Rooftop)</v>
          </cell>
          <cell r="L2810" t="str">
            <v>Solar</v>
          </cell>
          <cell r="M2810" t="str">
            <v>Dx</v>
          </cell>
          <cell r="N2810" t="str">
            <v>Hamilton</v>
          </cell>
          <cell r="O2810" t="str">
            <v>Hamilton</v>
          </cell>
          <cell r="P2810" t="str">
            <v>Southwest</v>
          </cell>
        </row>
        <row r="2811">
          <cell r="C2811" t="str">
            <v>SunEdison ON-11-0623</v>
          </cell>
          <cell r="D2811" t="str">
            <v>Solar Provider Canada Power Health LP</v>
          </cell>
          <cell r="E2811" t="str">
            <v>CO</v>
          </cell>
          <cell r="F2811">
            <v>42980</v>
          </cell>
          <cell r="G2811">
            <v>42689</v>
          </cell>
          <cell r="H2811">
            <v>49993</v>
          </cell>
          <cell r="I2811" t="str">
            <v>19 years, 11 months, 30 days</v>
          </cell>
          <cell r="J2811" t="str">
            <v>Renewables</v>
          </cell>
          <cell r="K2811" t="str">
            <v>Solar (Ground Mounted)</v>
          </cell>
          <cell r="L2811" t="str">
            <v>Solar</v>
          </cell>
          <cell r="M2811" t="str">
            <v>Dx</v>
          </cell>
          <cell r="N2811" t="str">
            <v>Orillia</v>
          </cell>
          <cell r="O2811" t="str">
            <v>Simcoe</v>
          </cell>
          <cell r="P2811" t="str">
            <v>Essa</v>
          </cell>
        </row>
        <row r="2812">
          <cell r="C2812" t="str">
            <v>Salford Landfill - Bio-Solid Building</v>
          </cell>
          <cell r="D2812" t="str">
            <v>County of Oxford</v>
          </cell>
          <cell r="E2812" t="str">
            <v>CO</v>
          </cell>
          <cell r="F2812">
            <v>42657</v>
          </cell>
          <cell r="G2812">
            <v>42793</v>
          </cell>
          <cell r="H2812">
            <v>49961</v>
          </cell>
          <cell r="I2812" t="str">
            <v>19 years, 7 months, 16 days</v>
          </cell>
          <cell r="J2812" t="str">
            <v>Renewables</v>
          </cell>
          <cell r="K2812" t="str">
            <v>Solar (Rooftop)</v>
          </cell>
          <cell r="L2812" t="str">
            <v>Solar</v>
          </cell>
          <cell r="M2812" t="str">
            <v>Dx</v>
          </cell>
          <cell r="N2812" t="str">
            <v>Salford</v>
          </cell>
          <cell r="O2812" t="str">
            <v>Oxford</v>
          </cell>
          <cell r="P2812" t="str">
            <v>Southwest</v>
          </cell>
        </row>
        <row r="2813">
          <cell r="C2813" t="str">
            <v>P014</v>
          </cell>
          <cell r="D2813" t="str">
            <v>Reliant First Nation Limited Partnership</v>
          </cell>
          <cell r="E2813" t="str">
            <v>CO</v>
          </cell>
          <cell r="F2813">
            <v>42987</v>
          </cell>
          <cell r="G2813">
            <v>42800</v>
          </cell>
          <cell r="H2813">
            <v>50104</v>
          </cell>
          <cell r="I2813" t="str">
            <v>19 years, 11 months, 27 days</v>
          </cell>
          <cell r="J2813" t="str">
            <v>Renewables</v>
          </cell>
          <cell r="K2813" t="str">
            <v>Solar (Rooftop)</v>
          </cell>
          <cell r="L2813" t="str">
            <v>Solar</v>
          </cell>
          <cell r="M2813" t="str">
            <v>Dx</v>
          </cell>
          <cell r="N2813" t="str">
            <v>Mississauga</v>
          </cell>
          <cell r="O2813" t="str">
            <v>Peel</v>
          </cell>
          <cell r="P2813" t="str">
            <v>Toronto</v>
          </cell>
        </row>
        <row r="2814">
          <cell r="C2814" t="str">
            <v>Paquette</v>
          </cell>
          <cell r="D2814" t="str">
            <v>Peterborough Solar Projects Corporation</v>
          </cell>
          <cell r="E2814" t="str">
            <v>CO</v>
          </cell>
          <cell r="F2814">
            <v>42981</v>
          </cell>
          <cell r="G2814">
            <v>43377</v>
          </cell>
          <cell r="H2814">
            <v>50285</v>
          </cell>
          <cell r="I2814" t="str">
            <v>18 years, 10 months, 29 days</v>
          </cell>
          <cell r="J2814" t="str">
            <v>Renewables</v>
          </cell>
          <cell r="K2814" t="str">
            <v>Solar (Ground Mounted)</v>
          </cell>
          <cell r="L2814" t="str">
            <v>Solar</v>
          </cell>
          <cell r="M2814" t="str">
            <v>Dx</v>
          </cell>
          <cell r="N2814" t="str">
            <v>Coe Hill</v>
          </cell>
          <cell r="O2814" t="str">
            <v>Hastings</v>
          </cell>
          <cell r="P2814" t="str">
            <v>East</v>
          </cell>
        </row>
        <row r="2815">
          <cell r="C2815" t="str">
            <v>QPA Roof 1</v>
          </cell>
          <cell r="D2815" t="str">
            <v>QS4 2012 LP</v>
          </cell>
          <cell r="E2815" t="str">
            <v>CO</v>
          </cell>
          <cell r="F2815">
            <v>42428</v>
          </cell>
          <cell r="G2815">
            <v>42359</v>
          </cell>
          <cell r="H2815">
            <v>49663</v>
          </cell>
          <cell r="I2815" t="str">
            <v>19 years, 11 months, 29 days</v>
          </cell>
          <cell r="J2815" t="str">
            <v>Renewables</v>
          </cell>
          <cell r="K2815" t="str">
            <v>Solar (Rooftop)</v>
          </cell>
          <cell r="L2815" t="str">
            <v>Solar</v>
          </cell>
          <cell r="M2815" t="str">
            <v>Dx</v>
          </cell>
          <cell r="N2815" t="str">
            <v>Lucan</v>
          </cell>
          <cell r="O2815" t="str">
            <v>Middlesex</v>
          </cell>
          <cell r="P2815" t="str">
            <v>Southwest</v>
          </cell>
        </row>
        <row r="2816">
          <cell r="C2816" t="str">
            <v>NSPG Fixed 300</v>
          </cell>
          <cell r="D2816" t="str">
            <v>NORTH SHORE POWER GROUP INC.</v>
          </cell>
          <cell r="E2816" t="str">
            <v>CO</v>
          </cell>
          <cell r="F2816">
            <v>42994</v>
          </cell>
          <cell r="G2816">
            <v>43004</v>
          </cell>
          <cell r="H2816">
            <v>50298</v>
          </cell>
          <cell r="I2816" t="str">
            <v>19 years, 11 months, 20 days</v>
          </cell>
          <cell r="J2816" t="str">
            <v>Renewables</v>
          </cell>
          <cell r="K2816" t="str">
            <v>Solar (Ground Mounted)</v>
          </cell>
          <cell r="L2816" t="str">
            <v>Solar</v>
          </cell>
          <cell r="M2816" t="str">
            <v>Dx</v>
          </cell>
          <cell r="N2816" t="str">
            <v>Blind River</v>
          </cell>
          <cell r="O2816" t="str">
            <v>Algoma</v>
          </cell>
          <cell r="P2816" t="str">
            <v>Northeast</v>
          </cell>
        </row>
        <row r="2817">
          <cell r="C2817" t="str">
            <v>P191</v>
          </cell>
          <cell r="D2817" t="str">
            <v>Reliant First Nation Limited Partnership</v>
          </cell>
          <cell r="E2817" t="str">
            <v>CO</v>
          </cell>
          <cell r="F2817">
            <v>42989</v>
          </cell>
          <cell r="G2817">
            <v>42853</v>
          </cell>
          <cell r="H2817">
            <v>50157</v>
          </cell>
          <cell r="I2817" t="str">
            <v>19 years, 11 months, 30 days</v>
          </cell>
          <cell r="J2817" t="str">
            <v>Renewables</v>
          </cell>
          <cell r="K2817" t="str">
            <v>Solar (Rooftop)</v>
          </cell>
          <cell r="L2817" t="str">
            <v>Solar</v>
          </cell>
          <cell r="M2817" t="str">
            <v>Dx</v>
          </cell>
          <cell r="N2817" t="str">
            <v>Brampton</v>
          </cell>
          <cell r="O2817" t="str">
            <v>Peel</v>
          </cell>
          <cell r="P2817" t="str">
            <v>Toronto</v>
          </cell>
        </row>
        <row r="2818">
          <cell r="C2818" t="str">
            <v>CITYVIEW SOLAR</v>
          </cell>
          <cell r="D2818" t="str">
            <v>DAVID GORDON INNES</v>
          </cell>
          <cell r="E2818" t="str">
            <v>CO</v>
          </cell>
          <cell r="F2818">
            <v>42609</v>
          </cell>
          <cell r="G2818">
            <v>42523</v>
          </cell>
          <cell r="H2818">
            <v>49827</v>
          </cell>
          <cell r="I2818" t="str">
            <v>19 years, 11 months, 30 days</v>
          </cell>
          <cell r="J2818" t="str">
            <v>Renewables</v>
          </cell>
          <cell r="K2818" t="str">
            <v>Solar (Rooftop)</v>
          </cell>
          <cell r="L2818" t="str">
            <v>Solar</v>
          </cell>
          <cell r="M2818" t="str">
            <v>Dx</v>
          </cell>
          <cell r="N2818" t="str">
            <v>Beachville</v>
          </cell>
          <cell r="O2818" t="str">
            <v>Oxford</v>
          </cell>
          <cell r="P2818" t="str">
            <v>Southwest</v>
          </cell>
        </row>
        <row r="2819">
          <cell r="C2819" t="str">
            <v>Erindale Terrace Rooftop Solar PV Project</v>
          </cell>
          <cell r="D2819" t="str">
            <v>The Regional Municipality of Peel</v>
          </cell>
          <cell r="E2819" t="str">
            <v>CO</v>
          </cell>
          <cell r="F2819">
            <v>42447</v>
          </cell>
          <cell r="G2819">
            <v>42443</v>
          </cell>
          <cell r="H2819">
            <v>49747</v>
          </cell>
          <cell r="I2819" t="str">
            <v>19 years, 11 months, 28 days</v>
          </cell>
          <cell r="J2819" t="str">
            <v>Renewables</v>
          </cell>
          <cell r="K2819" t="str">
            <v>Solar (Rooftop)</v>
          </cell>
          <cell r="L2819" t="str">
            <v>Solar</v>
          </cell>
          <cell r="M2819" t="str">
            <v>Dx</v>
          </cell>
          <cell r="N2819" t="str">
            <v>Mississauga</v>
          </cell>
          <cell r="O2819" t="str">
            <v>Peel</v>
          </cell>
          <cell r="P2819" t="str">
            <v>Toronto</v>
          </cell>
        </row>
        <row r="2820">
          <cell r="C2820" t="str">
            <v>SunEdison ON-13-0109</v>
          </cell>
          <cell r="D2820" t="str">
            <v>Solar Provider Canada Power Health LP</v>
          </cell>
          <cell r="E2820" t="str">
            <v>CO</v>
          </cell>
          <cell r="F2820">
            <v>42447</v>
          </cell>
          <cell r="G2820">
            <v>42628</v>
          </cell>
          <cell r="H2820">
            <v>49751</v>
          </cell>
          <cell r="I2820" t="str">
            <v>19 years, 6 months, 2 days</v>
          </cell>
          <cell r="J2820" t="str">
            <v>Renewables</v>
          </cell>
          <cell r="K2820" t="str">
            <v>Solar (Rooftop)</v>
          </cell>
          <cell r="L2820" t="str">
            <v>Solar</v>
          </cell>
          <cell r="M2820" t="str">
            <v>Dx</v>
          </cell>
          <cell r="N2820" t="str">
            <v>Hamilton</v>
          </cell>
          <cell r="O2820" t="str">
            <v>Hamilton</v>
          </cell>
          <cell r="P2820" t="str">
            <v>Southwest</v>
          </cell>
        </row>
        <row r="2821">
          <cell r="C2821" t="str">
            <v>Cook Property</v>
          </cell>
          <cell r="D2821" t="str">
            <v>Biidaaske Inc.</v>
          </cell>
          <cell r="E2821" t="str">
            <v>CO</v>
          </cell>
          <cell r="F2821">
            <v>43200</v>
          </cell>
          <cell r="G2821">
            <v>43362</v>
          </cell>
          <cell r="H2821">
            <v>50504</v>
          </cell>
          <cell r="I2821" t="str">
            <v>19 years, 6 months, 21 days</v>
          </cell>
          <cell r="J2821" t="str">
            <v>Renewables</v>
          </cell>
          <cell r="K2821" t="str">
            <v>Solar (Ground Mounted)</v>
          </cell>
          <cell r="L2821" t="str">
            <v>Solar</v>
          </cell>
          <cell r="M2821" t="str">
            <v>Dx</v>
          </cell>
          <cell r="N2821" t="str">
            <v>Tara</v>
          </cell>
          <cell r="O2821" t="str">
            <v>Bruce</v>
          </cell>
          <cell r="P2821" t="str">
            <v>Southwest</v>
          </cell>
        </row>
        <row r="2822">
          <cell r="C2822" t="str">
            <v>Peterborough Utilities Ashburnham Warehouse</v>
          </cell>
          <cell r="D2822" t="str">
            <v>Peterborough Solar Projects Corporation</v>
          </cell>
          <cell r="E2822" t="str">
            <v>CO</v>
          </cell>
          <cell r="F2822">
            <v>42659</v>
          </cell>
          <cell r="G2822">
            <v>42622</v>
          </cell>
          <cell r="H2822">
            <v>49926</v>
          </cell>
          <cell r="I2822" t="str">
            <v>19 years, 11 months, 30 days</v>
          </cell>
          <cell r="J2822" t="str">
            <v>Renewables</v>
          </cell>
          <cell r="K2822" t="str">
            <v>Solar (Rooftop)</v>
          </cell>
          <cell r="L2822" t="str">
            <v>Solar</v>
          </cell>
          <cell r="M2822" t="str">
            <v>Dx</v>
          </cell>
          <cell r="N2822" t="str">
            <v>Peterborough</v>
          </cell>
          <cell r="O2822" t="str">
            <v>Peterborough</v>
          </cell>
          <cell r="P2822" t="str">
            <v>East</v>
          </cell>
        </row>
        <row r="2823">
          <cell r="C2823" t="str">
            <v>Filmore_10021006</v>
          </cell>
          <cell r="D2823" t="str">
            <v>Skyline Private Opportunities Corp.</v>
          </cell>
          <cell r="E2823" t="str">
            <v>CO</v>
          </cell>
          <cell r="F2823">
            <v>42609</v>
          </cell>
          <cell r="G2823">
            <v>42696</v>
          </cell>
          <cell r="H2823">
            <v>49913</v>
          </cell>
          <cell r="I2823" t="str">
            <v>19 years, 9 months, 4 days</v>
          </cell>
          <cell r="J2823" t="str">
            <v>Renewables</v>
          </cell>
          <cell r="K2823" t="str">
            <v>Solar (Rooftop)</v>
          </cell>
          <cell r="L2823" t="str">
            <v>Solar</v>
          </cell>
          <cell r="M2823" t="str">
            <v>Dx</v>
          </cell>
          <cell r="N2823" t="str">
            <v>Kearney</v>
          </cell>
          <cell r="O2823" t="str">
            <v>Parry Sound</v>
          </cell>
          <cell r="P2823" t="str">
            <v>Essa</v>
          </cell>
        </row>
        <row r="2824">
          <cell r="C2824" t="str">
            <v>Ennismore Arena</v>
          </cell>
          <cell r="D2824" t="str">
            <v>The Corporation of the Township of Selwyn</v>
          </cell>
          <cell r="E2824" t="str">
            <v>CO</v>
          </cell>
          <cell r="F2824">
            <v>42432</v>
          </cell>
          <cell r="G2824">
            <v>42559</v>
          </cell>
          <cell r="H2824">
            <v>49736</v>
          </cell>
          <cell r="I2824" t="str">
            <v>19 years, 7 months, 23 days</v>
          </cell>
          <cell r="J2824" t="str">
            <v>Renewables</v>
          </cell>
          <cell r="K2824" t="str">
            <v>Solar (Rooftop)</v>
          </cell>
          <cell r="L2824" t="str">
            <v>Solar</v>
          </cell>
          <cell r="M2824" t="str">
            <v>Dx</v>
          </cell>
          <cell r="N2824" t="str">
            <v>Ennismore</v>
          </cell>
          <cell r="O2824" t="str">
            <v>Peterborough</v>
          </cell>
          <cell r="P2824" t="str">
            <v>East</v>
          </cell>
        </row>
        <row r="2825">
          <cell r="C2825" t="str">
            <v>SPN 540</v>
          </cell>
          <cell r="D2825" t="str">
            <v>SPN LP 3</v>
          </cell>
          <cell r="E2825" t="str">
            <v>CO</v>
          </cell>
          <cell r="F2825">
            <v>42429</v>
          </cell>
          <cell r="G2825">
            <v>42461</v>
          </cell>
          <cell r="H2825">
            <v>49733</v>
          </cell>
          <cell r="I2825" t="str">
            <v>19 years, 10 months, 27 days</v>
          </cell>
          <cell r="J2825" t="str">
            <v>Renewables</v>
          </cell>
          <cell r="K2825" t="str">
            <v>Solar (Rooftop)</v>
          </cell>
          <cell r="L2825" t="str">
            <v>Solar</v>
          </cell>
          <cell r="M2825" t="str">
            <v>Dx</v>
          </cell>
          <cell r="N2825" t="str">
            <v>Tilbury</v>
          </cell>
          <cell r="O2825" t="str">
            <v>Chatham-Kent</v>
          </cell>
          <cell r="P2825" t="str">
            <v>West</v>
          </cell>
        </row>
        <row r="2826">
          <cell r="C2826" t="str">
            <v>111 Shearson Cres 2</v>
          </cell>
          <cell r="D2826" t="str">
            <v>2356925 ONTARIO INC.</v>
          </cell>
          <cell r="E2826" t="str">
            <v>CO</v>
          </cell>
          <cell r="F2826">
            <v>42428</v>
          </cell>
          <cell r="G2826">
            <v>42500</v>
          </cell>
          <cell r="H2826">
            <v>49732</v>
          </cell>
          <cell r="I2826" t="str">
            <v>19 years, 9 months, 17 days</v>
          </cell>
          <cell r="J2826" t="str">
            <v>Renewables</v>
          </cell>
          <cell r="K2826" t="str">
            <v>Solar (Rooftop)</v>
          </cell>
          <cell r="L2826" t="str">
            <v>Solar</v>
          </cell>
          <cell r="M2826" t="str">
            <v>Dx</v>
          </cell>
          <cell r="N2826" t="str">
            <v>Cambridge</v>
          </cell>
          <cell r="O2826" t="str">
            <v>Waterloo</v>
          </cell>
          <cell r="P2826" t="str">
            <v>Southwest</v>
          </cell>
        </row>
        <row r="2827">
          <cell r="C2827" t="str">
            <v>P216</v>
          </cell>
          <cell r="D2827" t="str">
            <v>Reliant First Nation Limited Partnership</v>
          </cell>
          <cell r="E2827" t="str">
            <v>CO</v>
          </cell>
          <cell r="F2827">
            <v>42987</v>
          </cell>
          <cell r="G2827">
            <v>43152</v>
          </cell>
          <cell r="H2827">
            <v>50291</v>
          </cell>
          <cell r="I2827" t="str">
            <v>19 years, 6 months, 18 days</v>
          </cell>
          <cell r="J2827" t="str">
            <v>Renewables</v>
          </cell>
          <cell r="K2827" t="str">
            <v>Solar (Rooftop)</v>
          </cell>
          <cell r="L2827" t="str">
            <v>Solar</v>
          </cell>
          <cell r="M2827" t="str">
            <v>Dx</v>
          </cell>
          <cell r="N2827" t="str">
            <v>Brampton</v>
          </cell>
          <cell r="O2827" t="str">
            <v>Peel</v>
          </cell>
          <cell r="P2827" t="str">
            <v>Toronto</v>
          </cell>
        </row>
        <row r="2828">
          <cell r="C2828" t="str">
            <v>GE012</v>
          </cell>
          <cell r="D2828" t="str">
            <v>SIF #2 Reliant Essex LP</v>
          </cell>
          <cell r="E2828" t="str">
            <v>CO</v>
          </cell>
          <cell r="F2828">
            <v>42438</v>
          </cell>
          <cell r="G2828">
            <v>42667</v>
          </cell>
          <cell r="H2828">
            <v>49742</v>
          </cell>
          <cell r="I2828" t="str">
            <v>19 years, 4 months, 13 days</v>
          </cell>
          <cell r="J2828" t="str">
            <v>Renewables</v>
          </cell>
          <cell r="K2828" t="str">
            <v>Solar (Rooftop)</v>
          </cell>
          <cell r="L2828" t="str">
            <v>Solar</v>
          </cell>
          <cell r="M2828" t="str">
            <v>Dx</v>
          </cell>
          <cell r="N2828" t="str">
            <v>Windsor</v>
          </cell>
          <cell r="O2828" t="str">
            <v>Essex</v>
          </cell>
          <cell r="P2828" t="str">
            <v>West</v>
          </cell>
        </row>
        <row r="2829">
          <cell r="C2829" t="str">
            <v>McKinley_10021043v2</v>
          </cell>
          <cell r="D2829" t="str">
            <v>Skyline Private Opportunities Corp.</v>
          </cell>
          <cell r="E2829" t="str">
            <v>CO</v>
          </cell>
          <cell r="F2829">
            <v>42609</v>
          </cell>
          <cell r="G2829">
            <v>42716</v>
          </cell>
          <cell r="H2829">
            <v>49913</v>
          </cell>
          <cell r="I2829" t="str">
            <v>19 years, 8 months, 14 days</v>
          </cell>
          <cell r="J2829" t="str">
            <v>Renewables</v>
          </cell>
          <cell r="K2829" t="str">
            <v>Solar (Rooftop)</v>
          </cell>
          <cell r="L2829" t="str">
            <v>Solar</v>
          </cell>
          <cell r="M2829" t="str">
            <v>Dx</v>
          </cell>
          <cell r="N2829" t="str">
            <v>Oldcastle</v>
          </cell>
          <cell r="O2829" t="str">
            <v>Essex</v>
          </cell>
          <cell r="P2829" t="str">
            <v>West</v>
          </cell>
        </row>
        <row r="2830">
          <cell r="C2830" t="str">
            <v>P036</v>
          </cell>
          <cell r="D2830" t="str">
            <v>Reliant First Nation Limited Partnership</v>
          </cell>
          <cell r="E2830" t="str">
            <v>CO</v>
          </cell>
          <cell r="F2830">
            <v>42994</v>
          </cell>
          <cell r="G2830">
            <v>43084</v>
          </cell>
          <cell r="H2830">
            <v>50298</v>
          </cell>
          <cell r="I2830" t="str">
            <v>19 years, 9 months, 0 days</v>
          </cell>
          <cell r="J2830" t="str">
            <v>Renewables</v>
          </cell>
          <cell r="K2830" t="str">
            <v>Solar (Rooftop)</v>
          </cell>
          <cell r="L2830" t="str">
            <v>Solar</v>
          </cell>
          <cell r="M2830" t="str">
            <v>Dx</v>
          </cell>
          <cell r="N2830" t="str">
            <v>Mississauga</v>
          </cell>
          <cell r="O2830" t="str">
            <v>Peel</v>
          </cell>
          <cell r="P2830" t="str">
            <v>Toronto</v>
          </cell>
        </row>
        <row r="2831">
          <cell r="C2831" t="str">
            <v>P210</v>
          </cell>
          <cell r="D2831" t="str">
            <v>Reliant First Nation Limited Partnership</v>
          </cell>
          <cell r="E2831" t="str">
            <v>CO</v>
          </cell>
          <cell r="F2831">
            <v>42989</v>
          </cell>
          <cell r="G2831">
            <v>43119</v>
          </cell>
          <cell r="H2831">
            <v>50293</v>
          </cell>
          <cell r="I2831" t="str">
            <v>19 years, 7 months, 22 days</v>
          </cell>
          <cell r="J2831" t="str">
            <v>Renewables</v>
          </cell>
          <cell r="K2831" t="str">
            <v>Solar (Rooftop)</v>
          </cell>
          <cell r="L2831" t="str">
            <v>Solar</v>
          </cell>
          <cell r="M2831" t="str">
            <v>Dx</v>
          </cell>
          <cell r="N2831" t="str">
            <v>Brampton</v>
          </cell>
          <cell r="O2831" t="str">
            <v>Peel</v>
          </cell>
          <cell r="P2831" t="str">
            <v>Toronto</v>
          </cell>
        </row>
        <row r="2832">
          <cell r="C2832" t="str">
            <v>SPN 491</v>
          </cell>
          <cell r="D2832" t="str">
            <v>LDREC SPN LP</v>
          </cell>
          <cell r="E2832" t="str">
            <v>CO</v>
          </cell>
          <cell r="F2832">
            <v>42653</v>
          </cell>
          <cell r="G2832">
            <v>42681</v>
          </cell>
          <cell r="H2832">
            <v>49957</v>
          </cell>
          <cell r="I2832" t="str">
            <v>19 years, 11 months, 2 days</v>
          </cell>
          <cell r="J2832" t="str">
            <v>Renewables</v>
          </cell>
          <cell r="K2832" t="str">
            <v>Solar (Rooftop)</v>
          </cell>
          <cell r="L2832" t="str">
            <v>Solar</v>
          </cell>
          <cell r="M2832" t="str">
            <v>Dx</v>
          </cell>
          <cell r="N2832" t="str">
            <v>London</v>
          </cell>
          <cell r="O2832" t="str">
            <v>Middlesex</v>
          </cell>
          <cell r="P2832" t="str">
            <v>West</v>
          </cell>
        </row>
        <row r="2833">
          <cell r="C2833" t="str">
            <v>SPN 616</v>
          </cell>
          <cell r="D2833" t="str">
            <v>LDREC SPN LP</v>
          </cell>
          <cell r="E2833" t="str">
            <v>CO</v>
          </cell>
          <cell r="F2833">
            <v>42653</v>
          </cell>
          <cell r="G2833">
            <v>42705</v>
          </cell>
          <cell r="H2833">
            <v>49957</v>
          </cell>
          <cell r="I2833" t="str">
            <v>19 years, 10 months, 8 days</v>
          </cell>
          <cell r="J2833" t="str">
            <v>Renewables</v>
          </cell>
          <cell r="K2833" t="str">
            <v>Solar (Rooftop)</v>
          </cell>
          <cell r="L2833" t="str">
            <v>Solar</v>
          </cell>
          <cell r="M2833" t="str">
            <v>Dx</v>
          </cell>
          <cell r="N2833" t="str">
            <v>London</v>
          </cell>
          <cell r="O2833" t="str">
            <v>Middlesex</v>
          </cell>
          <cell r="P2833" t="str">
            <v>West</v>
          </cell>
        </row>
        <row r="2834">
          <cell r="C2834" t="str">
            <v>Grasshopper 100 Ironside</v>
          </cell>
          <cell r="D2834" t="str">
            <v>Grasshopper Solar FIT Projects Inc.</v>
          </cell>
          <cell r="E2834" t="str">
            <v>CO</v>
          </cell>
          <cell r="F2834">
            <v>42609</v>
          </cell>
          <cell r="G2834">
            <v>42446</v>
          </cell>
          <cell r="H2834">
            <v>49750</v>
          </cell>
          <cell r="I2834" t="str">
            <v>19 years, 11 months, 28 days</v>
          </cell>
          <cell r="J2834" t="str">
            <v>Renewables</v>
          </cell>
          <cell r="K2834" t="str">
            <v>Solar (Rooftop)</v>
          </cell>
          <cell r="L2834" t="str">
            <v>Solar</v>
          </cell>
          <cell r="M2834" t="str">
            <v>Dx</v>
          </cell>
          <cell r="N2834" t="str">
            <v>Brampton</v>
          </cell>
          <cell r="O2834" t="str">
            <v>Peel</v>
          </cell>
          <cell r="P2834" t="str">
            <v>Toronto</v>
          </cell>
        </row>
        <row r="2835">
          <cell r="C2835" t="str">
            <v>P091</v>
          </cell>
          <cell r="D2835" t="str">
            <v>Reliant First Nation Limited Partnership</v>
          </cell>
          <cell r="E2835" t="str">
            <v>CO</v>
          </cell>
          <cell r="F2835">
            <v>42994</v>
          </cell>
          <cell r="G2835">
            <v>43145</v>
          </cell>
          <cell r="H2835">
            <v>50298</v>
          </cell>
          <cell r="I2835" t="str">
            <v>19 years, 7 months, 1 days</v>
          </cell>
          <cell r="J2835" t="str">
            <v>Renewables</v>
          </cell>
          <cell r="K2835" t="str">
            <v>Solar (Rooftop)</v>
          </cell>
          <cell r="L2835" t="str">
            <v>Solar</v>
          </cell>
          <cell r="M2835" t="str">
            <v>Dx</v>
          </cell>
          <cell r="N2835" t="str">
            <v>Mississauga</v>
          </cell>
          <cell r="O2835" t="str">
            <v>Peel</v>
          </cell>
          <cell r="P2835" t="str">
            <v>Toronto</v>
          </cell>
        </row>
        <row r="2836">
          <cell r="C2836" t="str">
            <v>Hovey Industries</v>
          </cell>
          <cell r="D2836" t="str">
            <v>Ottawa Renewable Energy Co-operative Inc.</v>
          </cell>
          <cell r="E2836" t="str">
            <v>CO</v>
          </cell>
          <cell r="F2836">
            <v>42428</v>
          </cell>
          <cell r="G2836">
            <v>42187</v>
          </cell>
          <cell r="H2836">
            <v>49491</v>
          </cell>
          <cell r="I2836" t="str">
            <v>19 years, 11 months, 29 days</v>
          </cell>
          <cell r="J2836" t="str">
            <v>Renewables</v>
          </cell>
          <cell r="K2836" t="str">
            <v>Solar (Rooftop)</v>
          </cell>
          <cell r="L2836" t="str">
            <v>Solar</v>
          </cell>
          <cell r="M2836" t="str">
            <v>Dx</v>
          </cell>
          <cell r="N2836" t="str">
            <v>Ottawa</v>
          </cell>
          <cell r="O2836" t="str">
            <v>Ottawa</v>
          </cell>
          <cell r="P2836" t="str">
            <v>Ottawa</v>
          </cell>
        </row>
        <row r="2837">
          <cell r="C2837" t="str">
            <v>Articulated Bus Garage</v>
          </cell>
          <cell r="D2837" t="str">
            <v>Hydro Ottawa Holding Inc.</v>
          </cell>
          <cell r="E2837" t="str">
            <v>CO</v>
          </cell>
          <cell r="F2837">
            <v>42445</v>
          </cell>
          <cell r="G2837">
            <v>42670</v>
          </cell>
          <cell r="H2837">
            <v>49749</v>
          </cell>
          <cell r="I2837" t="str">
            <v>19 years, 4 months, 17 days</v>
          </cell>
          <cell r="J2837" t="str">
            <v>Renewables</v>
          </cell>
          <cell r="K2837" t="str">
            <v>Solar (Rooftop)</v>
          </cell>
          <cell r="L2837" t="str">
            <v>Solar</v>
          </cell>
          <cell r="M2837" t="str">
            <v>Dx</v>
          </cell>
          <cell r="N2837" t="str">
            <v>Ottawa</v>
          </cell>
          <cell r="O2837" t="str">
            <v>Ottawa</v>
          </cell>
          <cell r="P2837" t="str">
            <v>Ottawa</v>
          </cell>
        </row>
        <row r="2838">
          <cell r="C2838" t="str">
            <v>Lot 12 Groundmount</v>
          </cell>
          <cell r="D2838" t="str">
            <v>Zaagate Giizis Energy Inc.</v>
          </cell>
          <cell r="E2838" t="str">
            <v>CO</v>
          </cell>
          <cell r="F2838">
            <v>42980</v>
          </cell>
          <cell r="G2838">
            <v>42829</v>
          </cell>
          <cell r="H2838">
            <v>50133</v>
          </cell>
          <cell r="I2838" t="str">
            <v>19 years, 11 months, 30 days</v>
          </cell>
          <cell r="J2838" t="str">
            <v>Renewables</v>
          </cell>
          <cell r="K2838" t="str">
            <v>Solar (Ground Mounted)</v>
          </cell>
          <cell r="L2838" t="str">
            <v>Solar</v>
          </cell>
          <cell r="M2838" t="str">
            <v>Dx</v>
          </cell>
          <cell r="N2838" t="str">
            <v>Sault Ste. Marie</v>
          </cell>
          <cell r="O2838" t="str">
            <v>Algoma</v>
          </cell>
          <cell r="P2838" t="str">
            <v>Northeast</v>
          </cell>
        </row>
        <row r="2839">
          <cell r="C2839" t="str">
            <v>GreenLife Solar 17</v>
          </cell>
          <cell r="D2839" t="str">
            <v>GreenLife Solar Projects Inc.</v>
          </cell>
          <cell r="E2839" t="str">
            <v>CO</v>
          </cell>
          <cell r="F2839">
            <v>43200</v>
          </cell>
          <cell r="G2839">
            <v>43584</v>
          </cell>
          <cell r="H2839">
            <v>50504</v>
          </cell>
          <cell r="I2839" t="str">
            <v>18 years, 11 months, 11 days</v>
          </cell>
          <cell r="J2839" t="str">
            <v>Renewables</v>
          </cell>
          <cell r="K2839" t="str">
            <v>Solar (Ground Mounted)</v>
          </cell>
          <cell r="L2839" t="str">
            <v>Solar</v>
          </cell>
          <cell r="M2839" t="str">
            <v>Dx</v>
          </cell>
          <cell r="N2839" t="str">
            <v>Lakefield</v>
          </cell>
          <cell r="O2839" t="str">
            <v>Peterborough</v>
          </cell>
          <cell r="P2839" t="str">
            <v>East</v>
          </cell>
        </row>
        <row r="2840">
          <cell r="C2840" t="str">
            <v>P125</v>
          </cell>
          <cell r="D2840" t="str">
            <v>Reliant First Nation Limited Partnership</v>
          </cell>
          <cell r="E2840" t="str">
            <v>CO</v>
          </cell>
          <cell r="F2840">
            <v>42994</v>
          </cell>
          <cell r="G2840">
            <v>43081</v>
          </cell>
          <cell r="H2840">
            <v>50298</v>
          </cell>
          <cell r="I2840" t="str">
            <v>19 years, 9 months, 3 days</v>
          </cell>
          <cell r="J2840" t="str">
            <v>Renewables</v>
          </cell>
          <cell r="K2840" t="str">
            <v>Solar (Rooftop)</v>
          </cell>
          <cell r="L2840" t="str">
            <v>Solar</v>
          </cell>
          <cell r="M2840" t="str">
            <v>Dx</v>
          </cell>
          <cell r="N2840" t="str">
            <v>Mississauga</v>
          </cell>
          <cell r="O2840" t="str">
            <v>Peel</v>
          </cell>
          <cell r="P2840" t="str">
            <v>Southwest</v>
          </cell>
        </row>
        <row r="2841">
          <cell r="C2841" t="str">
            <v>SunEdison ON-11-0198</v>
          </cell>
          <cell r="D2841" t="str">
            <v>GSC Southlake Solar LP</v>
          </cell>
          <cell r="E2841" t="str">
            <v>CO</v>
          </cell>
          <cell r="F2841">
            <v>43211</v>
          </cell>
          <cell r="G2841">
            <v>43759</v>
          </cell>
          <cell r="H2841">
            <v>50515</v>
          </cell>
          <cell r="I2841" t="str">
            <v>18 years, 5 months, 30 days</v>
          </cell>
          <cell r="J2841" t="str">
            <v>Renewables</v>
          </cell>
          <cell r="K2841" t="str">
            <v>Solar (Ground Mounted)</v>
          </cell>
          <cell r="L2841" t="str">
            <v>Solar</v>
          </cell>
          <cell r="M2841" t="str">
            <v>Dx</v>
          </cell>
          <cell r="N2841" t="str">
            <v>Campbellcroft</v>
          </cell>
          <cell r="O2841" t="str">
            <v>Northumberland</v>
          </cell>
          <cell r="P2841" t="str">
            <v>East</v>
          </cell>
        </row>
        <row r="2842">
          <cell r="C2842" t="str">
            <v>P082</v>
          </cell>
          <cell r="D2842" t="str">
            <v>Reliant First Nation Limited Partnership</v>
          </cell>
          <cell r="E2842" t="str">
            <v>CO</v>
          </cell>
          <cell r="F2842">
            <v>42982</v>
          </cell>
          <cell r="G2842">
            <v>43033</v>
          </cell>
          <cell r="H2842">
            <v>50286</v>
          </cell>
          <cell r="I2842" t="str">
            <v>19 years, 10 months, 9 days</v>
          </cell>
          <cell r="J2842" t="str">
            <v>Renewables</v>
          </cell>
          <cell r="K2842" t="str">
            <v>Solar (Rooftop)</v>
          </cell>
          <cell r="L2842" t="str">
            <v>Solar</v>
          </cell>
          <cell r="M2842" t="str">
            <v>Dx</v>
          </cell>
          <cell r="N2842" t="str">
            <v>Mississauga</v>
          </cell>
          <cell r="O2842" t="str">
            <v>Peel</v>
          </cell>
          <cell r="P2842" t="str">
            <v>Toronto</v>
          </cell>
        </row>
        <row r="2843">
          <cell r="C2843" t="str">
            <v>Schlegel LTC Solar</v>
          </cell>
          <cell r="D2843" t="str">
            <v>Schlegel Villages Inc.</v>
          </cell>
          <cell r="E2843" t="str">
            <v>CO</v>
          </cell>
          <cell r="F2843">
            <v>42609</v>
          </cell>
          <cell r="G2843">
            <v>42971</v>
          </cell>
          <cell r="H2843">
            <v>49913</v>
          </cell>
          <cell r="I2843" t="str">
            <v>19 years, 0 months, 2 days</v>
          </cell>
          <cell r="J2843" t="str">
            <v>Renewables</v>
          </cell>
          <cell r="K2843" t="str">
            <v>Solar (Rooftop)</v>
          </cell>
          <cell r="L2843" t="str">
            <v>Solar</v>
          </cell>
          <cell r="M2843" t="str">
            <v>Dx</v>
          </cell>
          <cell r="N2843" t="str">
            <v>Waterloo</v>
          </cell>
          <cell r="O2843" t="str">
            <v>Waterloo</v>
          </cell>
          <cell r="P2843" t="str">
            <v>Southwest</v>
          </cell>
        </row>
        <row r="2844">
          <cell r="C2844" t="str">
            <v>Lakefield Public Works Garage</v>
          </cell>
          <cell r="D2844" t="str">
            <v>The Corporation of the Township of Selwyn</v>
          </cell>
          <cell r="E2844" t="str">
            <v>CO</v>
          </cell>
          <cell r="F2844">
            <v>42432</v>
          </cell>
          <cell r="G2844">
            <v>42556</v>
          </cell>
          <cell r="H2844">
            <v>49736</v>
          </cell>
          <cell r="I2844" t="str">
            <v>19 years, 7 months, 26 days</v>
          </cell>
          <cell r="J2844" t="str">
            <v>Renewables</v>
          </cell>
          <cell r="K2844" t="str">
            <v>Solar (Rooftop)</v>
          </cell>
          <cell r="L2844" t="str">
            <v>Solar</v>
          </cell>
          <cell r="M2844" t="str">
            <v>Dx</v>
          </cell>
          <cell r="N2844" t="str">
            <v>Lakefield</v>
          </cell>
          <cell r="O2844" t="str">
            <v>Peterborough</v>
          </cell>
          <cell r="P2844" t="str">
            <v>East</v>
          </cell>
        </row>
        <row r="2845">
          <cell r="C2845" t="str">
            <v>SPN 427</v>
          </cell>
          <cell r="D2845" t="str">
            <v>SPN LP 4</v>
          </cell>
          <cell r="E2845" t="str">
            <v>CO</v>
          </cell>
          <cell r="F2845">
            <v>42671</v>
          </cell>
          <cell r="G2845">
            <v>42845</v>
          </cell>
          <cell r="H2845">
            <v>49975</v>
          </cell>
          <cell r="I2845" t="str">
            <v>19 years, 6 months, 7 days</v>
          </cell>
          <cell r="J2845" t="str">
            <v>Renewables</v>
          </cell>
          <cell r="K2845" t="str">
            <v>Solar (Rooftop)</v>
          </cell>
          <cell r="L2845" t="str">
            <v>Solar</v>
          </cell>
          <cell r="M2845" t="str">
            <v>Dx</v>
          </cell>
          <cell r="N2845" t="str">
            <v>Elmira</v>
          </cell>
          <cell r="O2845" t="str">
            <v>Waterloo</v>
          </cell>
          <cell r="P2845" t="str">
            <v>Southwest</v>
          </cell>
        </row>
        <row r="2846">
          <cell r="C2846" t="str">
            <v>Kirkland Lake #2</v>
          </cell>
          <cell r="D2846" t="str">
            <v>The Town of Kirkland Lake Solar Inc.</v>
          </cell>
          <cell r="E2846" t="str">
            <v>CO</v>
          </cell>
          <cell r="F2846">
            <v>42996</v>
          </cell>
          <cell r="G2846">
            <v>43542</v>
          </cell>
          <cell r="H2846">
            <v>50300</v>
          </cell>
          <cell r="I2846" t="str">
            <v>18 years, 5 months, 30 days</v>
          </cell>
          <cell r="J2846" t="str">
            <v>Renewables</v>
          </cell>
          <cell r="K2846" t="str">
            <v>Solar (Ground Mounted)</v>
          </cell>
          <cell r="L2846" t="str">
            <v>Solar</v>
          </cell>
          <cell r="M2846" t="str">
            <v>Dx</v>
          </cell>
          <cell r="N2846" t="str">
            <v>Kirkland Lake</v>
          </cell>
          <cell r="O2846" t="str">
            <v>Timiskaming</v>
          </cell>
          <cell r="P2846" t="str">
            <v>Northeast</v>
          </cell>
        </row>
        <row r="2847">
          <cell r="C2847" t="str">
            <v>Harvest Sun</v>
          </cell>
          <cell r="D2847" t="str">
            <v>Ondrejicka Elevators Limited</v>
          </cell>
          <cell r="E2847" t="str">
            <v>CO</v>
          </cell>
          <cell r="F2847">
            <v>42609</v>
          </cell>
          <cell r="G2847">
            <v>42691</v>
          </cell>
          <cell r="H2847">
            <v>49913</v>
          </cell>
          <cell r="I2847" t="str">
            <v>19 years, 9 months, 9 days</v>
          </cell>
          <cell r="J2847" t="str">
            <v>Renewables</v>
          </cell>
          <cell r="K2847" t="str">
            <v>Solar (Rooftop)</v>
          </cell>
          <cell r="L2847" t="str">
            <v>Solar</v>
          </cell>
          <cell r="M2847" t="str">
            <v>Dx</v>
          </cell>
          <cell r="N2847" t="str">
            <v>Exeter</v>
          </cell>
          <cell r="O2847" t="str">
            <v>Huron</v>
          </cell>
          <cell r="P2847" t="str">
            <v>Southwest</v>
          </cell>
        </row>
        <row r="2848">
          <cell r="C2848" t="str">
            <v>Hoegythree</v>
          </cell>
          <cell r="D2848" t="str">
            <v>HOEGYONE</v>
          </cell>
          <cell r="E2848" t="str">
            <v>CO</v>
          </cell>
          <cell r="F2848">
            <v>42609</v>
          </cell>
          <cell r="G2848">
            <v>42596</v>
          </cell>
          <cell r="H2848">
            <v>49900</v>
          </cell>
          <cell r="I2848" t="str">
            <v>19 years, 11 months, 30 days</v>
          </cell>
          <cell r="J2848" t="str">
            <v>Renewables</v>
          </cell>
          <cell r="K2848" t="str">
            <v>Solar (Rooftop)</v>
          </cell>
          <cell r="L2848" t="str">
            <v>Solar</v>
          </cell>
          <cell r="M2848" t="str">
            <v>Dx</v>
          </cell>
          <cell r="N2848" t="str">
            <v>Walton</v>
          </cell>
          <cell r="O2848" t="str">
            <v>Huron</v>
          </cell>
          <cell r="P2848" t="str">
            <v>Southwest</v>
          </cell>
        </row>
        <row r="2849">
          <cell r="C2849" t="str">
            <v>Matachewan - Opposite Township Office</v>
          </cell>
          <cell r="D2849" t="str">
            <v>Energie Matachewan Energy Inc.</v>
          </cell>
          <cell r="E2849" t="str">
            <v>CO</v>
          </cell>
          <cell r="F2849">
            <v>42996</v>
          </cell>
          <cell r="G2849">
            <v>43542</v>
          </cell>
          <cell r="H2849">
            <v>50300</v>
          </cell>
          <cell r="I2849" t="str">
            <v>18 years, 5 months, 30 days</v>
          </cell>
          <cell r="J2849" t="str">
            <v>Renewables</v>
          </cell>
          <cell r="K2849" t="str">
            <v>Solar (Ground Mounted)</v>
          </cell>
          <cell r="L2849" t="str">
            <v>Solar</v>
          </cell>
          <cell r="M2849" t="str">
            <v>Dx</v>
          </cell>
          <cell r="N2849" t="str">
            <v>Matachewan</v>
          </cell>
          <cell r="O2849" t="str">
            <v>Timiskaming</v>
          </cell>
          <cell r="P2849" t="str">
            <v>Northeast</v>
          </cell>
        </row>
        <row r="2850">
          <cell r="C2850" t="str">
            <v>Scheurer</v>
          </cell>
          <cell r="D2850" t="str">
            <v>Peterborough Solar Projects Corporation</v>
          </cell>
          <cell r="E2850" t="str">
            <v>CO</v>
          </cell>
          <cell r="F2850">
            <v>43211</v>
          </cell>
          <cell r="G2850">
            <v>43542</v>
          </cell>
          <cell r="H2850">
            <v>50515</v>
          </cell>
          <cell r="I2850" t="str">
            <v>19 years, 1 months, 2 days</v>
          </cell>
          <cell r="J2850" t="str">
            <v>Renewables</v>
          </cell>
          <cell r="K2850" t="str">
            <v>Solar (Ground Mounted)</v>
          </cell>
          <cell r="L2850" t="str">
            <v>Solar</v>
          </cell>
          <cell r="M2850" t="str">
            <v>Dx</v>
          </cell>
          <cell r="N2850" t="str">
            <v>Coe Hill</v>
          </cell>
          <cell r="O2850" t="str">
            <v>Hastings</v>
          </cell>
          <cell r="P2850" t="str">
            <v>East</v>
          </cell>
        </row>
        <row r="2851">
          <cell r="C2851" t="str">
            <v>GE018</v>
          </cell>
          <cell r="D2851" t="str">
            <v>SIF #2 Reliant Essex LP</v>
          </cell>
          <cell r="E2851" t="str">
            <v>CO</v>
          </cell>
          <cell r="F2851">
            <v>42433</v>
          </cell>
          <cell r="G2851">
            <v>42660</v>
          </cell>
          <cell r="H2851">
            <v>49737</v>
          </cell>
          <cell r="I2851" t="str">
            <v>19 years, 4 months, 15 days</v>
          </cell>
          <cell r="J2851" t="str">
            <v>Renewables</v>
          </cell>
          <cell r="K2851" t="str">
            <v>Solar (Rooftop)</v>
          </cell>
          <cell r="L2851" t="str">
            <v>Solar</v>
          </cell>
          <cell r="M2851" t="str">
            <v>Dx</v>
          </cell>
          <cell r="N2851" t="str">
            <v>Belle River</v>
          </cell>
          <cell r="O2851" t="str">
            <v>Essex</v>
          </cell>
          <cell r="P2851" t="str">
            <v>West</v>
          </cell>
        </row>
        <row r="2852">
          <cell r="C2852" t="str">
            <v>Watson</v>
          </cell>
          <cell r="D2852" t="str">
            <v>Peterborough Solar Projects Corporation</v>
          </cell>
          <cell r="E2852" t="str">
            <v>CO</v>
          </cell>
          <cell r="F2852">
            <v>43204</v>
          </cell>
          <cell r="G2852">
            <v>43454</v>
          </cell>
          <cell r="H2852">
            <v>50508</v>
          </cell>
          <cell r="I2852" t="str">
            <v>19 years, 3 months, 24 days</v>
          </cell>
          <cell r="J2852" t="str">
            <v>Renewables</v>
          </cell>
          <cell r="K2852" t="str">
            <v>Solar (Ground Mounted)</v>
          </cell>
          <cell r="L2852" t="str">
            <v>Solar</v>
          </cell>
          <cell r="M2852" t="str">
            <v>Dx</v>
          </cell>
          <cell r="N2852" t="str">
            <v>Bancroft</v>
          </cell>
          <cell r="O2852" t="str">
            <v>Hastings</v>
          </cell>
          <cell r="P2852" t="str">
            <v>East</v>
          </cell>
        </row>
        <row r="2853">
          <cell r="C2853" t="str">
            <v>SPN 498</v>
          </cell>
          <cell r="D2853" t="str">
            <v>SPN LP 4</v>
          </cell>
          <cell r="E2853" t="str">
            <v>CO</v>
          </cell>
          <cell r="F2853">
            <v>42671</v>
          </cell>
          <cell r="G2853">
            <v>42849</v>
          </cell>
          <cell r="H2853">
            <v>49975</v>
          </cell>
          <cell r="I2853" t="str">
            <v>19 years, 6 months, 3 days</v>
          </cell>
          <cell r="J2853" t="str">
            <v>Renewables</v>
          </cell>
          <cell r="K2853" t="str">
            <v>Solar (Rooftop)</v>
          </cell>
          <cell r="L2853" t="str">
            <v>Solar</v>
          </cell>
          <cell r="M2853" t="str">
            <v>Dx</v>
          </cell>
          <cell r="N2853" t="str">
            <v>Brantford</v>
          </cell>
          <cell r="O2853" t="str">
            <v>Brant</v>
          </cell>
          <cell r="P2853" t="str">
            <v>Southwest</v>
          </cell>
        </row>
        <row r="2854">
          <cell r="C2854" t="str">
            <v>P107</v>
          </cell>
          <cell r="D2854" t="str">
            <v>Reliant First Nation Limited Partnership</v>
          </cell>
          <cell r="E2854" t="str">
            <v>CO</v>
          </cell>
          <cell r="F2854">
            <v>42989</v>
          </cell>
          <cell r="G2854">
            <v>43027</v>
          </cell>
          <cell r="H2854">
            <v>50293</v>
          </cell>
          <cell r="I2854" t="str">
            <v>19 years, 10 months, 22 days</v>
          </cell>
          <cell r="J2854" t="str">
            <v>Renewables</v>
          </cell>
          <cell r="K2854" t="str">
            <v>Solar (Rooftop)</v>
          </cell>
          <cell r="L2854" t="str">
            <v>Solar</v>
          </cell>
          <cell r="M2854" t="str">
            <v>Dx</v>
          </cell>
          <cell r="N2854" t="str">
            <v>Mississauga</v>
          </cell>
          <cell r="O2854" t="str">
            <v>Peel</v>
          </cell>
          <cell r="P2854" t="str">
            <v>Toronto</v>
          </cell>
        </row>
        <row r="2855">
          <cell r="C2855" t="str">
            <v>5279 Ament Line (Linwood Community Center)</v>
          </cell>
          <cell r="D2855" t="str">
            <v>SUNSHARE1 LP</v>
          </cell>
          <cell r="E2855" t="str">
            <v>CO</v>
          </cell>
          <cell r="F2855">
            <v>42431</v>
          </cell>
          <cell r="G2855">
            <v>42430</v>
          </cell>
          <cell r="H2855">
            <v>49734</v>
          </cell>
          <cell r="I2855" t="str">
            <v>19 years, 11 months, 28 days</v>
          </cell>
          <cell r="J2855" t="str">
            <v>Renewables</v>
          </cell>
          <cell r="K2855" t="str">
            <v>Solar (Rooftop)</v>
          </cell>
          <cell r="L2855" t="str">
            <v>Solar</v>
          </cell>
          <cell r="M2855" t="str">
            <v>Dx</v>
          </cell>
          <cell r="N2855" t="str">
            <v>Linwood</v>
          </cell>
          <cell r="O2855" t="str">
            <v>Waterloo</v>
          </cell>
          <cell r="P2855" t="str">
            <v>Southwest</v>
          </cell>
        </row>
        <row r="2856">
          <cell r="C2856" t="str">
            <v>SunEdison ON-11-0700</v>
          </cell>
          <cell r="D2856" t="str">
            <v>Solar Provider Canada Power Health LP</v>
          </cell>
          <cell r="E2856" t="str">
            <v>CO</v>
          </cell>
          <cell r="F2856">
            <v>42445</v>
          </cell>
          <cell r="G2856">
            <v>42625</v>
          </cell>
          <cell r="H2856">
            <v>49749</v>
          </cell>
          <cell r="I2856" t="str">
            <v>19 years, 6 months, 3 days</v>
          </cell>
          <cell r="J2856" t="str">
            <v>Renewables</v>
          </cell>
          <cell r="K2856" t="str">
            <v>Solar (Rooftop)</v>
          </cell>
          <cell r="L2856" t="str">
            <v>Solar</v>
          </cell>
          <cell r="M2856" t="str">
            <v>Dx</v>
          </cell>
          <cell r="N2856" t="str">
            <v>Mississauga</v>
          </cell>
          <cell r="O2856" t="str">
            <v>Peel</v>
          </cell>
          <cell r="P2856" t="str">
            <v>Toronto</v>
          </cell>
        </row>
        <row r="2857">
          <cell r="C2857" t="str">
            <v>SPN 229</v>
          </cell>
          <cell r="D2857" t="str">
            <v>SPN LP 1</v>
          </cell>
          <cell r="E2857" t="str">
            <v>CO</v>
          </cell>
          <cell r="F2857">
            <v>42671</v>
          </cell>
          <cell r="G2857">
            <v>42841</v>
          </cell>
          <cell r="H2857">
            <v>49975</v>
          </cell>
          <cell r="I2857" t="str">
            <v>19 years, 6 months, 11 days</v>
          </cell>
          <cell r="J2857" t="str">
            <v>Renewables</v>
          </cell>
          <cell r="K2857" t="str">
            <v>Solar (Rooftop)</v>
          </cell>
          <cell r="L2857" t="str">
            <v>Solar</v>
          </cell>
          <cell r="M2857" t="str">
            <v>Dx</v>
          </cell>
          <cell r="N2857" t="str">
            <v>Leamington</v>
          </cell>
          <cell r="O2857" t="str">
            <v>Essex</v>
          </cell>
          <cell r="P2857" t="str">
            <v>West</v>
          </cell>
        </row>
        <row r="2858">
          <cell r="C2858" t="str">
            <v>SPN 375</v>
          </cell>
          <cell r="D2858" t="str">
            <v>SPN LP 3</v>
          </cell>
          <cell r="E2858" t="str">
            <v>CO</v>
          </cell>
          <cell r="F2858">
            <v>42653</v>
          </cell>
          <cell r="G2858">
            <v>42829</v>
          </cell>
          <cell r="H2858">
            <v>49957</v>
          </cell>
          <cell r="I2858" t="str">
            <v>19 years, 6 months, 5 days</v>
          </cell>
          <cell r="J2858" t="str">
            <v>Renewables</v>
          </cell>
          <cell r="K2858" t="str">
            <v>Solar (Rooftop)</v>
          </cell>
          <cell r="L2858" t="str">
            <v>Solar</v>
          </cell>
          <cell r="M2858" t="str">
            <v>Dx</v>
          </cell>
          <cell r="N2858" t="str">
            <v>Hamilton</v>
          </cell>
          <cell r="O2858" t="str">
            <v>Hamilton</v>
          </cell>
          <cell r="P2858" t="str">
            <v>Southwest</v>
          </cell>
        </row>
        <row r="2859">
          <cell r="C2859" t="str">
            <v>ET KI1</v>
          </cell>
          <cell r="D2859" t="str">
            <v>Community Solar Assets 4 Limited</v>
          </cell>
          <cell r="E2859" t="str">
            <v>CO</v>
          </cell>
          <cell r="F2859">
            <v>43200</v>
          </cell>
          <cell r="G2859">
            <v>42894</v>
          </cell>
          <cell r="H2859">
            <v>50198</v>
          </cell>
          <cell r="I2859" t="str">
            <v>19 years, 11 months, 30 days</v>
          </cell>
          <cell r="J2859" t="str">
            <v>Renewables</v>
          </cell>
          <cell r="K2859" t="str">
            <v>Solar (Ground Mounted)</v>
          </cell>
          <cell r="L2859" t="str">
            <v>Solar</v>
          </cell>
          <cell r="M2859" t="str">
            <v>Dx</v>
          </cell>
          <cell r="N2859" t="str">
            <v>Elginburg</v>
          </cell>
          <cell r="O2859" t="str">
            <v>Frontenac</v>
          </cell>
          <cell r="P2859" t="str">
            <v>East</v>
          </cell>
        </row>
        <row r="2860">
          <cell r="C2860" t="str">
            <v>USS Gates North URSP</v>
          </cell>
          <cell r="D2860" t="str">
            <v>2291506 Ontario INC.</v>
          </cell>
          <cell r="E2860" t="str">
            <v>CO</v>
          </cell>
          <cell r="F2860">
            <v>42609</v>
          </cell>
          <cell r="G2860">
            <v>42788</v>
          </cell>
          <cell r="H2860">
            <v>49913</v>
          </cell>
          <cell r="I2860" t="str">
            <v>19 years, 6 months, 4 days</v>
          </cell>
          <cell r="J2860" t="str">
            <v>Renewables</v>
          </cell>
          <cell r="K2860" t="str">
            <v>Solar (Rooftop)</v>
          </cell>
          <cell r="L2860" t="str">
            <v>Solar</v>
          </cell>
          <cell r="M2860" t="str">
            <v>Dx</v>
          </cell>
          <cell r="N2860" t="str">
            <v>Port Dover</v>
          </cell>
          <cell r="O2860" t="str">
            <v>Norfolk</v>
          </cell>
          <cell r="P2860" t="str">
            <v>Southwest</v>
          </cell>
        </row>
        <row r="2861">
          <cell r="C2861" t="str">
            <v>SPN 249</v>
          </cell>
          <cell r="D2861" t="str">
            <v>LDREC SPN LP</v>
          </cell>
          <cell r="E2861" t="str">
            <v>CO</v>
          </cell>
          <cell r="F2861">
            <v>42653</v>
          </cell>
          <cell r="G2861">
            <v>42766</v>
          </cell>
          <cell r="H2861">
            <v>49957</v>
          </cell>
          <cell r="I2861" t="str">
            <v>19 years, 8 months, 8 days</v>
          </cell>
          <cell r="J2861" t="str">
            <v>Renewables</v>
          </cell>
          <cell r="K2861" t="str">
            <v>Solar (Rooftop)</v>
          </cell>
          <cell r="L2861" t="str">
            <v>Solar</v>
          </cell>
          <cell r="M2861" t="str">
            <v>Dx</v>
          </cell>
          <cell r="N2861" t="str">
            <v>London</v>
          </cell>
          <cell r="O2861" t="str">
            <v>Middlesex</v>
          </cell>
          <cell r="P2861" t="str">
            <v>West</v>
          </cell>
        </row>
        <row r="2862">
          <cell r="C2862" t="str">
            <v>P186</v>
          </cell>
          <cell r="D2862" t="str">
            <v>Reliant First Nation Limited Partnership</v>
          </cell>
          <cell r="E2862" t="str">
            <v>CO</v>
          </cell>
          <cell r="F2862">
            <v>42664</v>
          </cell>
          <cell r="G2862">
            <v>42726</v>
          </cell>
          <cell r="H2862">
            <v>49968</v>
          </cell>
          <cell r="I2862" t="str">
            <v>19 years, 9 months, 28 days</v>
          </cell>
          <cell r="J2862" t="str">
            <v>Renewables</v>
          </cell>
          <cell r="K2862" t="str">
            <v>Solar (Rooftop)</v>
          </cell>
          <cell r="L2862" t="str">
            <v>Solar</v>
          </cell>
          <cell r="M2862" t="str">
            <v>Dx</v>
          </cell>
          <cell r="N2862" t="str">
            <v>Brampton</v>
          </cell>
          <cell r="O2862" t="str">
            <v>Peel</v>
          </cell>
          <cell r="P2862" t="str">
            <v>Toronto</v>
          </cell>
        </row>
        <row r="2863">
          <cell r="C2863" t="str">
            <v>MA-TE-WAY ARENA FIT</v>
          </cell>
          <cell r="D2863" t="str">
            <v>THE CORPORATION OF THE TOWN OF RENFREW</v>
          </cell>
          <cell r="E2863" t="str">
            <v>CO</v>
          </cell>
          <cell r="F2863">
            <v>42432</v>
          </cell>
          <cell r="G2863">
            <v>42401</v>
          </cell>
          <cell r="H2863">
            <v>49705</v>
          </cell>
          <cell r="I2863" t="str">
            <v>19 years, 11 months, 30 days</v>
          </cell>
          <cell r="J2863" t="str">
            <v>Renewables</v>
          </cell>
          <cell r="K2863" t="str">
            <v>Solar (Rooftop)</v>
          </cell>
          <cell r="L2863" t="str">
            <v>Solar</v>
          </cell>
          <cell r="M2863" t="str">
            <v>Dx</v>
          </cell>
          <cell r="N2863" t="str">
            <v>Renfrew</v>
          </cell>
          <cell r="O2863" t="str">
            <v>Renfrew</v>
          </cell>
          <cell r="P2863" t="str">
            <v>East</v>
          </cell>
        </row>
        <row r="2864">
          <cell r="C2864" t="str">
            <v>SFF 8</v>
          </cell>
          <cell r="D2864" t="str">
            <v>2387282 Ontario Inc.</v>
          </cell>
          <cell r="E2864" t="str">
            <v>CO</v>
          </cell>
          <cell r="F2864">
            <v>43204</v>
          </cell>
          <cell r="G2864">
            <v>43360</v>
          </cell>
          <cell r="H2864">
            <v>50508</v>
          </cell>
          <cell r="I2864" t="str">
            <v>19 years, 6 months, 27 days</v>
          </cell>
          <cell r="J2864" t="str">
            <v>Renewables</v>
          </cell>
          <cell r="K2864" t="str">
            <v>Solar (Ground Mounted)</v>
          </cell>
          <cell r="L2864" t="str">
            <v>Solar</v>
          </cell>
          <cell r="M2864" t="str">
            <v>Dx</v>
          </cell>
          <cell r="N2864" t="str">
            <v>Peterborough</v>
          </cell>
          <cell r="O2864" t="str">
            <v>Peterborough</v>
          </cell>
          <cell r="P2864" t="str">
            <v>East</v>
          </cell>
        </row>
        <row r="2865">
          <cell r="C2865" t="str">
            <v>P131</v>
          </cell>
          <cell r="D2865" t="str">
            <v>Reliant First Nation Limited Partnership</v>
          </cell>
          <cell r="E2865" t="str">
            <v>CO</v>
          </cell>
          <cell r="F2865">
            <v>42994</v>
          </cell>
          <cell r="G2865">
            <v>43035</v>
          </cell>
          <cell r="H2865">
            <v>50298</v>
          </cell>
          <cell r="I2865" t="str">
            <v>19 years, 10 months, 19 days</v>
          </cell>
          <cell r="J2865" t="str">
            <v>Renewables</v>
          </cell>
          <cell r="K2865" t="str">
            <v>Solar (Rooftop)</v>
          </cell>
          <cell r="L2865" t="str">
            <v>Solar</v>
          </cell>
          <cell r="M2865" t="str">
            <v>Dx</v>
          </cell>
          <cell r="N2865" t="str">
            <v>Brampton</v>
          </cell>
          <cell r="O2865" t="str">
            <v>Peel</v>
          </cell>
          <cell r="P2865" t="str">
            <v>Toronto</v>
          </cell>
        </row>
        <row r="2866">
          <cell r="C2866" t="str">
            <v>GG3-005</v>
          </cell>
          <cell r="D2866" t="str">
            <v>GSC Southlake Solar LP</v>
          </cell>
          <cell r="E2866" t="str">
            <v>CO</v>
          </cell>
          <cell r="F2866">
            <v>42980</v>
          </cell>
          <cell r="G2866">
            <v>43454</v>
          </cell>
          <cell r="H2866">
            <v>50284</v>
          </cell>
          <cell r="I2866" t="str">
            <v>18 years, 8 months, 12 days</v>
          </cell>
          <cell r="J2866" t="str">
            <v>Renewables</v>
          </cell>
          <cell r="K2866" t="str">
            <v>Solar (Ground Mounted)</v>
          </cell>
          <cell r="L2866" t="str">
            <v>Solar</v>
          </cell>
          <cell r="M2866" t="str">
            <v>Dx</v>
          </cell>
          <cell r="N2866" t="str">
            <v>Sturgeon Falls</v>
          </cell>
          <cell r="O2866" t="str">
            <v>Nipissing</v>
          </cell>
          <cell r="P2866" t="str">
            <v>Northeast</v>
          </cell>
        </row>
        <row r="2867">
          <cell r="C2867" t="str">
            <v>EMP-135 FREDERICK</v>
          </cell>
          <cell r="D2867" t="str">
            <v>2387276 Ontario Inc.</v>
          </cell>
          <cell r="E2867" t="str">
            <v>CO</v>
          </cell>
          <cell r="F2867">
            <v>42657</v>
          </cell>
          <cell r="G2867">
            <v>42843</v>
          </cell>
          <cell r="H2867">
            <v>49961</v>
          </cell>
          <cell r="I2867" t="str">
            <v>19 years, 5 months, 25 days</v>
          </cell>
          <cell r="J2867" t="str">
            <v>Renewables</v>
          </cell>
          <cell r="K2867" t="str">
            <v>Solar (Rooftop)</v>
          </cell>
          <cell r="L2867" t="str">
            <v>Solar</v>
          </cell>
          <cell r="M2867" t="str">
            <v>Dx</v>
          </cell>
          <cell r="N2867" t="str">
            <v>Stratford</v>
          </cell>
          <cell r="O2867" t="str">
            <v>Perth</v>
          </cell>
          <cell r="P2867" t="str">
            <v>Southwest</v>
          </cell>
        </row>
        <row r="2868">
          <cell r="C2868" t="str">
            <v>P142</v>
          </cell>
          <cell r="D2868" t="str">
            <v>Reliant First Nation Limited Partnership</v>
          </cell>
          <cell r="E2868" t="str">
            <v>CO</v>
          </cell>
          <cell r="F2868">
            <v>42987</v>
          </cell>
          <cell r="G2868">
            <v>43035</v>
          </cell>
          <cell r="H2868">
            <v>50291</v>
          </cell>
          <cell r="I2868" t="str">
            <v>19 years, 10 months, 12 days</v>
          </cell>
          <cell r="J2868" t="str">
            <v>Renewables</v>
          </cell>
          <cell r="K2868" t="str">
            <v>Solar (Rooftop)</v>
          </cell>
          <cell r="L2868" t="str">
            <v>Solar</v>
          </cell>
          <cell r="M2868" t="str">
            <v>Dx</v>
          </cell>
          <cell r="N2868" t="str">
            <v>Brampton</v>
          </cell>
          <cell r="O2868" t="str">
            <v>Peel</v>
          </cell>
          <cell r="P2868" t="str">
            <v>Toronto</v>
          </cell>
        </row>
        <row r="2869">
          <cell r="C2869" t="str">
            <v>P171</v>
          </cell>
          <cell r="D2869" t="str">
            <v>Reliant First Nation Limited Partnership</v>
          </cell>
          <cell r="E2869" t="str">
            <v>CO</v>
          </cell>
          <cell r="F2869">
            <v>42987</v>
          </cell>
          <cell r="G2869">
            <v>43010</v>
          </cell>
          <cell r="H2869">
            <v>50291</v>
          </cell>
          <cell r="I2869" t="str">
            <v>19 years, 11 months, 6 days</v>
          </cell>
          <cell r="J2869" t="str">
            <v>Renewables</v>
          </cell>
          <cell r="K2869" t="str">
            <v>Solar (Rooftop)</v>
          </cell>
          <cell r="L2869" t="str">
            <v>Solar</v>
          </cell>
          <cell r="M2869" t="str">
            <v>Dx</v>
          </cell>
          <cell r="N2869" t="str">
            <v>Brampton</v>
          </cell>
          <cell r="O2869" t="str">
            <v>Peel</v>
          </cell>
          <cell r="P2869" t="str">
            <v>Toronto</v>
          </cell>
        </row>
        <row r="2870">
          <cell r="C2870" t="str">
            <v>King Yard</v>
          </cell>
          <cell r="D2870" t="str">
            <v>City of Toronto</v>
          </cell>
          <cell r="E2870" t="str">
            <v>CO</v>
          </cell>
          <cell r="F2870">
            <v>42432</v>
          </cell>
          <cell r="G2870">
            <v>42353</v>
          </cell>
          <cell r="H2870">
            <v>49657</v>
          </cell>
          <cell r="I2870" t="str">
            <v>19 years, 11 months, 29 days</v>
          </cell>
          <cell r="J2870" t="str">
            <v>Renewables</v>
          </cell>
          <cell r="K2870" t="str">
            <v>Solar (Rooftop)</v>
          </cell>
          <cell r="L2870" t="str">
            <v>Solar</v>
          </cell>
          <cell r="M2870" t="str">
            <v>Dx</v>
          </cell>
          <cell r="N2870" t="str">
            <v>Toronto</v>
          </cell>
          <cell r="O2870" t="str">
            <v>Toronto</v>
          </cell>
          <cell r="P2870" t="str">
            <v>Toronto</v>
          </cell>
        </row>
        <row r="2871">
          <cell r="C2871" t="str">
            <v>QSS Dewey Solar</v>
          </cell>
          <cell r="D2871" t="str">
            <v>TREC SolarShare Co-operative (No.1) Inc.</v>
          </cell>
          <cell r="E2871" t="str">
            <v>CO</v>
          </cell>
          <cell r="F2871">
            <v>42975</v>
          </cell>
          <cell r="G2871">
            <v>43335</v>
          </cell>
          <cell r="H2871">
            <v>50279</v>
          </cell>
          <cell r="I2871" t="str">
            <v>19 years, 0 months, 4 days</v>
          </cell>
          <cell r="J2871" t="str">
            <v>Renewables</v>
          </cell>
          <cell r="K2871" t="str">
            <v>Solar (Ground Mounted)</v>
          </cell>
          <cell r="L2871" t="str">
            <v>Solar</v>
          </cell>
          <cell r="M2871" t="str">
            <v>Dx</v>
          </cell>
          <cell r="N2871" t="str">
            <v>Yarker</v>
          </cell>
          <cell r="O2871" t="str">
            <v>Lennox and Addington</v>
          </cell>
          <cell r="P2871" t="str">
            <v>East</v>
          </cell>
        </row>
        <row r="2872">
          <cell r="C2872" t="str">
            <v>P156</v>
          </cell>
          <cell r="D2872" t="str">
            <v>Reliant First Nation Limited Partnership</v>
          </cell>
          <cell r="E2872" t="str">
            <v>CO</v>
          </cell>
          <cell r="F2872">
            <v>42982</v>
          </cell>
          <cell r="G2872">
            <v>43153</v>
          </cell>
          <cell r="H2872">
            <v>50286</v>
          </cell>
          <cell r="I2872" t="str">
            <v>19 years, 6 months, 12 days</v>
          </cell>
          <cell r="J2872" t="str">
            <v>Renewables</v>
          </cell>
          <cell r="K2872" t="str">
            <v>Solar (Rooftop)</v>
          </cell>
          <cell r="L2872" t="str">
            <v>Solar</v>
          </cell>
          <cell r="M2872" t="str">
            <v>Dx</v>
          </cell>
          <cell r="N2872" t="str">
            <v>Brampton</v>
          </cell>
          <cell r="O2872" t="str">
            <v>Peel</v>
          </cell>
          <cell r="P2872" t="str">
            <v>Toronto</v>
          </cell>
        </row>
        <row r="2873">
          <cell r="C2873" t="str">
            <v>Dalaire_10021143</v>
          </cell>
          <cell r="D2873" t="str">
            <v>Skyline Private Opportunities Corp.</v>
          </cell>
          <cell r="E2873" t="str">
            <v>CO</v>
          </cell>
          <cell r="F2873">
            <v>42609</v>
          </cell>
          <cell r="G2873">
            <v>42689</v>
          </cell>
          <cell r="H2873">
            <v>49913</v>
          </cell>
          <cell r="I2873" t="str">
            <v>19 years, 9 months, 11 days</v>
          </cell>
          <cell r="J2873" t="str">
            <v>Renewables</v>
          </cell>
          <cell r="K2873" t="str">
            <v>Solar (Rooftop)</v>
          </cell>
          <cell r="L2873" t="str">
            <v>Solar</v>
          </cell>
          <cell r="M2873" t="str">
            <v>Dx</v>
          </cell>
          <cell r="N2873" t="str">
            <v>Verner</v>
          </cell>
          <cell r="O2873" t="str">
            <v>Nipissing</v>
          </cell>
          <cell r="P2873" t="str">
            <v>Northeast</v>
          </cell>
        </row>
        <row r="2874">
          <cell r="C2874" t="str">
            <v>GMF2 Church</v>
          </cell>
          <cell r="D2874" t="str">
            <v>QS16 2012 LP</v>
          </cell>
          <cell r="E2874" t="str">
            <v>CO</v>
          </cell>
          <cell r="F2874">
            <v>42429</v>
          </cell>
          <cell r="G2874">
            <v>42486</v>
          </cell>
          <cell r="H2874">
            <v>49733</v>
          </cell>
          <cell r="I2874" t="str">
            <v>19 years, 10 months, 2 days</v>
          </cell>
          <cell r="J2874" t="str">
            <v>Renewables</v>
          </cell>
          <cell r="K2874" t="str">
            <v>Solar (Rooftop)</v>
          </cell>
          <cell r="L2874" t="str">
            <v>Solar</v>
          </cell>
          <cell r="M2874" t="str">
            <v>Dx</v>
          </cell>
          <cell r="N2874" t="str">
            <v>Mississauga</v>
          </cell>
          <cell r="O2874" t="str">
            <v>Peel</v>
          </cell>
          <cell r="P2874" t="str">
            <v>Toronto</v>
          </cell>
        </row>
        <row r="2875">
          <cell r="C2875" t="str">
            <v>137534 Concession Rd 7 (Derby Arena)</v>
          </cell>
          <cell r="D2875" t="str">
            <v>NORTH SHORE POWER GROUP INC.</v>
          </cell>
          <cell r="E2875" t="str">
            <v>CO</v>
          </cell>
          <cell r="F2875">
            <v>42432</v>
          </cell>
          <cell r="G2875">
            <v>42439</v>
          </cell>
          <cell r="H2875">
            <v>49736</v>
          </cell>
          <cell r="I2875" t="str">
            <v>19 years, 11 months, 21 days</v>
          </cell>
          <cell r="J2875" t="str">
            <v>Renewables</v>
          </cell>
          <cell r="K2875" t="str">
            <v>Solar (Rooftop)</v>
          </cell>
          <cell r="L2875" t="str">
            <v>Solar</v>
          </cell>
          <cell r="M2875" t="str">
            <v>Dx</v>
          </cell>
          <cell r="N2875" t="str">
            <v>Owen Sound</v>
          </cell>
          <cell r="O2875" t="str">
            <v>Grey</v>
          </cell>
          <cell r="P2875" t="str">
            <v>Southwest</v>
          </cell>
        </row>
        <row r="2876">
          <cell r="C2876" t="str">
            <v>AP MUNI P3</v>
          </cell>
          <cell r="D2876" t="str">
            <v>AP MUNI P3 LP</v>
          </cell>
          <cell r="E2876" t="str">
            <v>CO</v>
          </cell>
          <cell r="F2876">
            <v>42980</v>
          </cell>
          <cell r="G2876">
            <v>43051</v>
          </cell>
          <cell r="H2876">
            <v>50284</v>
          </cell>
          <cell r="I2876" t="str">
            <v>19 years, 9 months, 20 days</v>
          </cell>
          <cell r="J2876" t="str">
            <v>Renewables</v>
          </cell>
          <cell r="K2876" t="str">
            <v>Solar (Ground Mounted)</v>
          </cell>
          <cell r="L2876" t="str">
            <v>Solar</v>
          </cell>
          <cell r="M2876" t="str">
            <v>Dx</v>
          </cell>
          <cell r="N2876" t="str">
            <v>Alfred</v>
          </cell>
          <cell r="O2876" t="str">
            <v>Prescott and Russell</v>
          </cell>
          <cell r="P2876" t="str">
            <v>Ottawa</v>
          </cell>
        </row>
        <row r="2877">
          <cell r="C2877" t="str">
            <v>HPEDSB Moira SS</v>
          </cell>
          <cell r="D2877" t="str">
            <v>Ameresco HPEDSB Solar Inc.</v>
          </cell>
          <cell r="E2877" t="str">
            <v>CO</v>
          </cell>
          <cell r="F2877">
            <v>42428</v>
          </cell>
          <cell r="G2877">
            <v>42601</v>
          </cell>
          <cell r="H2877">
            <v>49732</v>
          </cell>
          <cell r="I2877" t="str">
            <v>19 years, 6 months, 8 days</v>
          </cell>
          <cell r="J2877" t="str">
            <v>Renewables</v>
          </cell>
          <cell r="K2877" t="str">
            <v>Solar (Rooftop)</v>
          </cell>
          <cell r="L2877" t="str">
            <v>Solar</v>
          </cell>
          <cell r="M2877" t="str">
            <v>Dx</v>
          </cell>
          <cell r="N2877" t="str">
            <v>Belleville</v>
          </cell>
          <cell r="O2877" t="str">
            <v>Hastings</v>
          </cell>
          <cell r="P2877" t="str">
            <v>East</v>
          </cell>
        </row>
        <row r="2878">
          <cell r="C2878" t="str">
            <v>CH023 - Peter Miller 2</v>
          </cell>
          <cell r="D2878" t="str">
            <v>SCCEC 3.0 LP</v>
          </cell>
          <cell r="E2878" t="str">
            <v>CO</v>
          </cell>
          <cell r="F2878">
            <v>42609</v>
          </cell>
          <cell r="G2878">
            <v>42775</v>
          </cell>
          <cell r="H2878">
            <v>49913</v>
          </cell>
          <cell r="I2878" t="str">
            <v>19 years, 6 months, 17 days</v>
          </cell>
          <cell r="J2878" t="str">
            <v>Renewables</v>
          </cell>
          <cell r="K2878" t="str">
            <v>Solar (Rooftop)</v>
          </cell>
          <cell r="L2878" t="str">
            <v>Solar</v>
          </cell>
          <cell r="M2878" t="str">
            <v>Dx</v>
          </cell>
          <cell r="N2878" t="str">
            <v>Creemore</v>
          </cell>
          <cell r="O2878" t="str">
            <v>Simcoe</v>
          </cell>
          <cell r="P2878" t="str">
            <v>Southwest</v>
          </cell>
        </row>
        <row r="2879">
          <cell r="C2879" t="str">
            <v>GGELP_0028</v>
          </cell>
          <cell r="D2879" t="str">
            <v>Gengrowth Energy LP</v>
          </cell>
          <cell r="E2879" t="str">
            <v>CO</v>
          </cell>
          <cell r="F2879">
            <v>43200</v>
          </cell>
          <cell r="G2879">
            <v>43091</v>
          </cell>
          <cell r="H2879">
            <v>50395</v>
          </cell>
          <cell r="I2879" t="str">
            <v>19 years, 11 months, 29 days</v>
          </cell>
          <cell r="J2879" t="str">
            <v>Renewables</v>
          </cell>
          <cell r="K2879" t="str">
            <v>Solar (Ground Mounted)</v>
          </cell>
          <cell r="L2879" t="str">
            <v>Solar</v>
          </cell>
          <cell r="M2879" t="str">
            <v>Dx</v>
          </cell>
          <cell r="N2879" t="str">
            <v>Lindsay</v>
          </cell>
          <cell r="O2879" t="str">
            <v>Kawartha Lakes</v>
          </cell>
          <cell r="P2879" t="str">
            <v>Essa</v>
          </cell>
        </row>
        <row r="2880">
          <cell r="C2880" t="str">
            <v>GreenLife Solar 15</v>
          </cell>
          <cell r="D2880" t="str">
            <v>GreenLife Solar Projects Inc.</v>
          </cell>
          <cell r="E2880" t="str">
            <v>CO</v>
          </cell>
          <cell r="F2880">
            <v>43200</v>
          </cell>
          <cell r="G2880">
            <v>43633</v>
          </cell>
          <cell r="H2880">
            <v>50504</v>
          </cell>
          <cell r="I2880" t="str">
            <v>18 years, 9 months, 23 days</v>
          </cell>
          <cell r="J2880" t="str">
            <v>Renewables</v>
          </cell>
          <cell r="K2880" t="str">
            <v>Solar (Ground Mounted)</v>
          </cell>
          <cell r="L2880" t="str">
            <v>Solar</v>
          </cell>
          <cell r="M2880" t="str">
            <v>Dx</v>
          </cell>
          <cell r="N2880" t="str">
            <v>Bobcaygeon</v>
          </cell>
          <cell r="O2880" t="str">
            <v>Kawartha Lakes</v>
          </cell>
          <cell r="P2880" t="str">
            <v>East</v>
          </cell>
        </row>
        <row r="2881">
          <cell r="C2881" t="str">
            <v>Vandenberg 4</v>
          </cell>
          <cell r="D2881" t="str">
            <v>QS6 2012 LP</v>
          </cell>
          <cell r="E2881" t="str">
            <v>CO</v>
          </cell>
          <cell r="F2881">
            <v>42428</v>
          </cell>
          <cell r="G2881">
            <v>42312</v>
          </cell>
          <cell r="H2881">
            <v>49616</v>
          </cell>
          <cell r="I2881" t="str">
            <v>19 years, 11 months, 30 days</v>
          </cell>
          <cell r="J2881" t="str">
            <v>Renewables</v>
          </cell>
          <cell r="K2881" t="str">
            <v>Solar (Rooftop)</v>
          </cell>
          <cell r="L2881" t="str">
            <v>Solar</v>
          </cell>
          <cell r="M2881" t="str">
            <v>Dx</v>
          </cell>
          <cell r="N2881" t="str">
            <v>Hamilton</v>
          </cell>
          <cell r="O2881" t="str">
            <v>Hamilton</v>
          </cell>
          <cell r="P2881" t="str">
            <v>Southwest</v>
          </cell>
        </row>
        <row r="2882">
          <cell r="C2882" t="str">
            <v>P105</v>
          </cell>
          <cell r="D2882" t="str">
            <v>Reliant First Nation Limited Partnership</v>
          </cell>
          <cell r="E2882" t="str">
            <v>CO</v>
          </cell>
          <cell r="F2882">
            <v>42989</v>
          </cell>
          <cell r="G2882">
            <v>42811</v>
          </cell>
          <cell r="H2882">
            <v>50115</v>
          </cell>
          <cell r="I2882" t="str">
            <v>19 years, 11 months, 27 days</v>
          </cell>
          <cell r="J2882" t="str">
            <v>Renewables</v>
          </cell>
          <cell r="K2882" t="str">
            <v>Solar (Rooftop)</v>
          </cell>
          <cell r="L2882" t="str">
            <v>Solar</v>
          </cell>
          <cell r="M2882" t="str">
            <v>Dx</v>
          </cell>
          <cell r="N2882" t="str">
            <v>Mississauga</v>
          </cell>
          <cell r="O2882" t="str">
            <v>Peel</v>
          </cell>
          <cell r="P2882" t="str">
            <v>Toronto</v>
          </cell>
        </row>
        <row r="2883">
          <cell r="C2883" t="str">
            <v>P054</v>
          </cell>
          <cell r="D2883" t="str">
            <v>Reliant First Nation Limited Partnership</v>
          </cell>
          <cell r="E2883" t="str">
            <v>CO</v>
          </cell>
          <cell r="F2883">
            <v>42994</v>
          </cell>
          <cell r="G2883">
            <v>43089</v>
          </cell>
          <cell r="H2883">
            <v>50298</v>
          </cell>
          <cell r="I2883" t="str">
            <v>19 years, 8 months, 26 days</v>
          </cell>
          <cell r="J2883" t="str">
            <v>Renewables</v>
          </cell>
          <cell r="K2883" t="str">
            <v>Solar (Rooftop)</v>
          </cell>
          <cell r="L2883" t="str">
            <v>Solar</v>
          </cell>
          <cell r="M2883" t="str">
            <v>Dx</v>
          </cell>
          <cell r="N2883" t="str">
            <v>Mississauga</v>
          </cell>
          <cell r="O2883" t="str">
            <v>Peel</v>
          </cell>
          <cell r="P2883" t="str">
            <v>Toronto</v>
          </cell>
        </row>
        <row r="2884">
          <cell r="C2884" t="str">
            <v>Police Property</v>
          </cell>
          <cell r="D2884" t="str">
            <v>City of Toronto</v>
          </cell>
          <cell r="E2884" t="str">
            <v>CO</v>
          </cell>
          <cell r="F2884">
            <v>42432</v>
          </cell>
          <cell r="G2884">
            <v>42419</v>
          </cell>
          <cell r="H2884">
            <v>49723</v>
          </cell>
          <cell r="I2884" t="str">
            <v>19 years, 11 months, 30 days</v>
          </cell>
          <cell r="J2884" t="str">
            <v>Renewables</v>
          </cell>
          <cell r="K2884" t="str">
            <v>Solar (Rooftop)</v>
          </cell>
          <cell r="L2884" t="str">
            <v>Solar</v>
          </cell>
          <cell r="M2884" t="str">
            <v>Dx</v>
          </cell>
          <cell r="N2884" t="str">
            <v>Toronto</v>
          </cell>
          <cell r="O2884" t="str">
            <v>Toronto</v>
          </cell>
          <cell r="P2884" t="str">
            <v>Toronto</v>
          </cell>
        </row>
        <row r="2885">
          <cell r="C2885" t="str">
            <v>GE029</v>
          </cell>
          <cell r="D2885" t="str">
            <v>SIF #2 Reliant Essex LP</v>
          </cell>
          <cell r="E2885" t="str">
            <v>CO</v>
          </cell>
          <cell r="F2885">
            <v>42438</v>
          </cell>
          <cell r="G2885">
            <v>42664</v>
          </cell>
          <cell r="H2885">
            <v>49742</v>
          </cell>
          <cell r="I2885" t="str">
            <v>19 years, 4 months, 16 days</v>
          </cell>
          <cell r="J2885" t="str">
            <v>Renewables</v>
          </cell>
          <cell r="K2885" t="str">
            <v>Solar (Rooftop)</v>
          </cell>
          <cell r="L2885" t="str">
            <v>Solar</v>
          </cell>
          <cell r="M2885" t="str">
            <v>Dx</v>
          </cell>
          <cell r="N2885" t="str">
            <v>Windsor</v>
          </cell>
          <cell r="O2885" t="str">
            <v>Essex</v>
          </cell>
          <cell r="P2885" t="str">
            <v>West</v>
          </cell>
        </row>
        <row r="2886">
          <cell r="C2886" t="str">
            <v>LDCSB St. Andre Bessette</v>
          </cell>
          <cell r="D2886" t="str">
            <v>Ameresco LDCSB Solar Inc.</v>
          </cell>
          <cell r="E2886" t="str">
            <v>CO</v>
          </cell>
          <cell r="F2886">
            <v>42653</v>
          </cell>
          <cell r="G2886">
            <v>42703</v>
          </cell>
          <cell r="H2886">
            <v>49957</v>
          </cell>
          <cell r="I2886" t="str">
            <v>19 years, 10 months, 10 days</v>
          </cell>
          <cell r="J2886" t="str">
            <v>Renewables</v>
          </cell>
          <cell r="K2886" t="str">
            <v>Solar (Rooftop)</v>
          </cell>
          <cell r="L2886" t="str">
            <v>Solar</v>
          </cell>
          <cell r="M2886" t="str">
            <v>Dx</v>
          </cell>
          <cell r="N2886" t="str">
            <v>London</v>
          </cell>
          <cell r="O2886" t="str">
            <v>Middlesex</v>
          </cell>
          <cell r="P2886" t="str">
            <v>West</v>
          </cell>
        </row>
        <row r="2887">
          <cell r="C2887" t="str">
            <v>1 Green St (St Clements Arena)</v>
          </cell>
          <cell r="D2887" t="str">
            <v>SUNSHARE1 LP</v>
          </cell>
          <cell r="E2887" t="str">
            <v>CO</v>
          </cell>
          <cell r="F2887">
            <v>42431</v>
          </cell>
          <cell r="G2887">
            <v>42349</v>
          </cell>
          <cell r="H2887">
            <v>49653</v>
          </cell>
          <cell r="I2887" t="str">
            <v>19 years, 11 months, 29 days</v>
          </cell>
          <cell r="J2887" t="str">
            <v>Renewables</v>
          </cell>
          <cell r="K2887" t="str">
            <v>Solar (Rooftop)</v>
          </cell>
          <cell r="L2887" t="str">
            <v>Solar</v>
          </cell>
          <cell r="M2887" t="str">
            <v>Dx</v>
          </cell>
          <cell r="N2887" t="str">
            <v>St. Clements</v>
          </cell>
          <cell r="O2887" t="str">
            <v>Waterloo</v>
          </cell>
          <cell r="P2887" t="str">
            <v>Southwest</v>
          </cell>
        </row>
        <row r="2888">
          <cell r="C2888" t="str">
            <v>SPN 299</v>
          </cell>
          <cell r="D2888" t="str">
            <v>SPN LP 3</v>
          </cell>
          <cell r="E2888" t="str">
            <v>CO</v>
          </cell>
          <cell r="F2888">
            <v>42428</v>
          </cell>
          <cell r="G2888">
            <v>42597</v>
          </cell>
          <cell r="H2888">
            <v>49732</v>
          </cell>
          <cell r="I2888" t="str">
            <v>19 years, 6 months, 12 days</v>
          </cell>
          <cell r="J2888" t="str">
            <v>Renewables</v>
          </cell>
          <cell r="K2888" t="str">
            <v>Solar (Rooftop)</v>
          </cell>
          <cell r="L2888" t="str">
            <v>Solar</v>
          </cell>
          <cell r="M2888" t="str">
            <v>Dx</v>
          </cell>
          <cell r="N2888" t="str">
            <v>Toronto</v>
          </cell>
          <cell r="O2888" t="str">
            <v>Toronto</v>
          </cell>
          <cell r="P2888" t="str">
            <v>Toronto</v>
          </cell>
        </row>
        <row r="2889">
          <cell r="C2889" t="str">
            <v>1315 Hutchison Rd (Leis Pet)</v>
          </cell>
          <cell r="D2889" t="str">
            <v>SUNSHARE2 LP</v>
          </cell>
          <cell r="E2889" t="str">
            <v>CO</v>
          </cell>
          <cell r="F2889">
            <v>42664</v>
          </cell>
          <cell r="G2889">
            <v>42662</v>
          </cell>
          <cell r="H2889">
            <v>49966</v>
          </cell>
          <cell r="I2889" t="str">
            <v>19 years, 11 months, 29 days</v>
          </cell>
          <cell r="J2889" t="str">
            <v>Renewables</v>
          </cell>
          <cell r="K2889" t="str">
            <v>Solar (Rooftop)</v>
          </cell>
          <cell r="L2889" t="str">
            <v>Solar</v>
          </cell>
          <cell r="M2889" t="str">
            <v>Dx</v>
          </cell>
          <cell r="N2889" t="str">
            <v>Wellesley</v>
          </cell>
          <cell r="O2889" t="str">
            <v>Waterloo</v>
          </cell>
          <cell r="P2889" t="str">
            <v>Southwest</v>
          </cell>
        </row>
        <row r="2890">
          <cell r="C2890" t="str">
            <v>GT CH4</v>
          </cell>
          <cell r="D2890" t="str">
            <v>Community Solar Assets 4 Limited</v>
          </cell>
          <cell r="E2890" t="str">
            <v>CO</v>
          </cell>
          <cell r="F2890">
            <v>42975</v>
          </cell>
          <cell r="G2890">
            <v>43019</v>
          </cell>
          <cell r="H2890">
            <v>50279</v>
          </cell>
          <cell r="I2890" t="str">
            <v>19 years, 10 months, 16 days</v>
          </cell>
          <cell r="J2890" t="str">
            <v>Renewables</v>
          </cell>
          <cell r="K2890" t="str">
            <v>Solar (Ground Mounted)</v>
          </cell>
          <cell r="L2890" t="str">
            <v>Solar</v>
          </cell>
          <cell r="M2890" t="str">
            <v>Dx</v>
          </cell>
          <cell r="N2890" t="str">
            <v>Englehart</v>
          </cell>
          <cell r="O2890" t="str">
            <v>Timiskaming</v>
          </cell>
          <cell r="P2890" t="str">
            <v>Northeast</v>
          </cell>
        </row>
        <row r="2891">
          <cell r="C2891" t="str">
            <v>Gerry O'Connor WTP Solar PV</v>
          </cell>
          <cell r="D2891" t="str">
            <v>The Corporation of the City of Belleville</v>
          </cell>
          <cell r="E2891" t="str">
            <v>CO</v>
          </cell>
          <cell r="F2891">
            <v>42452</v>
          </cell>
          <cell r="G2891">
            <v>42676</v>
          </cell>
          <cell r="H2891">
            <v>49756</v>
          </cell>
          <cell r="I2891" t="str">
            <v>19 years, 4 months, 20 days</v>
          </cell>
          <cell r="J2891" t="str">
            <v>Renewables</v>
          </cell>
          <cell r="K2891" t="str">
            <v>Solar (Rooftop)</v>
          </cell>
          <cell r="L2891" t="str">
            <v>Solar</v>
          </cell>
          <cell r="M2891" t="str">
            <v>Dx</v>
          </cell>
          <cell r="N2891" t="str">
            <v>Belleville</v>
          </cell>
          <cell r="O2891" t="str">
            <v>Hastings</v>
          </cell>
          <cell r="P2891" t="str">
            <v>East</v>
          </cell>
        </row>
        <row r="2892">
          <cell r="C2892" t="str">
            <v>9 - McConnell</v>
          </cell>
          <cell r="D2892" t="str">
            <v>Amber Solar Inc.</v>
          </cell>
          <cell r="E2892" t="str">
            <v>CO</v>
          </cell>
          <cell r="F2892">
            <v>42653</v>
          </cell>
          <cell r="G2892">
            <v>42878</v>
          </cell>
          <cell r="H2892">
            <v>49957</v>
          </cell>
          <cell r="I2892" t="str">
            <v>19 years, 4 months, 16 days</v>
          </cell>
          <cell r="J2892" t="str">
            <v>Renewables</v>
          </cell>
          <cell r="K2892" t="str">
            <v>Solar (Rooftop)</v>
          </cell>
          <cell r="L2892" t="str">
            <v>Solar</v>
          </cell>
          <cell r="M2892" t="str">
            <v>Dx</v>
          </cell>
          <cell r="N2892" t="str">
            <v>Port Burwell</v>
          </cell>
          <cell r="O2892" t="str">
            <v>Elgin</v>
          </cell>
          <cell r="P2892" t="str">
            <v>West</v>
          </cell>
        </row>
        <row r="2893">
          <cell r="C2893" t="str">
            <v>P197</v>
          </cell>
          <cell r="D2893" t="str">
            <v>Reliant First Nation Limited Partnership</v>
          </cell>
          <cell r="E2893" t="str">
            <v>CO</v>
          </cell>
          <cell r="F2893">
            <v>42987</v>
          </cell>
          <cell r="G2893">
            <v>43161</v>
          </cell>
          <cell r="H2893">
            <v>50291</v>
          </cell>
          <cell r="I2893" t="str">
            <v>19 years, 6 months, 6 days</v>
          </cell>
          <cell r="J2893" t="str">
            <v>Renewables</v>
          </cell>
          <cell r="K2893" t="str">
            <v>Solar (Rooftop)</v>
          </cell>
          <cell r="L2893" t="str">
            <v>Solar</v>
          </cell>
          <cell r="M2893" t="str">
            <v>Dx</v>
          </cell>
          <cell r="N2893" t="str">
            <v>Brampton</v>
          </cell>
          <cell r="O2893" t="str">
            <v>Peel</v>
          </cell>
          <cell r="P2893" t="str">
            <v>Toronto</v>
          </cell>
        </row>
        <row r="2894">
          <cell r="C2894" t="str">
            <v>QPA Grd 169 Coop</v>
          </cell>
          <cell r="D2894" t="str">
            <v>QS4 2012 LP</v>
          </cell>
          <cell r="E2894" t="str">
            <v>CO</v>
          </cell>
          <cell r="F2894">
            <v>42976</v>
          </cell>
          <cell r="G2894">
            <v>42758</v>
          </cell>
          <cell r="H2894">
            <v>50062</v>
          </cell>
          <cell r="I2894" t="str">
            <v>19 years, 11 months, 30 days</v>
          </cell>
          <cell r="J2894" t="str">
            <v>Renewables</v>
          </cell>
          <cell r="K2894" t="str">
            <v>Solar (Ground Mounted)</v>
          </cell>
          <cell r="L2894" t="str">
            <v>Solar</v>
          </cell>
          <cell r="M2894" t="str">
            <v>Dx</v>
          </cell>
          <cell r="N2894" t="str">
            <v>Kerwood</v>
          </cell>
          <cell r="O2894" t="str">
            <v>Middlesex</v>
          </cell>
          <cell r="P2894" t="str">
            <v>West</v>
          </cell>
        </row>
        <row r="2895">
          <cell r="C2895" t="str">
            <v>22 Head Street 2</v>
          </cell>
          <cell r="D2895" t="str">
            <v>2356936 ONTARIO INC.</v>
          </cell>
          <cell r="E2895" t="str">
            <v>CO</v>
          </cell>
          <cell r="F2895">
            <v>42428</v>
          </cell>
          <cell r="G2895">
            <v>42592</v>
          </cell>
          <cell r="H2895">
            <v>49732</v>
          </cell>
          <cell r="I2895" t="str">
            <v>19 years, 6 months, 17 days</v>
          </cell>
          <cell r="J2895" t="str">
            <v>Renewables</v>
          </cell>
          <cell r="K2895" t="str">
            <v>Solar (Rooftop)</v>
          </cell>
          <cell r="L2895" t="str">
            <v>Solar</v>
          </cell>
          <cell r="M2895" t="str">
            <v>Dx</v>
          </cell>
          <cell r="N2895" t="str">
            <v>Hamilton</v>
          </cell>
          <cell r="O2895" t="str">
            <v>Hamilton</v>
          </cell>
          <cell r="P2895" t="str">
            <v>Southwest</v>
          </cell>
        </row>
        <row r="2896">
          <cell r="C2896" t="str">
            <v>NSPG Hospital</v>
          </cell>
          <cell r="D2896" t="str">
            <v>NORTH SHORE POWER GROUP INC.</v>
          </cell>
          <cell r="E2896" t="str">
            <v>CO</v>
          </cell>
          <cell r="F2896">
            <v>42445</v>
          </cell>
          <cell r="G2896">
            <v>42612</v>
          </cell>
          <cell r="H2896">
            <v>49749</v>
          </cell>
          <cell r="I2896" t="str">
            <v>19 years, 6 months, 14 days</v>
          </cell>
          <cell r="J2896" t="str">
            <v>Renewables</v>
          </cell>
          <cell r="K2896" t="str">
            <v>Solar (Rooftop)</v>
          </cell>
          <cell r="L2896" t="str">
            <v>Solar</v>
          </cell>
          <cell r="M2896" t="str">
            <v>Dx</v>
          </cell>
          <cell r="N2896" t="str">
            <v>Blind River</v>
          </cell>
          <cell r="O2896" t="str">
            <v>Algoma</v>
          </cell>
          <cell r="P2896" t="str">
            <v>Northeast</v>
          </cell>
        </row>
        <row r="2897">
          <cell r="C2897" t="str">
            <v>P022</v>
          </cell>
          <cell r="D2897" t="str">
            <v>Reliant First Nation Limited Partnership</v>
          </cell>
          <cell r="E2897" t="str">
            <v>CO</v>
          </cell>
          <cell r="F2897">
            <v>42982</v>
          </cell>
          <cell r="G2897">
            <v>43116</v>
          </cell>
          <cell r="H2897">
            <v>50286</v>
          </cell>
          <cell r="I2897" t="str">
            <v>19 years, 7 months, 18 days</v>
          </cell>
          <cell r="J2897" t="str">
            <v>Renewables</v>
          </cell>
          <cell r="K2897" t="str">
            <v>Solar (Rooftop)</v>
          </cell>
          <cell r="L2897" t="str">
            <v>Solar</v>
          </cell>
          <cell r="M2897" t="str">
            <v>Dx</v>
          </cell>
          <cell r="N2897" t="str">
            <v>Mississauga</v>
          </cell>
          <cell r="O2897" t="str">
            <v>Peel</v>
          </cell>
          <cell r="P2897" t="str">
            <v>Toronto</v>
          </cell>
        </row>
        <row r="2898">
          <cell r="C2898" t="str">
            <v>Stewart_10020795</v>
          </cell>
          <cell r="D2898" t="str">
            <v>Skyline Private Opportunities Corp.</v>
          </cell>
          <cell r="E2898" t="str">
            <v>CO</v>
          </cell>
          <cell r="F2898">
            <v>42609</v>
          </cell>
          <cell r="G2898">
            <v>42674</v>
          </cell>
          <cell r="H2898">
            <v>49913</v>
          </cell>
          <cell r="I2898" t="str">
            <v>19 years, 9 months, 26 days</v>
          </cell>
          <cell r="J2898" t="str">
            <v>Renewables</v>
          </cell>
          <cell r="K2898" t="str">
            <v>Solar (Rooftop)</v>
          </cell>
          <cell r="L2898" t="str">
            <v>Solar</v>
          </cell>
          <cell r="M2898" t="str">
            <v>Dx</v>
          </cell>
          <cell r="N2898" t="str">
            <v>Brockville</v>
          </cell>
          <cell r="O2898" t="str">
            <v>Leeds and Grenville</v>
          </cell>
          <cell r="P2898" t="str">
            <v>East</v>
          </cell>
        </row>
        <row r="2899">
          <cell r="C2899" t="str">
            <v>SFF 14</v>
          </cell>
          <cell r="D2899" t="str">
            <v>2387282 Ontario Inc.</v>
          </cell>
          <cell r="E2899" t="str">
            <v>CO</v>
          </cell>
          <cell r="F2899">
            <v>43204</v>
          </cell>
          <cell r="G2899">
            <v>43262</v>
          </cell>
          <cell r="H2899">
            <v>50508</v>
          </cell>
          <cell r="I2899" t="str">
            <v>19 years, 10 months, 2 days</v>
          </cell>
          <cell r="J2899" t="str">
            <v>Renewables</v>
          </cell>
          <cell r="K2899" t="str">
            <v>Solar (Ground Mounted)</v>
          </cell>
          <cell r="L2899" t="str">
            <v>Solar</v>
          </cell>
          <cell r="M2899" t="str">
            <v>Dx</v>
          </cell>
          <cell r="N2899" t="str">
            <v>Newburgh</v>
          </cell>
          <cell r="O2899" t="str">
            <v>Lennox and Addington</v>
          </cell>
          <cell r="P2899" t="str">
            <v>East</v>
          </cell>
        </row>
        <row r="2900">
          <cell r="C2900" t="str">
            <v>P079</v>
          </cell>
          <cell r="D2900" t="str">
            <v>Reliant First Nation Limited Partnership</v>
          </cell>
          <cell r="E2900" t="str">
            <v>CO</v>
          </cell>
          <cell r="F2900">
            <v>42994</v>
          </cell>
          <cell r="G2900">
            <v>42983</v>
          </cell>
          <cell r="H2900">
            <v>50287</v>
          </cell>
          <cell r="I2900" t="str">
            <v>19 years, 11 months, 30 days</v>
          </cell>
          <cell r="J2900" t="str">
            <v>Renewables</v>
          </cell>
          <cell r="K2900" t="str">
            <v>Solar (Rooftop)</v>
          </cell>
          <cell r="L2900" t="str">
            <v>Solar</v>
          </cell>
          <cell r="M2900" t="str">
            <v>Dx</v>
          </cell>
          <cell r="N2900" t="str">
            <v>Mississauga</v>
          </cell>
          <cell r="O2900" t="str">
            <v>Peel</v>
          </cell>
          <cell r="P2900" t="str">
            <v>Toronto</v>
          </cell>
        </row>
        <row r="2901">
          <cell r="C2901" t="str">
            <v>P123</v>
          </cell>
          <cell r="D2901" t="str">
            <v>Reliant First Nation Limited Partnership</v>
          </cell>
          <cell r="E2901" t="str">
            <v>CO</v>
          </cell>
          <cell r="F2901">
            <v>42982</v>
          </cell>
          <cell r="G2901">
            <v>43045</v>
          </cell>
          <cell r="H2901">
            <v>50286</v>
          </cell>
          <cell r="I2901" t="str">
            <v>19 years, 9 months, 28 days</v>
          </cell>
          <cell r="J2901" t="str">
            <v>Renewables</v>
          </cell>
          <cell r="K2901" t="str">
            <v>Solar (Rooftop)</v>
          </cell>
          <cell r="L2901" t="str">
            <v>Solar</v>
          </cell>
          <cell r="M2901" t="str">
            <v>Dx</v>
          </cell>
          <cell r="N2901" t="str">
            <v>Mississauga</v>
          </cell>
          <cell r="O2901" t="str">
            <v>Peel</v>
          </cell>
          <cell r="P2901" t="str">
            <v>Southwest</v>
          </cell>
        </row>
        <row r="2902">
          <cell r="C2902" t="str">
            <v>Rising Sun Solar Old Muskoka</v>
          </cell>
          <cell r="D2902" t="str">
            <v>Rising Sun Community Power Corp.</v>
          </cell>
          <cell r="E2902" t="str">
            <v>CO</v>
          </cell>
          <cell r="F2902">
            <v>43213</v>
          </cell>
          <cell r="G2902">
            <v>43509</v>
          </cell>
          <cell r="H2902">
            <v>50517</v>
          </cell>
          <cell r="I2902" t="str">
            <v>19 years, 2 months, 9 days</v>
          </cell>
          <cell r="J2902" t="str">
            <v>Renewables</v>
          </cell>
          <cell r="K2902" t="str">
            <v>Solar (Ground Mounted)</v>
          </cell>
          <cell r="L2902" t="str">
            <v>Solar</v>
          </cell>
          <cell r="M2902" t="str">
            <v>Dx</v>
          </cell>
          <cell r="N2902" t="str">
            <v>Utterson</v>
          </cell>
          <cell r="O2902" t="str">
            <v>Muskoka</v>
          </cell>
          <cell r="P2902" t="str">
            <v>Essa</v>
          </cell>
        </row>
        <row r="2903">
          <cell r="C2903" t="str">
            <v>7 - Larry Dawson</v>
          </cell>
          <cell r="D2903" t="str">
            <v>Amber Solar Inc.</v>
          </cell>
          <cell r="E2903" t="str">
            <v>CO</v>
          </cell>
          <cell r="F2903">
            <v>42653</v>
          </cell>
          <cell r="G2903">
            <v>42878</v>
          </cell>
          <cell r="H2903">
            <v>49957</v>
          </cell>
          <cell r="I2903" t="str">
            <v>19 years, 4 months, 16 days</v>
          </cell>
          <cell r="J2903" t="str">
            <v>Renewables</v>
          </cell>
          <cell r="K2903" t="str">
            <v>Solar (Rooftop)</v>
          </cell>
          <cell r="L2903" t="str">
            <v>Solar</v>
          </cell>
          <cell r="M2903" t="str">
            <v>Dx</v>
          </cell>
          <cell r="N2903" t="str">
            <v>Springfield</v>
          </cell>
          <cell r="O2903" t="str">
            <v>Elgin</v>
          </cell>
          <cell r="P2903" t="str">
            <v>Southwest</v>
          </cell>
        </row>
        <row r="2904">
          <cell r="C2904" t="str">
            <v>GGELP_0026</v>
          </cell>
          <cell r="D2904" t="str">
            <v>Gengrowth Energy LP</v>
          </cell>
          <cell r="E2904" t="str">
            <v>CO</v>
          </cell>
          <cell r="F2904">
            <v>42974</v>
          </cell>
          <cell r="G2904">
            <v>43251</v>
          </cell>
          <cell r="H2904">
            <v>50278</v>
          </cell>
          <cell r="I2904" t="str">
            <v>19 years, 2 months, 26 days</v>
          </cell>
          <cell r="J2904" t="str">
            <v>Renewables</v>
          </cell>
          <cell r="K2904" t="str">
            <v>Solar (Ground Mounted)</v>
          </cell>
          <cell r="L2904" t="str">
            <v>Solar</v>
          </cell>
          <cell r="M2904" t="str">
            <v>Dx</v>
          </cell>
          <cell r="N2904" t="str">
            <v>Peterborough</v>
          </cell>
          <cell r="O2904" t="str">
            <v>Peterborough</v>
          </cell>
          <cell r="P2904" t="str">
            <v>East</v>
          </cell>
        </row>
        <row r="2905">
          <cell r="C2905" t="str">
            <v>P005</v>
          </cell>
          <cell r="D2905" t="str">
            <v>Reliant First Nation Limited Partnership</v>
          </cell>
          <cell r="E2905" t="str">
            <v>CO</v>
          </cell>
          <cell r="F2905">
            <v>42989</v>
          </cell>
          <cell r="G2905">
            <v>42962</v>
          </cell>
          <cell r="H2905">
            <v>50266</v>
          </cell>
          <cell r="I2905" t="str">
            <v>19 years, 11 months, 30 days</v>
          </cell>
          <cell r="J2905" t="str">
            <v>Renewables</v>
          </cell>
          <cell r="K2905" t="str">
            <v>Solar (Rooftop)</v>
          </cell>
          <cell r="L2905" t="str">
            <v>Solar</v>
          </cell>
          <cell r="M2905" t="str">
            <v>Dx</v>
          </cell>
          <cell r="N2905" t="str">
            <v>Mississauga</v>
          </cell>
          <cell r="O2905" t="str">
            <v>Peel</v>
          </cell>
          <cell r="P2905" t="str">
            <v>Toronto</v>
          </cell>
        </row>
        <row r="2906">
          <cell r="C2906" t="str">
            <v>P151</v>
          </cell>
          <cell r="D2906" t="str">
            <v>Reliant First Nation Limited Partnership</v>
          </cell>
          <cell r="E2906" t="str">
            <v>CO</v>
          </cell>
          <cell r="F2906">
            <v>42989</v>
          </cell>
          <cell r="G2906">
            <v>42835</v>
          </cell>
          <cell r="H2906">
            <v>50139</v>
          </cell>
          <cell r="I2906" t="str">
            <v>19 years, 11 months, 30 days</v>
          </cell>
          <cell r="J2906" t="str">
            <v>Renewables</v>
          </cell>
          <cell r="K2906" t="str">
            <v>Solar (Rooftop)</v>
          </cell>
          <cell r="L2906" t="str">
            <v>Solar</v>
          </cell>
          <cell r="M2906" t="str">
            <v>Dx</v>
          </cell>
          <cell r="N2906" t="str">
            <v>Brampton</v>
          </cell>
          <cell r="O2906" t="str">
            <v>Peel</v>
          </cell>
          <cell r="P2906" t="str">
            <v>Toronto</v>
          </cell>
        </row>
        <row r="2907">
          <cell r="C2907" t="str">
            <v>45 Massey Rd (RohnBrad)</v>
          </cell>
          <cell r="D2907" t="str">
            <v>SUNSHARE3 LP</v>
          </cell>
          <cell r="E2907" t="str">
            <v>CO</v>
          </cell>
          <cell r="F2907">
            <v>42666</v>
          </cell>
          <cell r="G2907">
            <v>42746</v>
          </cell>
          <cell r="H2907">
            <v>49970</v>
          </cell>
          <cell r="I2907" t="str">
            <v>19 years, 9 months, 11 days</v>
          </cell>
          <cell r="J2907" t="str">
            <v>Renewables</v>
          </cell>
          <cell r="K2907" t="str">
            <v>Solar (Rooftop)</v>
          </cell>
          <cell r="L2907" t="str">
            <v>Solar</v>
          </cell>
          <cell r="M2907" t="str">
            <v>Dx</v>
          </cell>
          <cell r="N2907" t="str">
            <v>Guelph</v>
          </cell>
          <cell r="O2907" t="str">
            <v>Wellington</v>
          </cell>
          <cell r="P2907" t="str">
            <v>Southwest</v>
          </cell>
        </row>
        <row r="2908">
          <cell r="C2908" t="str">
            <v>Matachewan - Landfill</v>
          </cell>
          <cell r="D2908" t="str">
            <v>Energie Matachewan Energy Inc.</v>
          </cell>
          <cell r="E2908" t="str">
            <v>CO</v>
          </cell>
          <cell r="F2908">
            <v>43204</v>
          </cell>
          <cell r="G2908">
            <v>43692</v>
          </cell>
          <cell r="H2908">
            <v>50508</v>
          </cell>
          <cell r="I2908" t="str">
            <v>18 years, 7 months, 29 days</v>
          </cell>
          <cell r="J2908" t="str">
            <v>Renewables</v>
          </cell>
          <cell r="K2908" t="str">
            <v>Solar (Ground Mounted)</v>
          </cell>
          <cell r="L2908" t="str">
            <v>Solar</v>
          </cell>
          <cell r="M2908" t="str">
            <v>Dx</v>
          </cell>
          <cell r="N2908" t="str">
            <v>Matachewan</v>
          </cell>
          <cell r="O2908" t="str">
            <v>Timiskaming</v>
          </cell>
          <cell r="P2908" t="str">
            <v>Northeast</v>
          </cell>
        </row>
        <row r="2909">
          <cell r="C2909" t="str">
            <v>Mizener Roof</v>
          </cell>
          <cell r="D2909" t="str">
            <v>Solar Profile LP</v>
          </cell>
          <cell r="E2909" t="str">
            <v>CO</v>
          </cell>
          <cell r="F2909">
            <v>42653</v>
          </cell>
          <cell r="G2909">
            <v>42744</v>
          </cell>
          <cell r="H2909">
            <v>49957</v>
          </cell>
          <cell r="I2909" t="str">
            <v>19 years, 9 months, 0 days</v>
          </cell>
          <cell r="J2909" t="str">
            <v>Renewables</v>
          </cell>
          <cell r="K2909" t="str">
            <v>Solar (Rooftop)</v>
          </cell>
          <cell r="L2909" t="str">
            <v>Solar</v>
          </cell>
          <cell r="M2909" t="str">
            <v>Dx</v>
          </cell>
          <cell r="N2909" t="str">
            <v>Hamilton</v>
          </cell>
          <cell r="O2909" t="str">
            <v>Hamilton</v>
          </cell>
          <cell r="P2909" t="str">
            <v>Southwest</v>
          </cell>
        </row>
        <row r="2910">
          <cell r="C2910" t="str">
            <v>Essa SS</v>
          </cell>
          <cell r="D2910" t="str">
            <v>Simcoe County District School Board</v>
          </cell>
          <cell r="E2910" t="str">
            <v>CO</v>
          </cell>
          <cell r="F2910">
            <v>42445</v>
          </cell>
          <cell r="G2910">
            <v>42628</v>
          </cell>
          <cell r="H2910">
            <v>49749</v>
          </cell>
          <cell r="I2910" t="str">
            <v>19 years, 6 months, 0 days</v>
          </cell>
          <cell r="J2910" t="str">
            <v>Renewables</v>
          </cell>
          <cell r="K2910" t="str">
            <v>Solar (Rooftop)</v>
          </cell>
          <cell r="L2910" t="str">
            <v>Solar</v>
          </cell>
          <cell r="M2910" t="str">
            <v>Dx</v>
          </cell>
          <cell r="N2910" t="str">
            <v>Essa</v>
          </cell>
          <cell r="O2910" t="str">
            <v>Simcoe</v>
          </cell>
          <cell r="P2910" t="str">
            <v>Southwest</v>
          </cell>
        </row>
        <row r="2911">
          <cell r="C2911" t="str">
            <v>Cox</v>
          </cell>
          <cell r="D2911" t="str">
            <v>Peterborough Solar Projects Corporation</v>
          </cell>
          <cell r="E2911" t="str">
            <v>CO</v>
          </cell>
          <cell r="F2911">
            <v>43200</v>
          </cell>
          <cell r="G2911">
            <v>43581</v>
          </cell>
          <cell r="H2911">
            <v>50504</v>
          </cell>
          <cell r="I2911" t="str">
            <v>18 years, 11 months, 14 days</v>
          </cell>
          <cell r="J2911" t="str">
            <v>Renewables</v>
          </cell>
          <cell r="K2911" t="str">
            <v>Solar (Ground Mounted)</v>
          </cell>
          <cell r="L2911" t="str">
            <v>Solar</v>
          </cell>
          <cell r="M2911" t="str">
            <v>Dx</v>
          </cell>
          <cell r="N2911" t="str">
            <v>Bancroft</v>
          </cell>
          <cell r="O2911" t="str">
            <v>Hastings</v>
          </cell>
          <cell r="P2911" t="str">
            <v>East</v>
          </cell>
        </row>
        <row r="2912">
          <cell r="C2912" t="str">
            <v>81 Todd Rd 2</v>
          </cell>
          <cell r="D2912" t="str">
            <v>2356929 ONTARIO INC.</v>
          </cell>
          <cell r="E2912" t="str">
            <v>CO</v>
          </cell>
          <cell r="F2912">
            <v>42428</v>
          </cell>
          <cell r="G2912">
            <v>42606</v>
          </cell>
          <cell r="H2912">
            <v>49732</v>
          </cell>
          <cell r="I2912" t="str">
            <v>19 years, 6 months, 3 days</v>
          </cell>
          <cell r="J2912" t="str">
            <v>Renewables</v>
          </cell>
          <cell r="K2912" t="str">
            <v>Solar (Rooftop)</v>
          </cell>
          <cell r="L2912" t="str">
            <v>Solar</v>
          </cell>
          <cell r="M2912" t="str">
            <v>Dx</v>
          </cell>
          <cell r="N2912" t="str">
            <v>Halton Hills</v>
          </cell>
          <cell r="O2912" t="str">
            <v>Halton</v>
          </cell>
          <cell r="P2912" t="str">
            <v>Toronto</v>
          </cell>
        </row>
        <row r="2913">
          <cell r="C2913" t="str">
            <v>P155</v>
          </cell>
          <cell r="D2913" t="str">
            <v>Reliant First Nation Limited Partnership</v>
          </cell>
          <cell r="E2913" t="str">
            <v>CO</v>
          </cell>
          <cell r="F2913">
            <v>42987</v>
          </cell>
          <cell r="G2913">
            <v>43124</v>
          </cell>
          <cell r="H2913">
            <v>50291</v>
          </cell>
          <cell r="I2913" t="str">
            <v>19 years, 7 months, 15 days</v>
          </cell>
          <cell r="J2913" t="str">
            <v>Renewables</v>
          </cell>
          <cell r="K2913" t="str">
            <v>Solar (Rooftop)</v>
          </cell>
          <cell r="L2913" t="str">
            <v>Solar</v>
          </cell>
          <cell r="M2913" t="str">
            <v>Dx</v>
          </cell>
          <cell r="N2913" t="str">
            <v>Brampton</v>
          </cell>
          <cell r="O2913" t="str">
            <v>Peel</v>
          </cell>
          <cell r="P2913" t="str">
            <v>Toronto</v>
          </cell>
        </row>
        <row r="2914">
          <cell r="C2914" t="str">
            <v>QPA Grd 438 - Sewage Treatment</v>
          </cell>
          <cell r="D2914" t="str">
            <v>QS4 2012 LP</v>
          </cell>
          <cell r="E2914" t="str">
            <v>CO</v>
          </cell>
          <cell r="F2914">
            <v>42975</v>
          </cell>
          <cell r="G2914">
            <v>43090</v>
          </cell>
          <cell r="H2914">
            <v>50279</v>
          </cell>
          <cell r="I2914" t="str">
            <v>19 years, 8 months, 6 days</v>
          </cell>
          <cell r="J2914" t="str">
            <v>Renewables</v>
          </cell>
          <cell r="K2914" t="str">
            <v>Solar (Ground Mounted)</v>
          </cell>
          <cell r="L2914" t="str">
            <v>Solar</v>
          </cell>
          <cell r="M2914" t="str">
            <v>Dx</v>
          </cell>
          <cell r="N2914" t="str">
            <v>Parkhill</v>
          </cell>
          <cell r="O2914" t="str">
            <v>Middlesex</v>
          </cell>
          <cell r="P2914" t="str">
            <v>Southwest</v>
          </cell>
        </row>
        <row r="2915">
          <cell r="C2915" t="str">
            <v>P097</v>
          </cell>
          <cell r="D2915" t="str">
            <v>Reliant First Nation Limited Partnership</v>
          </cell>
          <cell r="E2915" t="str">
            <v>CO</v>
          </cell>
          <cell r="F2915">
            <v>42987</v>
          </cell>
          <cell r="G2915">
            <v>42978</v>
          </cell>
          <cell r="H2915">
            <v>50282</v>
          </cell>
          <cell r="I2915" t="str">
            <v>19 years, 11 months, 30 days</v>
          </cell>
          <cell r="J2915" t="str">
            <v>Renewables</v>
          </cell>
          <cell r="K2915" t="str">
            <v>Solar (Rooftop)</v>
          </cell>
          <cell r="L2915" t="str">
            <v>Solar</v>
          </cell>
          <cell r="M2915" t="str">
            <v>Dx</v>
          </cell>
          <cell r="N2915" t="str">
            <v>Mississauga</v>
          </cell>
          <cell r="O2915" t="str">
            <v>Peel</v>
          </cell>
          <cell r="P2915" t="str">
            <v>Toronto</v>
          </cell>
        </row>
        <row r="2916">
          <cell r="C2916" t="str">
            <v>25a - Skipper 2</v>
          </cell>
          <cell r="D2916" t="str">
            <v>Amber Solar Inc.</v>
          </cell>
          <cell r="E2916" t="str">
            <v>CO</v>
          </cell>
          <cell r="F2916">
            <v>42653</v>
          </cell>
          <cell r="G2916">
            <v>42766</v>
          </cell>
          <cell r="H2916">
            <v>49957</v>
          </cell>
          <cell r="I2916" t="str">
            <v>19 years, 8 months, 8 days</v>
          </cell>
          <cell r="J2916" t="str">
            <v>Renewables</v>
          </cell>
          <cell r="K2916" t="str">
            <v>Solar (Rooftop)</v>
          </cell>
          <cell r="L2916" t="str">
            <v>Solar</v>
          </cell>
          <cell r="M2916" t="str">
            <v>Dx</v>
          </cell>
          <cell r="N2916" t="str">
            <v>Aylmer</v>
          </cell>
          <cell r="O2916" t="str">
            <v>Elgin</v>
          </cell>
          <cell r="P2916" t="str">
            <v>West</v>
          </cell>
        </row>
        <row r="2917">
          <cell r="C2917" t="str">
            <v>P137</v>
          </cell>
          <cell r="D2917" t="str">
            <v>Reliant First Nation Limited Partnership</v>
          </cell>
          <cell r="E2917" t="str">
            <v>CO</v>
          </cell>
          <cell r="F2917">
            <v>42982</v>
          </cell>
          <cell r="G2917">
            <v>42815</v>
          </cell>
          <cell r="H2917">
            <v>50119</v>
          </cell>
          <cell r="I2917" t="str">
            <v>19 years, 11 months, 27 days</v>
          </cell>
          <cell r="J2917" t="str">
            <v>Renewables</v>
          </cell>
          <cell r="K2917" t="str">
            <v>Solar (Rooftop)</v>
          </cell>
          <cell r="L2917" t="str">
            <v>Solar</v>
          </cell>
          <cell r="M2917" t="str">
            <v>Dx</v>
          </cell>
          <cell r="N2917" t="str">
            <v>Brampton</v>
          </cell>
          <cell r="O2917" t="str">
            <v>Peel</v>
          </cell>
          <cell r="P2917" t="str">
            <v>Toronto</v>
          </cell>
        </row>
        <row r="2918">
          <cell r="C2918" t="str">
            <v>YCDSB - St.Gregory the Great</v>
          </cell>
          <cell r="D2918" t="str">
            <v>York Catholic District School Board</v>
          </cell>
          <cell r="E2918" t="str">
            <v>CO</v>
          </cell>
          <cell r="F2918">
            <v>42445</v>
          </cell>
          <cell r="G2918">
            <v>42342</v>
          </cell>
          <cell r="H2918">
            <v>49646</v>
          </cell>
          <cell r="I2918" t="str">
            <v>19 years, 11 months, 29 days</v>
          </cell>
          <cell r="J2918" t="str">
            <v>Renewables</v>
          </cell>
          <cell r="K2918" t="str">
            <v>Solar (Rooftop)</v>
          </cell>
          <cell r="L2918" t="str">
            <v>Solar</v>
          </cell>
          <cell r="M2918" t="str">
            <v>Dx</v>
          </cell>
          <cell r="N2918" t="str">
            <v>Woodbridge</v>
          </cell>
          <cell r="O2918" t="str">
            <v>York</v>
          </cell>
          <cell r="P2918" t="str">
            <v>Toronto</v>
          </cell>
        </row>
        <row r="2919">
          <cell r="C2919" t="str">
            <v>Kew Beach Public School</v>
          </cell>
          <cell r="D2919" t="str">
            <v>Beach Community Energy Co-operative Inc.</v>
          </cell>
          <cell r="E2919" t="str">
            <v>CO</v>
          </cell>
          <cell r="F2919">
            <v>42431</v>
          </cell>
          <cell r="G2919">
            <v>42615</v>
          </cell>
          <cell r="H2919">
            <v>49735</v>
          </cell>
          <cell r="I2919" t="str">
            <v>19 years, 5 months, 28 days</v>
          </cell>
          <cell r="J2919" t="str">
            <v>Renewables</v>
          </cell>
          <cell r="K2919" t="str">
            <v>Solar (Rooftop)</v>
          </cell>
          <cell r="L2919" t="str">
            <v>Solar</v>
          </cell>
          <cell r="M2919" t="str">
            <v>Dx</v>
          </cell>
          <cell r="N2919" t="str">
            <v>Toronto</v>
          </cell>
          <cell r="O2919" t="str">
            <v>Toronto</v>
          </cell>
          <cell r="P2919" t="str">
            <v>Toronto</v>
          </cell>
        </row>
        <row r="2920">
          <cell r="C2920" t="str">
            <v>GG3-012</v>
          </cell>
          <cell r="D2920" t="str">
            <v>GSC Southlake Solar LP</v>
          </cell>
          <cell r="E2920" t="str">
            <v>CO</v>
          </cell>
          <cell r="F2920">
            <v>42980</v>
          </cell>
          <cell r="G2920">
            <v>43522</v>
          </cell>
          <cell r="H2920">
            <v>50284</v>
          </cell>
          <cell r="I2920" t="str">
            <v>18 years, 6 months, 6 days</v>
          </cell>
          <cell r="J2920" t="str">
            <v>Renewables</v>
          </cell>
          <cell r="K2920" t="str">
            <v>Solar (Ground Mounted)</v>
          </cell>
          <cell r="L2920" t="str">
            <v>Solar</v>
          </cell>
          <cell r="M2920" t="str">
            <v>Dx</v>
          </cell>
          <cell r="N2920" t="str">
            <v>Blezard Valley</v>
          </cell>
          <cell r="O2920" t="str">
            <v>Greater Sudbury</v>
          </cell>
          <cell r="P2920" t="str">
            <v>Northeast</v>
          </cell>
        </row>
        <row r="2921">
          <cell r="C2921" t="str">
            <v>Obrien</v>
          </cell>
          <cell r="D2921" t="str">
            <v>Peterborough Solar Projects Corporation</v>
          </cell>
          <cell r="E2921" t="str">
            <v>CO</v>
          </cell>
          <cell r="F2921">
            <v>42981</v>
          </cell>
          <cell r="G2921">
            <v>43507</v>
          </cell>
          <cell r="H2921">
            <v>50285</v>
          </cell>
          <cell r="I2921" t="str">
            <v>18 years, 6 months, 22 days</v>
          </cell>
          <cell r="J2921" t="str">
            <v>Renewables</v>
          </cell>
          <cell r="K2921" t="str">
            <v>Solar (Ground Mounted)</v>
          </cell>
          <cell r="L2921" t="str">
            <v>Solar</v>
          </cell>
          <cell r="M2921" t="str">
            <v>Dx</v>
          </cell>
          <cell r="N2921" t="str">
            <v>Coe Hill</v>
          </cell>
          <cell r="O2921" t="str">
            <v>Hastings</v>
          </cell>
          <cell r="P2921" t="str">
            <v>East</v>
          </cell>
        </row>
        <row r="2922">
          <cell r="C2922" t="str">
            <v>Pierre Berton 40kW</v>
          </cell>
          <cell r="D2922" t="str">
            <v>York Region District School Board</v>
          </cell>
          <cell r="E2922" t="str">
            <v>CO</v>
          </cell>
          <cell r="F2922">
            <v>42432</v>
          </cell>
          <cell r="G2922">
            <v>42472</v>
          </cell>
          <cell r="H2922">
            <v>49736</v>
          </cell>
          <cell r="I2922" t="str">
            <v>19 years, 10 months, 19 days</v>
          </cell>
          <cell r="J2922" t="str">
            <v>Renewables</v>
          </cell>
          <cell r="K2922" t="str">
            <v>Solar (Rooftop)</v>
          </cell>
          <cell r="L2922" t="str">
            <v>Solar</v>
          </cell>
          <cell r="M2922" t="str">
            <v>Dx</v>
          </cell>
          <cell r="N2922" t="str">
            <v>Woodbridge</v>
          </cell>
          <cell r="O2922" t="str">
            <v>York</v>
          </cell>
          <cell r="P2922" t="str">
            <v>Toronto</v>
          </cell>
        </row>
        <row r="2923">
          <cell r="C2923" t="str">
            <v>Scotch Line PV</v>
          </cell>
          <cell r="D2923" t="str">
            <v>B. &amp; B. FARMS LIMITED</v>
          </cell>
          <cell r="E2923" t="str">
            <v>CO</v>
          </cell>
          <cell r="F2923">
            <v>42609</v>
          </cell>
          <cell r="G2923">
            <v>42845</v>
          </cell>
          <cell r="H2923">
            <v>49913</v>
          </cell>
          <cell r="I2923" t="str">
            <v>19 years, 4 months, 6 days</v>
          </cell>
          <cell r="J2923" t="str">
            <v>Renewables</v>
          </cell>
          <cell r="K2923" t="str">
            <v>Solar (Rooftop)</v>
          </cell>
          <cell r="L2923" t="str">
            <v>Solar</v>
          </cell>
          <cell r="M2923" t="str">
            <v>Dx</v>
          </cell>
          <cell r="N2923" t="str">
            <v>Elmira</v>
          </cell>
          <cell r="O2923" t="str">
            <v>Waterloo</v>
          </cell>
          <cell r="P2923" t="str">
            <v>Southwest</v>
          </cell>
        </row>
        <row r="2924">
          <cell r="C2924" t="str">
            <v>P148</v>
          </cell>
          <cell r="D2924" t="str">
            <v>Reliant First Nation Limited Partnership</v>
          </cell>
          <cell r="E2924" t="str">
            <v>CO</v>
          </cell>
          <cell r="F2924">
            <v>42982</v>
          </cell>
          <cell r="G2924">
            <v>42853</v>
          </cell>
          <cell r="H2924">
            <v>50157</v>
          </cell>
          <cell r="I2924" t="str">
            <v>19 years, 11 months, 30 days</v>
          </cell>
          <cell r="J2924" t="str">
            <v>Renewables</v>
          </cell>
          <cell r="K2924" t="str">
            <v>Solar (Rooftop)</v>
          </cell>
          <cell r="L2924" t="str">
            <v>Solar</v>
          </cell>
          <cell r="M2924" t="str">
            <v>Dx</v>
          </cell>
          <cell r="N2924" t="str">
            <v>Brampton</v>
          </cell>
          <cell r="O2924" t="str">
            <v>Peel</v>
          </cell>
          <cell r="P2924" t="str">
            <v>Toronto</v>
          </cell>
        </row>
        <row r="2925">
          <cell r="C2925" t="str">
            <v>SPN 319</v>
          </cell>
          <cell r="D2925" t="str">
            <v>OFIT GM INC.</v>
          </cell>
          <cell r="E2925" t="str">
            <v>CO</v>
          </cell>
          <cell r="F2925">
            <v>42659</v>
          </cell>
          <cell r="G2925">
            <v>42992</v>
          </cell>
          <cell r="H2925">
            <v>49963</v>
          </cell>
          <cell r="I2925" t="str">
            <v>19 years, 1 months, 1 days</v>
          </cell>
          <cell r="J2925" t="str">
            <v>Renewables</v>
          </cell>
          <cell r="K2925" t="str">
            <v>Solar (Rooftop)</v>
          </cell>
          <cell r="L2925" t="str">
            <v>Solar</v>
          </cell>
          <cell r="M2925" t="str">
            <v>Dx</v>
          </cell>
          <cell r="N2925" t="str">
            <v>Toronto</v>
          </cell>
          <cell r="O2925" t="str">
            <v>Toronto</v>
          </cell>
          <cell r="P2925" t="str">
            <v>Toronto</v>
          </cell>
        </row>
        <row r="2926">
          <cell r="C2926" t="str">
            <v>SFF 11</v>
          </cell>
          <cell r="D2926" t="str">
            <v>2387282 Ontario Inc.</v>
          </cell>
          <cell r="E2926" t="str">
            <v>CO</v>
          </cell>
          <cell r="F2926">
            <v>43918</v>
          </cell>
          <cell r="G2926">
            <v>43889</v>
          </cell>
          <cell r="H2926">
            <v>51194</v>
          </cell>
          <cell r="I2926" t="str">
            <v>20 years, 0 months, 0 days</v>
          </cell>
          <cell r="J2926" t="str">
            <v>Renewables</v>
          </cell>
          <cell r="K2926" t="str">
            <v>Solar (Ground Mounted)</v>
          </cell>
          <cell r="L2926" t="str">
            <v>Solar</v>
          </cell>
          <cell r="M2926" t="str">
            <v>Dx</v>
          </cell>
          <cell r="N2926" t="str">
            <v>Newburgh</v>
          </cell>
          <cell r="O2926" t="str">
            <v>Lennox and Addington</v>
          </cell>
          <cell r="P2926" t="str">
            <v>East</v>
          </cell>
        </row>
        <row r="2927">
          <cell r="C2927" t="str">
            <v>SPN 226</v>
          </cell>
          <cell r="D2927" t="str">
            <v>SPN LP 7</v>
          </cell>
          <cell r="E2927" t="str">
            <v>CO</v>
          </cell>
          <cell r="F2927">
            <v>42659</v>
          </cell>
          <cell r="G2927">
            <v>42855</v>
          </cell>
          <cell r="H2927">
            <v>49963</v>
          </cell>
          <cell r="I2927" t="str">
            <v>19 years, 5 months, 15 days</v>
          </cell>
          <cell r="J2927" t="str">
            <v>Renewables</v>
          </cell>
          <cell r="K2927" t="str">
            <v>Solar (Rooftop)</v>
          </cell>
          <cell r="L2927" t="str">
            <v>Solar</v>
          </cell>
          <cell r="M2927" t="str">
            <v>Dx</v>
          </cell>
          <cell r="N2927" t="str">
            <v>Aurora</v>
          </cell>
          <cell r="O2927" t="str">
            <v>York</v>
          </cell>
          <cell r="P2927" t="str">
            <v>Essa</v>
          </cell>
        </row>
        <row r="2928">
          <cell r="C2928" t="str">
            <v>LDCSB St. Joseph H.S. (St. Thomas)</v>
          </cell>
          <cell r="D2928" t="str">
            <v>Ameresco LDCSB Solar Inc.</v>
          </cell>
          <cell r="E2928" t="str">
            <v>CO</v>
          </cell>
          <cell r="F2928">
            <v>42653</v>
          </cell>
          <cell r="G2928">
            <v>42675</v>
          </cell>
          <cell r="H2928">
            <v>49957</v>
          </cell>
          <cell r="I2928" t="str">
            <v>19 years, 11 months, 8 days</v>
          </cell>
          <cell r="J2928" t="str">
            <v>Renewables</v>
          </cell>
          <cell r="K2928" t="str">
            <v>Solar (Rooftop)</v>
          </cell>
          <cell r="L2928" t="str">
            <v>Solar</v>
          </cell>
          <cell r="M2928" t="str">
            <v>Dx</v>
          </cell>
          <cell r="N2928" t="str">
            <v>St. Thomas</v>
          </cell>
          <cell r="O2928" t="str">
            <v>Elgin</v>
          </cell>
          <cell r="P2928" t="str">
            <v>West</v>
          </cell>
        </row>
        <row r="2929">
          <cell r="C2929" t="str">
            <v>516 Simmons Road (J Mason-PIT 3 South)</v>
          </cell>
          <cell r="D2929" t="str">
            <v>SUNSHARE2 LP</v>
          </cell>
          <cell r="E2929" t="str">
            <v>CO</v>
          </cell>
          <cell r="F2929">
            <v>42975</v>
          </cell>
          <cell r="G2929">
            <v>42933</v>
          </cell>
          <cell r="H2929">
            <v>50237</v>
          </cell>
          <cell r="I2929" t="str">
            <v>19 years, 11 months, 29 days</v>
          </cell>
          <cell r="J2929" t="str">
            <v>Renewables</v>
          </cell>
          <cell r="K2929" t="str">
            <v>Solar (Ground Mounted)</v>
          </cell>
          <cell r="L2929" t="str">
            <v>Solar</v>
          </cell>
          <cell r="M2929" t="str">
            <v>Dx</v>
          </cell>
          <cell r="N2929" t="str">
            <v>Chelmsford</v>
          </cell>
          <cell r="O2929" t="str">
            <v>Greater Sudbury</v>
          </cell>
          <cell r="P2929" t="str">
            <v>Northeast</v>
          </cell>
        </row>
        <row r="2930">
          <cell r="C2930" t="str">
            <v>St. Joseph's West 1</v>
          </cell>
          <cell r="D2930" t="str">
            <v>QS15 2012 LP</v>
          </cell>
          <cell r="E2930" t="str">
            <v>CO</v>
          </cell>
          <cell r="F2930">
            <v>42428</v>
          </cell>
          <cell r="G2930">
            <v>42572</v>
          </cell>
          <cell r="H2930">
            <v>49732</v>
          </cell>
          <cell r="I2930" t="str">
            <v>19 years, 7 months, 6 days</v>
          </cell>
          <cell r="J2930" t="str">
            <v>Renewables</v>
          </cell>
          <cell r="K2930" t="str">
            <v>Solar (Rooftop)</v>
          </cell>
          <cell r="L2930" t="str">
            <v>Solar</v>
          </cell>
          <cell r="M2930" t="str">
            <v>Dx</v>
          </cell>
          <cell r="N2930" t="str">
            <v>Hamilton</v>
          </cell>
          <cell r="O2930" t="str">
            <v>Hamilton</v>
          </cell>
          <cell r="P2930" t="str">
            <v>Southwest</v>
          </cell>
        </row>
        <row r="2931">
          <cell r="C2931" t="str">
            <v>GG3-007</v>
          </cell>
          <cell r="D2931" t="str">
            <v>GSC Southlake Solar LP</v>
          </cell>
          <cell r="E2931" t="str">
            <v>CO</v>
          </cell>
          <cell r="F2931">
            <v>43204</v>
          </cell>
          <cell r="G2931">
            <v>43749</v>
          </cell>
          <cell r="H2931">
            <v>50508</v>
          </cell>
          <cell r="I2931" t="str">
            <v>18 years, 6 months, 2 days</v>
          </cell>
          <cell r="J2931" t="str">
            <v>Renewables</v>
          </cell>
          <cell r="K2931" t="str">
            <v>Solar (Ground Mounted)</v>
          </cell>
          <cell r="L2931" t="str">
            <v>Solar</v>
          </cell>
          <cell r="M2931" t="str">
            <v>Dx</v>
          </cell>
          <cell r="N2931" t="str">
            <v>Castleton</v>
          </cell>
          <cell r="O2931" t="str">
            <v>Northumberland</v>
          </cell>
          <cell r="P2931" t="str">
            <v>East</v>
          </cell>
        </row>
        <row r="2932">
          <cell r="C2932" t="str">
            <v>Forcier</v>
          </cell>
          <cell r="D2932" t="str">
            <v>Peterborough Solar Projects Corporation</v>
          </cell>
          <cell r="E2932" t="str">
            <v>CO</v>
          </cell>
          <cell r="F2932">
            <v>42981</v>
          </cell>
          <cell r="G2932">
            <v>43504</v>
          </cell>
          <cell r="H2932">
            <v>50285</v>
          </cell>
          <cell r="I2932" t="str">
            <v>18 years, 6 months, 25 days</v>
          </cell>
          <cell r="J2932" t="str">
            <v>Renewables</v>
          </cell>
          <cell r="K2932" t="str">
            <v>Solar (Ground Mounted)</v>
          </cell>
          <cell r="L2932" t="str">
            <v>Solar</v>
          </cell>
          <cell r="M2932" t="str">
            <v>Dx</v>
          </cell>
          <cell r="N2932" t="str">
            <v>Bancroft</v>
          </cell>
          <cell r="O2932" t="str">
            <v>Hastings</v>
          </cell>
          <cell r="P2932" t="str">
            <v>East</v>
          </cell>
        </row>
        <row r="2933">
          <cell r="C2933" t="str">
            <v>Derby Works Yard</v>
          </cell>
          <cell r="D2933" t="str">
            <v>Biidaaske Inc.</v>
          </cell>
          <cell r="E2933" t="str">
            <v>CO</v>
          </cell>
          <cell r="F2933">
            <v>42976</v>
          </cell>
          <cell r="G2933">
            <v>43518</v>
          </cell>
          <cell r="H2933">
            <v>50280</v>
          </cell>
          <cell r="I2933" t="str">
            <v>18 years, 6 months, 6 days</v>
          </cell>
          <cell r="J2933" t="str">
            <v>Renewables</v>
          </cell>
          <cell r="K2933" t="str">
            <v>Solar (Ground Mounted)</v>
          </cell>
          <cell r="L2933" t="str">
            <v>Solar</v>
          </cell>
          <cell r="M2933" t="str">
            <v>Dx</v>
          </cell>
          <cell r="N2933" t="str">
            <v>Owen Sound</v>
          </cell>
          <cell r="O2933" t="str">
            <v>Grey</v>
          </cell>
          <cell r="P2933" t="str">
            <v>Southwest</v>
          </cell>
        </row>
        <row r="2934">
          <cell r="C2934" t="str">
            <v>Bakker Farm</v>
          </cell>
          <cell r="D2934" t="str">
            <v>Ottawa Renewable Energy Co-operative Inc.</v>
          </cell>
          <cell r="E2934" t="str">
            <v>CO</v>
          </cell>
          <cell r="F2934">
            <v>42429</v>
          </cell>
          <cell r="G2934">
            <v>42262</v>
          </cell>
          <cell r="H2934">
            <v>49566</v>
          </cell>
          <cell r="I2934" t="str">
            <v>19 years, 11 months, 30 days</v>
          </cell>
          <cell r="J2934" t="str">
            <v>Renewables</v>
          </cell>
          <cell r="K2934" t="str">
            <v>Solar (Rooftop)</v>
          </cell>
          <cell r="L2934" t="str">
            <v>Solar</v>
          </cell>
          <cell r="M2934" t="str">
            <v>Dx</v>
          </cell>
          <cell r="N2934" t="str">
            <v>Manotick</v>
          </cell>
          <cell r="O2934" t="str">
            <v>Ottawa</v>
          </cell>
          <cell r="P2934" t="str">
            <v>Ottawa</v>
          </cell>
        </row>
        <row r="2935">
          <cell r="C2935" t="str">
            <v>Northam Building 3</v>
          </cell>
          <cell r="D2935" t="str">
            <v>Orillia Power Generation Corporation</v>
          </cell>
          <cell r="E2935" t="str">
            <v>CO</v>
          </cell>
          <cell r="F2935">
            <v>42445</v>
          </cell>
          <cell r="G2935">
            <v>42626</v>
          </cell>
          <cell r="H2935">
            <v>49749</v>
          </cell>
          <cell r="I2935" t="str">
            <v>19 years, 6 months, 2 days</v>
          </cell>
          <cell r="J2935" t="str">
            <v>Renewables</v>
          </cell>
          <cell r="K2935" t="str">
            <v>Solar (Rooftop)</v>
          </cell>
          <cell r="L2935" t="str">
            <v>Solar</v>
          </cell>
          <cell r="M2935" t="str">
            <v>Dx</v>
          </cell>
          <cell r="N2935" t="str">
            <v>Cobourg</v>
          </cell>
          <cell r="O2935" t="str">
            <v>Northumberland</v>
          </cell>
          <cell r="P2935" t="str">
            <v>East</v>
          </cell>
        </row>
        <row r="2936">
          <cell r="C2936" t="str">
            <v>P175</v>
          </cell>
          <cell r="D2936" t="str">
            <v>Reliant First Nation Limited Partnership</v>
          </cell>
          <cell r="E2936" t="str">
            <v>CO</v>
          </cell>
          <cell r="F2936">
            <v>42982</v>
          </cell>
          <cell r="G2936">
            <v>43144</v>
          </cell>
          <cell r="H2936">
            <v>50286</v>
          </cell>
          <cell r="I2936" t="str">
            <v>19 years, 6 months, 21 days</v>
          </cell>
          <cell r="J2936" t="str">
            <v>Renewables</v>
          </cell>
          <cell r="K2936" t="str">
            <v>Solar (Rooftop)</v>
          </cell>
          <cell r="L2936" t="str">
            <v>Solar</v>
          </cell>
          <cell r="M2936" t="str">
            <v>Dx</v>
          </cell>
          <cell r="N2936" t="str">
            <v>Brampton</v>
          </cell>
          <cell r="O2936" t="str">
            <v>Peel</v>
          </cell>
          <cell r="P2936" t="str">
            <v>Toronto</v>
          </cell>
        </row>
        <row r="2937">
          <cell r="C2937" t="str">
            <v>MoldMaster Sportplex Solar Array</v>
          </cell>
          <cell r="D2937" t="str">
            <v>Halton Hills Community Energy Corporation</v>
          </cell>
          <cell r="E2937" t="str">
            <v>CO</v>
          </cell>
          <cell r="F2937">
            <v>42432</v>
          </cell>
          <cell r="G2937">
            <v>42237</v>
          </cell>
          <cell r="H2937">
            <v>49541</v>
          </cell>
          <cell r="I2937" t="str">
            <v>19 years, 11 months, 30 days</v>
          </cell>
          <cell r="J2937" t="str">
            <v>Renewables</v>
          </cell>
          <cell r="K2937" t="str">
            <v>Solar (Rooftop)</v>
          </cell>
          <cell r="L2937" t="str">
            <v>Solar</v>
          </cell>
          <cell r="M2937" t="str">
            <v>Dx</v>
          </cell>
          <cell r="N2937" t="str">
            <v>Halton Hills</v>
          </cell>
          <cell r="O2937" t="str">
            <v>Halton</v>
          </cell>
          <cell r="P2937" t="str">
            <v>Toronto</v>
          </cell>
        </row>
        <row r="2938">
          <cell r="C2938" t="str">
            <v>Helios - Queensway</v>
          </cell>
          <cell r="D2938" t="str">
            <v>Helios Whitefish River First Nation Limited Partnership</v>
          </cell>
          <cell r="E2938" t="str">
            <v>CO</v>
          </cell>
          <cell r="F2938">
            <v>43200</v>
          </cell>
          <cell r="G2938">
            <v>42891</v>
          </cell>
          <cell r="H2938">
            <v>50195</v>
          </cell>
          <cell r="I2938" t="str">
            <v>19 years, 11 months, 30 days</v>
          </cell>
          <cell r="J2938" t="str">
            <v>Renewables</v>
          </cell>
          <cell r="K2938" t="str">
            <v>Solar (Ground Mounted)</v>
          </cell>
          <cell r="L2938" t="str">
            <v>Solar</v>
          </cell>
          <cell r="M2938" t="str">
            <v>Dx</v>
          </cell>
          <cell r="N2938" t="str">
            <v>Espanola</v>
          </cell>
          <cell r="O2938" t="str">
            <v>Sudbury</v>
          </cell>
          <cell r="P2938" t="str">
            <v>Northeast</v>
          </cell>
        </row>
        <row r="2939">
          <cell r="C2939" t="str">
            <v>SunEdison ON-11-0168</v>
          </cell>
          <cell r="D2939" t="str">
            <v>GSC Southlake Solar LP</v>
          </cell>
          <cell r="E2939" t="str">
            <v>CO</v>
          </cell>
          <cell r="F2939">
            <v>42980</v>
          </cell>
          <cell r="G2939">
            <v>43518</v>
          </cell>
          <cell r="H2939">
            <v>50284</v>
          </cell>
          <cell r="I2939" t="str">
            <v>18 years, 6 months, 10 days</v>
          </cell>
          <cell r="J2939" t="str">
            <v>Renewables</v>
          </cell>
          <cell r="K2939" t="str">
            <v>Solar (Ground Mounted)</v>
          </cell>
          <cell r="L2939" t="str">
            <v>Solar</v>
          </cell>
          <cell r="M2939" t="str">
            <v>Dx</v>
          </cell>
          <cell r="N2939" t="str">
            <v>Smiths Falls</v>
          </cell>
          <cell r="O2939" t="str">
            <v>Lanark</v>
          </cell>
          <cell r="P2939" t="str">
            <v>East</v>
          </cell>
        </row>
        <row r="2940">
          <cell r="C2940" t="str">
            <v>MEL-211 BOWES</v>
          </cell>
          <cell r="D2940" t="str">
            <v>2391395 Ontario Inc.</v>
          </cell>
          <cell r="E2940" t="str">
            <v>CO</v>
          </cell>
          <cell r="F2940">
            <v>42664</v>
          </cell>
          <cell r="G2940">
            <v>42655</v>
          </cell>
          <cell r="H2940">
            <v>49959</v>
          </cell>
          <cell r="I2940" t="str">
            <v>19 years, 11 months, 29 days</v>
          </cell>
          <cell r="J2940" t="str">
            <v>Renewables</v>
          </cell>
          <cell r="K2940" t="str">
            <v>Solar (Rooftop)</v>
          </cell>
          <cell r="L2940" t="str">
            <v>Solar</v>
          </cell>
          <cell r="M2940" t="str">
            <v>Dx</v>
          </cell>
          <cell r="N2940" t="str">
            <v>Concord</v>
          </cell>
          <cell r="O2940" t="str">
            <v>York</v>
          </cell>
          <cell r="P2940" t="str">
            <v>Toronto</v>
          </cell>
        </row>
        <row r="2941">
          <cell r="C2941" t="str">
            <v>River Oaks Community Center</v>
          </cell>
          <cell r="D2941" t="str">
            <v>Corporation of the Town of Oakville</v>
          </cell>
          <cell r="E2941" t="str">
            <v>CO</v>
          </cell>
          <cell r="F2941">
            <v>42447</v>
          </cell>
          <cell r="G2941">
            <v>42311</v>
          </cell>
          <cell r="H2941">
            <v>49615</v>
          </cell>
          <cell r="I2941" t="str">
            <v>19 years, 11 months, 30 days</v>
          </cell>
          <cell r="J2941" t="str">
            <v>Renewables</v>
          </cell>
          <cell r="K2941" t="str">
            <v>Solar (Rooftop)</v>
          </cell>
          <cell r="L2941" t="str">
            <v>Solar</v>
          </cell>
          <cell r="M2941" t="str">
            <v>Dx</v>
          </cell>
          <cell r="N2941" t="str">
            <v>Oakville</v>
          </cell>
          <cell r="O2941" t="str">
            <v>Halton</v>
          </cell>
          <cell r="P2941" t="str">
            <v>Southwest</v>
          </cell>
        </row>
        <row r="2942">
          <cell r="C2942" t="str">
            <v>40 Rutherford Crt (J Oskam)</v>
          </cell>
          <cell r="D2942" t="str">
            <v>Oskam Welding &amp; Machine Ltd. and Community Energy Development Co-operative Ltd.</v>
          </cell>
          <cell r="E2942" t="str">
            <v>CO</v>
          </cell>
          <cell r="F2942">
            <v>42666</v>
          </cell>
          <cell r="G2942">
            <v>42831</v>
          </cell>
          <cell r="H2942">
            <v>49970</v>
          </cell>
          <cell r="I2942" t="str">
            <v>19 years, 6 months, 16 days</v>
          </cell>
          <cell r="J2942" t="str">
            <v>Renewables</v>
          </cell>
          <cell r="K2942" t="str">
            <v>Solar (Rooftop)</v>
          </cell>
          <cell r="L2942" t="str">
            <v>Solar</v>
          </cell>
          <cell r="M2942" t="str">
            <v>Dx</v>
          </cell>
          <cell r="N2942" t="str">
            <v>Guelph</v>
          </cell>
          <cell r="O2942" t="str">
            <v>Wellington</v>
          </cell>
          <cell r="P2942" t="str">
            <v>Southwest</v>
          </cell>
        </row>
        <row r="2943">
          <cell r="C2943" t="str">
            <v>SPN 303</v>
          </cell>
          <cell r="D2943" t="str">
            <v>SPN LP 3</v>
          </cell>
          <cell r="E2943" t="str">
            <v>CO</v>
          </cell>
          <cell r="F2943">
            <v>42428</v>
          </cell>
          <cell r="G2943">
            <v>42473</v>
          </cell>
          <cell r="H2943">
            <v>49732</v>
          </cell>
          <cell r="I2943" t="str">
            <v>19 years, 10 months, 14 days</v>
          </cell>
          <cell r="J2943" t="str">
            <v>Renewables</v>
          </cell>
          <cell r="K2943" t="str">
            <v>Solar (Rooftop)</v>
          </cell>
          <cell r="L2943" t="str">
            <v>Solar</v>
          </cell>
          <cell r="M2943" t="str">
            <v>Dx</v>
          </cell>
          <cell r="N2943" t="str">
            <v>Oakville</v>
          </cell>
          <cell r="O2943" t="str">
            <v>Halton</v>
          </cell>
          <cell r="P2943" t="str">
            <v>Southwest</v>
          </cell>
        </row>
        <row r="2944">
          <cell r="C2944" t="str">
            <v>Tottenham Arena &amp; Community Centre - 139 Queen St.</v>
          </cell>
          <cell r="D2944" t="str">
            <v>Sologix Clean Energy Corporation</v>
          </cell>
          <cell r="E2944" t="str">
            <v>CO</v>
          </cell>
          <cell r="F2944">
            <v>42664</v>
          </cell>
          <cell r="G2944">
            <v>42846</v>
          </cell>
          <cell r="H2944">
            <v>49968</v>
          </cell>
          <cell r="I2944" t="str">
            <v>19 years, 5 months, 29 days</v>
          </cell>
          <cell r="J2944" t="str">
            <v>Renewables</v>
          </cell>
          <cell r="K2944" t="str">
            <v>Solar (Rooftop)</v>
          </cell>
          <cell r="L2944" t="str">
            <v>Solar</v>
          </cell>
          <cell r="M2944" t="str">
            <v>Dx</v>
          </cell>
          <cell r="N2944" t="str">
            <v>Tottenham</v>
          </cell>
          <cell r="O2944" t="str">
            <v>Simcoe</v>
          </cell>
          <cell r="P2944" t="str">
            <v>Southwest</v>
          </cell>
        </row>
        <row r="2945">
          <cell r="C2945" t="str">
            <v>28 - Bossuyt Farm</v>
          </cell>
          <cell r="D2945" t="str">
            <v>Amber Solar Inc.</v>
          </cell>
          <cell r="E2945" t="str">
            <v>CO</v>
          </cell>
          <cell r="F2945">
            <v>42653</v>
          </cell>
          <cell r="G2945">
            <v>42857</v>
          </cell>
          <cell r="H2945">
            <v>49957</v>
          </cell>
          <cell r="I2945" t="str">
            <v>19 years, 5 months, 7 days</v>
          </cell>
          <cell r="J2945" t="str">
            <v>Renewables</v>
          </cell>
          <cell r="K2945" t="str">
            <v>Solar (Rooftop)</v>
          </cell>
          <cell r="L2945" t="str">
            <v>Solar</v>
          </cell>
          <cell r="M2945" t="str">
            <v>Dx</v>
          </cell>
          <cell r="N2945" t="str">
            <v>Aylmer</v>
          </cell>
          <cell r="O2945" t="str">
            <v>Elgin</v>
          </cell>
          <cell r="P2945" t="str">
            <v>West</v>
          </cell>
        </row>
        <row r="2946">
          <cell r="C2946" t="str">
            <v>8572 Highway 7 (R Fellows)</v>
          </cell>
          <cell r="D2946" t="str">
            <v>NORTH SHORE POWER GROUP INC.</v>
          </cell>
          <cell r="E2946" t="str">
            <v>CO</v>
          </cell>
          <cell r="F2946">
            <v>42564</v>
          </cell>
          <cell r="G2946">
            <v>42625</v>
          </cell>
          <cell r="H2946">
            <v>49868</v>
          </cell>
          <cell r="I2946" t="str">
            <v>19 years, 10 months, 0 days</v>
          </cell>
          <cell r="J2946" t="str">
            <v>Renewables</v>
          </cell>
          <cell r="K2946" t="str">
            <v>Solar (Rooftop)</v>
          </cell>
          <cell r="L2946" t="str">
            <v>Solar</v>
          </cell>
          <cell r="M2946" t="str">
            <v>Dx</v>
          </cell>
          <cell r="N2946" t="str">
            <v>Rockwood</v>
          </cell>
          <cell r="O2946" t="str">
            <v>Wellington</v>
          </cell>
          <cell r="P2946" t="str">
            <v>Southwest</v>
          </cell>
        </row>
        <row r="2947">
          <cell r="C2947" t="str">
            <v>GE011</v>
          </cell>
          <cell r="D2947" t="str">
            <v>SIF #2 Reliant Essex LP</v>
          </cell>
          <cell r="E2947" t="str">
            <v>CO</v>
          </cell>
          <cell r="F2947">
            <v>42440</v>
          </cell>
          <cell r="G2947">
            <v>42620</v>
          </cell>
          <cell r="H2947">
            <v>49744</v>
          </cell>
          <cell r="I2947" t="str">
            <v>19 years, 6 months, 3 days</v>
          </cell>
          <cell r="J2947" t="str">
            <v>Renewables</v>
          </cell>
          <cell r="K2947" t="str">
            <v>Solar (Rooftop)</v>
          </cell>
          <cell r="L2947" t="str">
            <v>Solar</v>
          </cell>
          <cell r="M2947" t="str">
            <v>Dx</v>
          </cell>
          <cell r="N2947" t="str">
            <v>Windsor</v>
          </cell>
          <cell r="O2947" t="str">
            <v>Essex</v>
          </cell>
          <cell r="P2947" t="str">
            <v>West</v>
          </cell>
        </row>
        <row r="2948">
          <cell r="C2948" t="str">
            <v>Home Farm</v>
          </cell>
          <cell r="D2948" t="str">
            <v>Augustin Josef Walch and Birgit Walch</v>
          </cell>
          <cell r="E2948" t="str">
            <v>CO</v>
          </cell>
          <cell r="F2948">
            <v>42609</v>
          </cell>
          <cell r="G2948">
            <v>42615</v>
          </cell>
          <cell r="H2948">
            <v>49913</v>
          </cell>
          <cell r="I2948" t="str">
            <v>19 years, 11 months, 24 days</v>
          </cell>
          <cell r="J2948" t="str">
            <v>Renewables</v>
          </cell>
          <cell r="K2948" t="str">
            <v>Solar (Rooftop)</v>
          </cell>
          <cell r="L2948" t="str">
            <v>Solar</v>
          </cell>
          <cell r="M2948" t="str">
            <v>Dx</v>
          </cell>
          <cell r="N2948" t="str">
            <v>Stratford</v>
          </cell>
          <cell r="O2948" t="str">
            <v>Perth</v>
          </cell>
          <cell r="P2948" t="str">
            <v>Southwest</v>
          </cell>
        </row>
        <row r="2949">
          <cell r="C2949" t="str">
            <v>1 Maybrook Drive</v>
          </cell>
          <cell r="D2949" t="str">
            <v>Chi Biidaaske Inc.</v>
          </cell>
          <cell r="E2949" t="str">
            <v>CO</v>
          </cell>
          <cell r="F2949">
            <v>42428</v>
          </cell>
          <cell r="G2949">
            <v>42408</v>
          </cell>
          <cell r="H2949">
            <v>49712</v>
          </cell>
          <cell r="I2949" t="str">
            <v>19 years, 11 months, 30 days</v>
          </cell>
          <cell r="J2949" t="str">
            <v>Renewables</v>
          </cell>
          <cell r="K2949" t="str">
            <v>Solar (Rooftop)</v>
          </cell>
          <cell r="L2949" t="str">
            <v>Solar</v>
          </cell>
          <cell r="M2949" t="str">
            <v>Dx</v>
          </cell>
          <cell r="N2949" t="str">
            <v>Toronto</v>
          </cell>
          <cell r="O2949" t="str">
            <v>Toronto</v>
          </cell>
          <cell r="P2949" t="str">
            <v>Toronto</v>
          </cell>
        </row>
        <row r="2950">
          <cell r="C2950" t="str">
            <v>P136</v>
          </cell>
          <cell r="D2950" t="str">
            <v>Reliant First Nation Limited Partnership</v>
          </cell>
          <cell r="E2950" t="str">
            <v>CO</v>
          </cell>
          <cell r="F2950">
            <v>42989</v>
          </cell>
          <cell r="G2950">
            <v>42823</v>
          </cell>
          <cell r="H2950">
            <v>50127</v>
          </cell>
          <cell r="I2950" t="str">
            <v>19 years, 11 months, 27 days</v>
          </cell>
          <cell r="J2950" t="str">
            <v>Renewables</v>
          </cell>
          <cell r="K2950" t="str">
            <v>Solar (Rooftop)</v>
          </cell>
          <cell r="L2950" t="str">
            <v>Solar</v>
          </cell>
          <cell r="M2950" t="str">
            <v>Dx</v>
          </cell>
          <cell r="N2950" t="str">
            <v>Brampton</v>
          </cell>
          <cell r="O2950" t="str">
            <v>Peel</v>
          </cell>
          <cell r="P2950" t="str">
            <v>Toronto</v>
          </cell>
        </row>
        <row r="2951">
          <cell r="C2951" t="str">
            <v>QSS Kaladar Solar</v>
          </cell>
          <cell r="D2951" t="str">
            <v>Community Solar Assets 4 Limited</v>
          </cell>
          <cell r="E2951" t="str">
            <v>CO</v>
          </cell>
          <cell r="F2951">
            <v>42975</v>
          </cell>
          <cell r="G2951">
            <v>42905</v>
          </cell>
          <cell r="H2951">
            <v>50209</v>
          </cell>
          <cell r="I2951" t="str">
            <v>19 years, 11 months, 30 days</v>
          </cell>
          <cell r="J2951" t="str">
            <v>Renewables</v>
          </cell>
          <cell r="K2951" t="str">
            <v>Solar (Ground Mounted)</v>
          </cell>
          <cell r="L2951" t="str">
            <v>Solar</v>
          </cell>
          <cell r="M2951" t="str">
            <v>Dx</v>
          </cell>
          <cell r="N2951" t="str">
            <v>Flinton</v>
          </cell>
          <cell r="O2951" t="str">
            <v>Lennox and Addington</v>
          </cell>
          <cell r="P2951" t="str">
            <v>East</v>
          </cell>
        </row>
        <row r="2952">
          <cell r="C2952" t="str">
            <v>GT CH8</v>
          </cell>
          <cell r="D2952" t="str">
            <v>Community Solar Assets 4 Limited</v>
          </cell>
          <cell r="E2952" t="str">
            <v>CO</v>
          </cell>
          <cell r="F2952">
            <v>42974</v>
          </cell>
          <cell r="G2952">
            <v>43000</v>
          </cell>
          <cell r="H2952">
            <v>50278</v>
          </cell>
          <cell r="I2952" t="str">
            <v>19 years, 11 months, 4 days</v>
          </cell>
          <cell r="J2952" t="str">
            <v>Renewables</v>
          </cell>
          <cell r="K2952" t="str">
            <v>Solar (Ground Mounted)</v>
          </cell>
          <cell r="L2952" t="str">
            <v>Solar</v>
          </cell>
          <cell r="M2952" t="str">
            <v>Dx</v>
          </cell>
          <cell r="N2952" t="str">
            <v>Englehart</v>
          </cell>
          <cell r="O2952" t="str">
            <v>Timiskaming</v>
          </cell>
          <cell r="P2952" t="str">
            <v>Northeast</v>
          </cell>
        </row>
        <row r="2953">
          <cell r="C2953" t="str">
            <v>Ecole Notre Dame 100kW</v>
          </cell>
          <cell r="D2953" t="str">
            <v>Conseil scolaire de district catholique du Nouvel-Ontario</v>
          </cell>
          <cell r="E2953" t="str">
            <v>CO</v>
          </cell>
          <cell r="F2953">
            <v>42445</v>
          </cell>
          <cell r="G2953">
            <v>42629</v>
          </cell>
          <cell r="H2953">
            <v>49749</v>
          </cell>
          <cell r="I2953" t="str">
            <v>19 years, 5 months, 28 days</v>
          </cell>
          <cell r="J2953" t="str">
            <v>Renewables</v>
          </cell>
          <cell r="K2953" t="str">
            <v>Solar (Rooftop)</v>
          </cell>
          <cell r="L2953" t="str">
            <v>Solar</v>
          </cell>
          <cell r="M2953" t="str">
            <v>Dx</v>
          </cell>
          <cell r="N2953" t="str">
            <v>Sault Ste. Marie</v>
          </cell>
          <cell r="O2953" t="str">
            <v>Algoma</v>
          </cell>
          <cell r="P2953" t="str">
            <v>Northeast</v>
          </cell>
        </row>
        <row r="2954">
          <cell r="C2954" t="str">
            <v>P129</v>
          </cell>
          <cell r="D2954" t="str">
            <v>Reliant First Nation Limited Partnership</v>
          </cell>
          <cell r="E2954" t="str">
            <v>CO</v>
          </cell>
          <cell r="F2954">
            <v>42982</v>
          </cell>
          <cell r="G2954">
            <v>43153</v>
          </cell>
          <cell r="H2954">
            <v>50286</v>
          </cell>
          <cell r="I2954" t="str">
            <v>19 years, 6 months, 12 days</v>
          </cell>
          <cell r="J2954" t="str">
            <v>Renewables</v>
          </cell>
          <cell r="K2954" t="str">
            <v>Solar (Rooftop)</v>
          </cell>
          <cell r="L2954" t="str">
            <v>Solar</v>
          </cell>
          <cell r="M2954" t="str">
            <v>Dx</v>
          </cell>
          <cell r="N2954" t="str">
            <v>Brampton</v>
          </cell>
          <cell r="O2954" t="str">
            <v>Peel</v>
          </cell>
          <cell r="P2954" t="str">
            <v>Toronto</v>
          </cell>
        </row>
        <row r="2955">
          <cell r="C2955" t="str">
            <v>GE040</v>
          </cell>
          <cell r="D2955" t="str">
            <v>SIF #2 Reliant Essex LP</v>
          </cell>
          <cell r="E2955" t="str">
            <v>CO</v>
          </cell>
          <cell r="F2955">
            <v>42438</v>
          </cell>
          <cell r="G2955">
            <v>42607</v>
          </cell>
          <cell r="H2955">
            <v>49742</v>
          </cell>
          <cell r="I2955" t="str">
            <v>19 years, 6 months, 12 days</v>
          </cell>
          <cell r="J2955" t="str">
            <v>Renewables</v>
          </cell>
          <cell r="K2955" t="str">
            <v>Solar (Rooftop)</v>
          </cell>
          <cell r="L2955" t="str">
            <v>Solar</v>
          </cell>
          <cell r="M2955" t="str">
            <v>Dx</v>
          </cell>
          <cell r="N2955" t="str">
            <v>Windsor</v>
          </cell>
          <cell r="O2955" t="str">
            <v>Essex</v>
          </cell>
          <cell r="P2955" t="str">
            <v>West</v>
          </cell>
        </row>
        <row r="2956">
          <cell r="C2956" t="str">
            <v>GreenLife Solar 5</v>
          </cell>
          <cell r="D2956" t="str">
            <v>GreenLife Solar Projects Inc.</v>
          </cell>
          <cell r="E2956" t="str">
            <v>CO</v>
          </cell>
          <cell r="F2956">
            <v>43200</v>
          </cell>
          <cell r="G2956">
            <v>43714</v>
          </cell>
          <cell r="H2956">
            <v>50504</v>
          </cell>
          <cell r="I2956" t="str">
            <v>18 years, 7 months, 3 days</v>
          </cell>
          <cell r="J2956" t="str">
            <v>Renewables</v>
          </cell>
          <cell r="K2956" t="str">
            <v>Solar (Ground Mounted)</v>
          </cell>
          <cell r="L2956" t="str">
            <v>Solar</v>
          </cell>
          <cell r="M2956" t="str">
            <v>Dx</v>
          </cell>
          <cell r="N2956" t="str">
            <v>Hastings</v>
          </cell>
          <cell r="O2956" t="str">
            <v>Northumberland</v>
          </cell>
          <cell r="P2956" t="str">
            <v>East</v>
          </cell>
        </row>
        <row r="2957">
          <cell r="C2957" t="str">
            <v>P108</v>
          </cell>
          <cell r="D2957" t="str">
            <v>Reliant First Nation Limited Partnership</v>
          </cell>
          <cell r="E2957" t="str">
            <v>CO</v>
          </cell>
          <cell r="F2957">
            <v>42433</v>
          </cell>
          <cell r="G2957">
            <v>42607</v>
          </cell>
          <cell r="H2957">
            <v>49737</v>
          </cell>
          <cell r="I2957" t="str">
            <v>19 years, 6 months, 7 days</v>
          </cell>
          <cell r="J2957" t="str">
            <v>Renewables</v>
          </cell>
          <cell r="K2957" t="str">
            <v>Solar (Rooftop)</v>
          </cell>
          <cell r="L2957" t="str">
            <v>Solar</v>
          </cell>
          <cell r="M2957" t="str">
            <v>Dx</v>
          </cell>
          <cell r="N2957" t="str">
            <v>Mississauga</v>
          </cell>
          <cell r="O2957" t="str">
            <v>Peel</v>
          </cell>
          <cell r="P2957" t="str">
            <v>Toronto</v>
          </cell>
        </row>
        <row r="2958">
          <cell r="C2958" t="str">
            <v>SFF 5</v>
          </cell>
          <cell r="D2958" t="str">
            <v>2387282 Ontario Inc.</v>
          </cell>
          <cell r="E2958" t="str">
            <v>CO</v>
          </cell>
          <cell r="F2958">
            <v>43204</v>
          </cell>
          <cell r="G2958">
            <v>43294</v>
          </cell>
          <cell r="H2958">
            <v>50508</v>
          </cell>
          <cell r="I2958" t="str">
            <v>19 years, 9 months, 0 days</v>
          </cell>
          <cell r="J2958" t="str">
            <v>Renewables</v>
          </cell>
          <cell r="K2958" t="str">
            <v>Solar (Ground Mounted)</v>
          </cell>
          <cell r="L2958" t="str">
            <v>Solar</v>
          </cell>
          <cell r="M2958" t="str">
            <v>Dx</v>
          </cell>
          <cell r="N2958" t="str">
            <v>Grafton</v>
          </cell>
          <cell r="O2958" t="str">
            <v>Northumberland</v>
          </cell>
          <cell r="P2958" t="str">
            <v>East</v>
          </cell>
        </row>
        <row r="2959">
          <cell r="C2959" t="str">
            <v>P066</v>
          </cell>
          <cell r="D2959" t="str">
            <v>Reliant First Nation Limited Partnership</v>
          </cell>
          <cell r="E2959" t="str">
            <v>CO</v>
          </cell>
          <cell r="F2959">
            <v>42989</v>
          </cell>
          <cell r="G2959">
            <v>43011</v>
          </cell>
          <cell r="H2959">
            <v>50293</v>
          </cell>
          <cell r="I2959" t="str">
            <v>19 years, 11 months, 7 days</v>
          </cell>
          <cell r="J2959" t="str">
            <v>Renewables</v>
          </cell>
          <cell r="K2959" t="str">
            <v>Solar (Rooftop)</v>
          </cell>
          <cell r="L2959" t="str">
            <v>Solar</v>
          </cell>
          <cell r="M2959" t="str">
            <v>Dx</v>
          </cell>
          <cell r="N2959" t="str">
            <v>Mississauga</v>
          </cell>
          <cell r="O2959" t="str">
            <v>Peel</v>
          </cell>
          <cell r="P2959" t="str">
            <v>Toronto</v>
          </cell>
        </row>
        <row r="2960">
          <cell r="C2960" t="str">
            <v>P220</v>
          </cell>
          <cell r="D2960" t="str">
            <v>Reliant First Nation Limited Partnership</v>
          </cell>
          <cell r="E2960" t="str">
            <v>CO</v>
          </cell>
          <cell r="F2960">
            <v>42989</v>
          </cell>
          <cell r="G2960">
            <v>42804</v>
          </cell>
          <cell r="H2960">
            <v>50108</v>
          </cell>
          <cell r="I2960" t="str">
            <v>19 years, 11 months, 27 days</v>
          </cell>
          <cell r="J2960" t="str">
            <v>Renewables</v>
          </cell>
          <cell r="K2960" t="str">
            <v>Solar (Rooftop)</v>
          </cell>
          <cell r="L2960" t="str">
            <v>Solar</v>
          </cell>
          <cell r="M2960" t="str">
            <v>Dx</v>
          </cell>
          <cell r="N2960" t="str">
            <v>Mississauga</v>
          </cell>
          <cell r="O2960" t="str">
            <v>Peel</v>
          </cell>
          <cell r="P2960" t="str">
            <v>Toronto</v>
          </cell>
        </row>
        <row r="2961">
          <cell r="C2961" t="str">
            <v>P031</v>
          </cell>
          <cell r="D2961" t="str">
            <v>Reliant First Nation Limited Partnership</v>
          </cell>
          <cell r="E2961" t="str">
            <v>CO</v>
          </cell>
          <cell r="F2961">
            <v>42994</v>
          </cell>
          <cell r="G2961">
            <v>42835</v>
          </cell>
          <cell r="H2961">
            <v>50139</v>
          </cell>
          <cell r="I2961" t="str">
            <v>19 years, 11 months, 30 days</v>
          </cell>
          <cell r="J2961" t="str">
            <v>Renewables</v>
          </cell>
          <cell r="K2961" t="str">
            <v>Solar (Rooftop)</v>
          </cell>
          <cell r="L2961" t="str">
            <v>Solar</v>
          </cell>
          <cell r="M2961" t="str">
            <v>Dx</v>
          </cell>
          <cell r="N2961" t="str">
            <v>Brampton</v>
          </cell>
          <cell r="O2961" t="str">
            <v>Peel</v>
          </cell>
          <cell r="P2961" t="str">
            <v>Toronto</v>
          </cell>
        </row>
        <row r="2962">
          <cell r="C2962" t="str">
            <v>560 Parkside</v>
          </cell>
          <cell r="D2962" t="str">
            <v>2387281 Ontario Inc.</v>
          </cell>
          <cell r="E2962" t="str">
            <v>CO</v>
          </cell>
          <cell r="F2962">
            <v>42664</v>
          </cell>
          <cell r="G2962">
            <v>42846</v>
          </cell>
          <cell r="H2962">
            <v>49968</v>
          </cell>
          <cell r="I2962" t="str">
            <v>19 years, 5 months, 29 days</v>
          </cell>
          <cell r="J2962" t="str">
            <v>Renewables</v>
          </cell>
          <cell r="K2962" t="str">
            <v>Solar (Rooftop)</v>
          </cell>
          <cell r="L2962" t="str">
            <v>Solar</v>
          </cell>
          <cell r="M2962" t="str">
            <v>Dx</v>
          </cell>
          <cell r="N2962" t="str">
            <v>Waterloo</v>
          </cell>
          <cell r="O2962" t="str">
            <v>Waterloo</v>
          </cell>
          <cell r="P2962" t="str">
            <v>Southwest</v>
          </cell>
        </row>
        <row r="2963">
          <cell r="C2963" t="str">
            <v>McCormick RC/Pool</v>
          </cell>
          <cell r="D2963" t="str">
            <v>City of Toronto</v>
          </cell>
          <cell r="E2963" t="str">
            <v>CO</v>
          </cell>
          <cell r="F2963">
            <v>42432</v>
          </cell>
          <cell r="G2963">
            <v>42411</v>
          </cell>
          <cell r="H2963">
            <v>49715</v>
          </cell>
          <cell r="I2963" t="str">
            <v>19 years, 11 months, 30 days</v>
          </cell>
          <cell r="J2963" t="str">
            <v>Renewables</v>
          </cell>
          <cell r="K2963" t="str">
            <v>Solar (Rooftop)</v>
          </cell>
          <cell r="L2963" t="str">
            <v>Solar</v>
          </cell>
          <cell r="M2963" t="str">
            <v>Dx</v>
          </cell>
          <cell r="N2963" t="str">
            <v>Toronto</v>
          </cell>
          <cell r="O2963" t="str">
            <v>Toronto</v>
          </cell>
          <cell r="P2963" t="str">
            <v>Toronto</v>
          </cell>
        </row>
        <row r="2964">
          <cell r="C2964" t="str">
            <v>St. Joseph's King</v>
          </cell>
          <cell r="D2964" t="str">
            <v>QS15 2012 LP</v>
          </cell>
          <cell r="E2964" t="str">
            <v>CO</v>
          </cell>
          <cell r="F2964">
            <v>42428</v>
          </cell>
          <cell r="G2964">
            <v>42459</v>
          </cell>
          <cell r="H2964">
            <v>49732</v>
          </cell>
          <cell r="I2964" t="str">
            <v>19 years, 10 months, 28 days</v>
          </cell>
          <cell r="J2964" t="str">
            <v>Renewables</v>
          </cell>
          <cell r="K2964" t="str">
            <v>Solar (Rooftop)</v>
          </cell>
          <cell r="L2964" t="str">
            <v>Solar</v>
          </cell>
          <cell r="M2964" t="str">
            <v>Dx</v>
          </cell>
          <cell r="N2964" t="str">
            <v>Hamilton</v>
          </cell>
          <cell r="O2964" t="str">
            <v>Hamilton</v>
          </cell>
          <cell r="P2964" t="str">
            <v>Southwest</v>
          </cell>
        </row>
        <row r="2965">
          <cell r="C2965" t="str">
            <v>YCDSB - Our Lady of the Lake CHS</v>
          </cell>
          <cell r="D2965" t="str">
            <v>York Catholic District School Board</v>
          </cell>
          <cell r="E2965" t="str">
            <v>CO</v>
          </cell>
          <cell r="F2965">
            <v>42445</v>
          </cell>
          <cell r="G2965">
            <v>42613</v>
          </cell>
          <cell r="H2965">
            <v>49749</v>
          </cell>
          <cell r="I2965" t="str">
            <v>19 years, 6 months, 13 days</v>
          </cell>
          <cell r="J2965" t="str">
            <v>Renewables</v>
          </cell>
          <cell r="K2965" t="str">
            <v>Solar (Rooftop)</v>
          </cell>
          <cell r="L2965" t="str">
            <v>Solar</v>
          </cell>
          <cell r="M2965" t="str">
            <v>Dx</v>
          </cell>
          <cell r="N2965" t="str">
            <v>Keswick</v>
          </cell>
          <cell r="O2965" t="str">
            <v>York</v>
          </cell>
          <cell r="P2965" t="str">
            <v>Essa</v>
          </cell>
        </row>
        <row r="2966">
          <cell r="C2966" t="str">
            <v>Walter Baker Sports Centre</v>
          </cell>
          <cell r="D2966" t="str">
            <v>Hydro Ottawa Holding Inc.</v>
          </cell>
          <cell r="E2966" t="str">
            <v>CO</v>
          </cell>
          <cell r="F2966">
            <v>42447</v>
          </cell>
          <cell r="G2966">
            <v>42622</v>
          </cell>
          <cell r="H2966">
            <v>49751</v>
          </cell>
          <cell r="I2966" t="str">
            <v>19 years, 6 months, 8 days</v>
          </cell>
          <cell r="J2966" t="str">
            <v>Renewables</v>
          </cell>
          <cell r="K2966" t="str">
            <v>Solar (Rooftop)</v>
          </cell>
          <cell r="L2966" t="str">
            <v>Solar</v>
          </cell>
          <cell r="M2966" t="str">
            <v>Dx</v>
          </cell>
          <cell r="N2966" t="str">
            <v>Ottawa</v>
          </cell>
          <cell r="O2966" t="str">
            <v>Ottawa</v>
          </cell>
          <cell r="P2966" t="str">
            <v>Ottawa</v>
          </cell>
        </row>
        <row r="2967">
          <cell r="C2967" t="str">
            <v>Chuck Mantel</v>
          </cell>
          <cell r="D2967" t="str">
            <v>QS2 2012 LP</v>
          </cell>
          <cell r="E2967" t="str">
            <v>CO</v>
          </cell>
          <cell r="F2967">
            <v>42976</v>
          </cell>
          <cell r="G2967">
            <v>42668</v>
          </cell>
          <cell r="H2967">
            <v>49972</v>
          </cell>
          <cell r="I2967" t="str">
            <v>19 years, 11 months, 29 days</v>
          </cell>
          <cell r="J2967" t="str">
            <v>Renewables</v>
          </cell>
          <cell r="K2967" t="str">
            <v>Solar (Ground Mounted)</v>
          </cell>
          <cell r="L2967" t="str">
            <v>Solar</v>
          </cell>
          <cell r="M2967" t="str">
            <v>Dx</v>
          </cell>
          <cell r="N2967" t="str">
            <v>Hamilton</v>
          </cell>
          <cell r="O2967" t="str">
            <v>Hamilton</v>
          </cell>
          <cell r="P2967" t="str">
            <v>Southwest</v>
          </cell>
        </row>
        <row r="2968">
          <cell r="C2968" t="str">
            <v>QPA Roof 256 - Middlesex Arena</v>
          </cell>
          <cell r="D2968" t="str">
            <v>QS4 2012 LP</v>
          </cell>
          <cell r="E2968" t="str">
            <v>CO</v>
          </cell>
          <cell r="F2968">
            <v>42428</v>
          </cell>
          <cell r="G2968">
            <v>42360</v>
          </cell>
          <cell r="H2968">
            <v>49664</v>
          </cell>
          <cell r="I2968" t="str">
            <v>19 years, 11 months, 29 days</v>
          </cell>
          <cell r="J2968" t="str">
            <v>Renewables</v>
          </cell>
          <cell r="K2968" t="str">
            <v>Solar (Rooftop)</v>
          </cell>
          <cell r="L2968" t="str">
            <v>Solar</v>
          </cell>
          <cell r="M2968" t="str">
            <v>Dx</v>
          </cell>
          <cell r="N2968" t="str">
            <v>Parkhill</v>
          </cell>
          <cell r="O2968" t="str">
            <v>Middlesex</v>
          </cell>
          <cell r="P2968" t="str">
            <v>Southwest</v>
          </cell>
        </row>
        <row r="2969">
          <cell r="C2969" t="str">
            <v>EMP-12809 TELEPHONE</v>
          </cell>
          <cell r="D2969" t="str">
            <v>2387276 Ontario Inc.</v>
          </cell>
          <cell r="E2969" t="str">
            <v>CO</v>
          </cell>
          <cell r="F2969">
            <v>43204</v>
          </cell>
          <cell r="G2969">
            <v>43553</v>
          </cell>
          <cell r="H2969">
            <v>50508</v>
          </cell>
          <cell r="I2969" t="str">
            <v>19 years, 0 months, 15 days</v>
          </cell>
          <cell r="J2969" t="str">
            <v>Renewables</v>
          </cell>
          <cell r="K2969" t="str">
            <v>Solar (Ground Mounted)</v>
          </cell>
          <cell r="L2969" t="str">
            <v>Solar</v>
          </cell>
          <cell r="M2969" t="str">
            <v>Dx</v>
          </cell>
          <cell r="N2969" t="str">
            <v>Colborne</v>
          </cell>
          <cell r="O2969" t="str">
            <v>Northumberland</v>
          </cell>
          <cell r="P2969" t="str">
            <v>East</v>
          </cell>
        </row>
        <row r="2970">
          <cell r="C2970" t="str">
            <v>SPN 425</v>
          </cell>
          <cell r="D2970" t="str">
            <v>SPN LP 3</v>
          </cell>
          <cell r="E2970" t="str">
            <v>CO</v>
          </cell>
          <cell r="F2970">
            <v>42653</v>
          </cell>
          <cell r="G2970">
            <v>42830</v>
          </cell>
          <cell r="H2970">
            <v>49957</v>
          </cell>
          <cell r="I2970" t="str">
            <v>19 years, 6 months, 4 days</v>
          </cell>
          <cell r="J2970" t="str">
            <v>Renewables</v>
          </cell>
          <cell r="K2970" t="str">
            <v>Solar (Rooftop)</v>
          </cell>
          <cell r="L2970" t="str">
            <v>Solar</v>
          </cell>
          <cell r="M2970" t="str">
            <v>Dx</v>
          </cell>
          <cell r="N2970" t="str">
            <v>St. Marys</v>
          </cell>
          <cell r="O2970" t="str">
            <v>Perth</v>
          </cell>
          <cell r="P2970" t="str">
            <v>Southwest</v>
          </cell>
        </row>
        <row r="2971">
          <cell r="C2971" t="str">
            <v>SunEdison ON-13-0111</v>
          </cell>
          <cell r="D2971" t="str">
            <v>Solar Provider Canada Power Health LP</v>
          </cell>
          <cell r="E2971" t="str">
            <v>CO</v>
          </cell>
          <cell r="F2971">
            <v>42452</v>
          </cell>
          <cell r="G2971">
            <v>42619</v>
          </cell>
          <cell r="H2971">
            <v>49756</v>
          </cell>
          <cell r="I2971" t="str">
            <v>19 years, 6 months, 16 days</v>
          </cell>
          <cell r="J2971" t="str">
            <v>Renewables</v>
          </cell>
          <cell r="K2971" t="str">
            <v>Solar (Rooftop)</v>
          </cell>
          <cell r="L2971" t="str">
            <v>Solar</v>
          </cell>
          <cell r="M2971" t="str">
            <v>Dx</v>
          </cell>
          <cell r="N2971" t="str">
            <v>Hamilton</v>
          </cell>
          <cell r="O2971" t="str">
            <v>Hamilton</v>
          </cell>
          <cell r="P2971" t="str">
            <v>Southwest</v>
          </cell>
        </row>
        <row r="2972">
          <cell r="C2972" t="str">
            <v>P194</v>
          </cell>
          <cell r="D2972" t="str">
            <v>Reliant First Nation Limited Partnership</v>
          </cell>
          <cell r="E2972" t="str">
            <v>CO</v>
          </cell>
          <cell r="F2972">
            <v>42982</v>
          </cell>
          <cell r="G2972">
            <v>42936</v>
          </cell>
          <cell r="H2972">
            <v>50240</v>
          </cell>
          <cell r="I2972" t="str">
            <v>19 years, 11 months, 29 days</v>
          </cell>
          <cell r="J2972" t="str">
            <v>Renewables</v>
          </cell>
          <cell r="K2972" t="str">
            <v>Solar (Rooftop)</v>
          </cell>
          <cell r="L2972" t="str">
            <v>Solar</v>
          </cell>
          <cell r="M2972" t="str">
            <v>Dx</v>
          </cell>
          <cell r="N2972" t="str">
            <v>Brampton</v>
          </cell>
          <cell r="O2972" t="str">
            <v>Peel</v>
          </cell>
          <cell r="P2972" t="str">
            <v>Toronto</v>
          </cell>
        </row>
        <row r="2973">
          <cell r="C2973" t="str">
            <v>GG3-014</v>
          </cell>
          <cell r="D2973" t="str">
            <v>GSC Southlake Solar LP</v>
          </cell>
          <cell r="E2973" t="str">
            <v>CO</v>
          </cell>
          <cell r="F2973">
            <v>42981</v>
          </cell>
          <cell r="G2973">
            <v>43517</v>
          </cell>
          <cell r="H2973">
            <v>50285</v>
          </cell>
          <cell r="I2973" t="str">
            <v>18 years, 6 months, 12 days</v>
          </cell>
          <cell r="J2973" t="str">
            <v>Renewables</v>
          </cell>
          <cell r="K2973" t="str">
            <v>Solar (Ground Mounted)</v>
          </cell>
          <cell r="L2973" t="str">
            <v>Solar</v>
          </cell>
          <cell r="M2973" t="str">
            <v>Dx</v>
          </cell>
          <cell r="N2973" t="str">
            <v>Sturgeon Falls</v>
          </cell>
          <cell r="O2973" t="str">
            <v>Nipissing</v>
          </cell>
          <cell r="P2973" t="str">
            <v>Northeast</v>
          </cell>
        </row>
        <row r="2974">
          <cell r="C2974" t="str">
            <v>Kyte</v>
          </cell>
          <cell r="D2974" t="str">
            <v>Peterborough Solar Projects Corporation</v>
          </cell>
          <cell r="E2974" t="str">
            <v>CO</v>
          </cell>
          <cell r="F2974">
            <v>43200</v>
          </cell>
          <cell r="G2974">
            <v>43508</v>
          </cell>
          <cell r="H2974">
            <v>50504</v>
          </cell>
          <cell r="I2974" t="str">
            <v>19 years, 1 months, 28 days</v>
          </cell>
          <cell r="J2974" t="str">
            <v>Renewables</v>
          </cell>
          <cell r="K2974" t="str">
            <v>Solar (Ground Mounted)</v>
          </cell>
          <cell r="L2974" t="str">
            <v>Solar</v>
          </cell>
          <cell r="M2974" t="str">
            <v>Dx</v>
          </cell>
          <cell r="N2974" t="str">
            <v>Coe Hill</v>
          </cell>
          <cell r="O2974" t="str">
            <v>Hastings</v>
          </cell>
          <cell r="P2974" t="str">
            <v>East</v>
          </cell>
        </row>
        <row r="2975">
          <cell r="C2975" t="str">
            <v>P170</v>
          </cell>
          <cell r="D2975" t="str">
            <v>Reliant First Nation Limited Partnership</v>
          </cell>
          <cell r="E2975" t="str">
            <v>CO</v>
          </cell>
          <cell r="F2975">
            <v>42982</v>
          </cell>
          <cell r="G2975">
            <v>42983</v>
          </cell>
          <cell r="H2975">
            <v>50286</v>
          </cell>
          <cell r="I2975" t="str">
            <v>19 years, 11 months, 29 days</v>
          </cell>
          <cell r="J2975" t="str">
            <v>Renewables</v>
          </cell>
          <cell r="K2975" t="str">
            <v>Solar (Rooftop)</v>
          </cell>
          <cell r="L2975" t="str">
            <v>Solar</v>
          </cell>
          <cell r="M2975" t="str">
            <v>Dx</v>
          </cell>
          <cell r="N2975" t="str">
            <v>Brampton</v>
          </cell>
          <cell r="O2975" t="str">
            <v>Peel</v>
          </cell>
          <cell r="P2975" t="str">
            <v>Toronto</v>
          </cell>
        </row>
        <row r="2976">
          <cell r="C2976" t="str">
            <v>MLT-3655A WESTON</v>
          </cell>
          <cell r="D2976" t="str">
            <v>2387281 Ontario Inc.</v>
          </cell>
          <cell r="E2976" t="str">
            <v>CO</v>
          </cell>
          <cell r="F2976">
            <v>42659</v>
          </cell>
          <cell r="G2976">
            <v>42843</v>
          </cell>
          <cell r="H2976">
            <v>49963</v>
          </cell>
          <cell r="I2976" t="str">
            <v>19 years, 5 months, 27 days</v>
          </cell>
          <cell r="J2976" t="str">
            <v>Renewables</v>
          </cell>
          <cell r="K2976" t="str">
            <v>Solar (Rooftop)</v>
          </cell>
          <cell r="L2976" t="str">
            <v>Solar</v>
          </cell>
          <cell r="M2976" t="str">
            <v>Dx</v>
          </cell>
          <cell r="N2976" t="str">
            <v>Toronto</v>
          </cell>
          <cell r="O2976" t="str">
            <v>Toronto</v>
          </cell>
          <cell r="P2976" t="str">
            <v>Toronto</v>
          </cell>
        </row>
        <row r="2977">
          <cell r="C2977" t="str">
            <v>LDCSB Blessed Kateri</v>
          </cell>
          <cell r="D2977" t="str">
            <v>Ameresco LDCSB Solar Inc.</v>
          </cell>
          <cell r="E2977" t="str">
            <v>CO</v>
          </cell>
          <cell r="F2977">
            <v>42428</v>
          </cell>
          <cell r="G2977">
            <v>42510</v>
          </cell>
          <cell r="H2977">
            <v>49732</v>
          </cell>
          <cell r="I2977" t="str">
            <v>19 years, 9 months, 7 days</v>
          </cell>
          <cell r="J2977" t="str">
            <v>Renewables</v>
          </cell>
          <cell r="K2977" t="str">
            <v>Solar (Rooftop)</v>
          </cell>
          <cell r="L2977" t="str">
            <v>Solar</v>
          </cell>
          <cell r="M2977" t="str">
            <v>Dx</v>
          </cell>
          <cell r="N2977" t="str">
            <v>London</v>
          </cell>
          <cell r="O2977" t="str">
            <v>Middlesex</v>
          </cell>
          <cell r="P2977" t="str">
            <v>West</v>
          </cell>
        </row>
        <row r="2978">
          <cell r="C2978" t="str">
            <v>Switzer G</v>
          </cell>
          <cell r="D2978" t="str">
            <v>Peterborough Solar Projects Corporation</v>
          </cell>
          <cell r="E2978" t="str">
            <v>CO</v>
          </cell>
          <cell r="F2978">
            <v>43200</v>
          </cell>
          <cell r="G2978">
            <v>43538</v>
          </cell>
          <cell r="H2978">
            <v>50504</v>
          </cell>
          <cell r="I2978" t="str">
            <v>19 years, 0 months, 26 days</v>
          </cell>
          <cell r="J2978" t="str">
            <v>Renewables</v>
          </cell>
          <cell r="K2978" t="str">
            <v>Solar (Ground Mounted)</v>
          </cell>
          <cell r="L2978" t="str">
            <v>Solar</v>
          </cell>
          <cell r="M2978" t="str">
            <v>Dx</v>
          </cell>
          <cell r="N2978" t="str">
            <v>Bancroft</v>
          </cell>
          <cell r="O2978" t="str">
            <v>Hastings</v>
          </cell>
          <cell r="P2978" t="str">
            <v>East</v>
          </cell>
        </row>
        <row r="2979">
          <cell r="C2979" t="str">
            <v>LDCSB St. Marguerite d'Youville</v>
          </cell>
          <cell r="D2979" t="str">
            <v>Ameresco LDCSB Solar Inc.</v>
          </cell>
          <cell r="E2979" t="str">
            <v>CO</v>
          </cell>
          <cell r="F2979">
            <v>42428</v>
          </cell>
          <cell r="G2979">
            <v>42535</v>
          </cell>
          <cell r="H2979">
            <v>49732</v>
          </cell>
          <cell r="I2979" t="str">
            <v>19 years, 8 months, 13 days</v>
          </cell>
          <cell r="J2979" t="str">
            <v>Renewables</v>
          </cell>
          <cell r="K2979" t="str">
            <v>Solar (Rooftop)</v>
          </cell>
          <cell r="L2979" t="str">
            <v>Solar</v>
          </cell>
          <cell r="M2979" t="str">
            <v>Dx</v>
          </cell>
          <cell r="N2979" t="str">
            <v>London</v>
          </cell>
          <cell r="O2979" t="str">
            <v>Middlesex</v>
          </cell>
          <cell r="P2979" t="str">
            <v>West</v>
          </cell>
        </row>
        <row r="2980">
          <cell r="C2980" t="str">
            <v>Parish</v>
          </cell>
          <cell r="D2980" t="str">
            <v>Peterborough Solar Projects Corporation</v>
          </cell>
          <cell r="E2980" t="str">
            <v>CO</v>
          </cell>
          <cell r="F2980">
            <v>42981</v>
          </cell>
          <cell r="G2980">
            <v>43419</v>
          </cell>
          <cell r="H2980">
            <v>50285</v>
          </cell>
          <cell r="I2980" t="str">
            <v>18 years, 9 months, 18 days</v>
          </cell>
          <cell r="J2980" t="str">
            <v>Renewables</v>
          </cell>
          <cell r="K2980" t="str">
            <v>Solar (Ground Mounted)</v>
          </cell>
          <cell r="L2980" t="str">
            <v>Solar</v>
          </cell>
          <cell r="M2980" t="str">
            <v>Dx</v>
          </cell>
          <cell r="N2980" t="str">
            <v>Haliburton</v>
          </cell>
          <cell r="O2980" t="str">
            <v>Haliburton</v>
          </cell>
          <cell r="P2980" t="str">
            <v>Essa</v>
          </cell>
        </row>
        <row r="2981">
          <cell r="C2981" t="str">
            <v>GGELP_0027</v>
          </cell>
          <cell r="D2981" t="str">
            <v>Gengrowth Energy LP</v>
          </cell>
          <cell r="E2981" t="str">
            <v>CO</v>
          </cell>
          <cell r="F2981">
            <v>42974</v>
          </cell>
          <cell r="G2981">
            <v>43091</v>
          </cell>
          <cell r="H2981">
            <v>50278</v>
          </cell>
          <cell r="I2981" t="str">
            <v>19 years, 8 months, 4 days</v>
          </cell>
          <cell r="J2981" t="str">
            <v>Renewables</v>
          </cell>
          <cell r="K2981" t="str">
            <v>Solar (Ground Mounted)</v>
          </cell>
          <cell r="L2981" t="str">
            <v>Solar</v>
          </cell>
          <cell r="M2981" t="str">
            <v>Dx</v>
          </cell>
          <cell r="N2981" t="str">
            <v>Douro</v>
          </cell>
          <cell r="O2981" t="str">
            <v>Peterborough</v>
          </cell>
          <cell r="P2981" t="str">
            <v>East</v>
          </cell>
        </row>
        <row r="2982">
          <cell r="C2982" t="str">
            <v>P086</v>
          </cell>
          <cell r="D2982" t="str">
            <v>Reliant First Nation Limited Partnership</v>
          </cell>
          <cell r="E2982" t="str">
            <v>CO</v>
          </cell>
          <cell r="F2982">
            <v>42987</v>
          </cell>
          <cell r="G2982">
            <v>42822</v>
          </cell>
          <cell r="H2982">
            <v>50126</v>
          </cell>
          <cell r="I2982" t="str">
            <v>19 years, 11 months, 27 days</v>
          </cell>
          <cell r="J2982" t="str">
            <v>Renewables</v>
          </cell>
          <cell r="K2982" t="str">
            <v>Solar (Rooftop)</v>
          </cell>
          <cell r="L2982" t="str">
            <v>Solar</v>
          </cell>
          <cell r="M2982" t="str">
            <v>Dx</v>
          </cell>
          <cell r="N2982" t="str">
            <v>Brampton</v>
          </cell>
          <cell r="O2982" t="str">
            <v>Peel</v>
          </cell>
          <cell r="P2982" t="str">
            <v>Toronto</v>
          </cell>
        </row>
        <row r="2983">
          <cell r="C2983" t="str">
            <v>SFF 9</v>
          </cell>
          <cell r="D2983" t="str">
            <v>2387282 Ontario Inc.</v>
          </cell>
          <cell r="E2983" t="str">
            <v>CO</v>
          </cell>
          <cell r="F2983">
            <v>43204</v>
          </cell>
          <cell r="G2983">
            <v>43262</v>
          </cell>
          <cell r="H2983">
            <v>50508</v>
          </cell>
          <cell r="I2983" t="str">
            <v>19 years, 10 months, 2 days</v>
          </cell>
          <cell r="J2983" t="str">
            <v>Renewables</v>
          </cell>
          <cell r="K2983" t="str">
            <v>Solar (Ground Mounted)</v>
          </cell>
          <cell r="L2983" t="str">
            <v>Solar</v>
          </cell>
          <cell r="M2983" t="str">
            <v>Dx</v>
          </cell>
          <cell r="N2983" t="str">
            <v>Newburgh</v>
          </cell>
          <cell r="O2983" t="str">
            <v>Lennox and Addington</v>
          </cell>
          <cell r="P2983" t="str">
            <v>East</v>
          </cell>
        </row>
        <row r="2984">
          <cell r="C2984" t="str">
            <v>LDCSB Holy Family</v>
          </cell>
          <cell r="D2984" t="str">
            <v>Ameresco LDCSB Solar Inc.</v>
          </cell>
          <cell r="E2984" t="str">
            <v>CO</v>
          </cell>
          <cell r="F2984">
            <v>42428</v>
          </cell>
          <cell r="G2984">
            <v>42571</v>
          </cell>
          <cell r="H2984">
            <v>49732</v>
          </cell>
          <cell r="I2984" t="str">
            <v>19 years, 7 months, 7 days</v>
          </cell>
          <cell r="J2984" t="str">
            <v>Renewables</v>
          </cell>
          <cell r="K2984" t="str">
            <v>Solar (Rooftop)</v>
          </cell>
          <cell r="L2984" t="str">
            <v>Solar</v>
          </cell>
          <cell r="M2984" t="str">
            <v>Dx</v>
          </cell>
          <cell r="N2984" t="str">
            <v>London</v>
          </cell>
          <cell r="O2984" t="str">
            <v>Middlesex</v>
          </cell>
          <cell r="P2984" t="str">
            <v>West</v>
          </cell>
        </row>
        <row r="2985">
          <cell r="C2985" t="str">
            <v>GE005</v>
          </cell>
          <cell r="D2985" t="str">
            <v>SIF #2 Reliant Essex LP</v>
          </cell>
          <cell r="E2985" t="str">
            <v>CO</v>
          </cell>
          <cell r="F2985">
            <v>42438</v>
          </cell>
          <cell r="G2985">
            <v>42725</v>
          </cell>
          <cell r="H2985">
            <v>49742</v>
          </cell>
          <cell r="I2985" t="str">
            <v>19 years, 2 months, 16 days</v>
          </cell>
          <cell r="J2985" t="str">
            <v>Renewables</v>
          </cell>
          <cell r="K2985" t="str">
            <v>Solar (Rooftop)</v>
          </cell>
          <cell r="L2985" t="str">
            <v>Solar</v>
          </cell>
          <cell r="M2985" t="str">
            <v>Dx</v>
          </cell>
          <cell r="N2985" t="str">
            <v>Belle River</v>
          </cell>
          <cell r="O2985" t="str">
            <v>Essex</v>
          </cell>
          <cell r="P2985" t="str">
            <v>West</v>
          </cell>
        </row>
        <row r="2986">
          <cell r="C2986" t="str">
            <v>JAZZ MIIGWETCH II</v>
          </cell>
          <cell r="D2986" t="str">
            <v>JAZZ MIIGWETCH II LP</v>
          </cell>
          <cell r="E2986" t="str">
            <v>CO</v>
          </cell>
          <cell r="F2986">
            <v>42429</v>
          </cell>
          <cell r="G2986">
            <v>42598</v>
          </cell>
          <cell r="H2986">
            <v>49733</v>
          </cell>
          <cell r="I2986" t="str">
            <v>19 years, 6 months, 12 days</v>
          </cell>
          <cell r="J2986" t="str">
            <v>Renewables</v>
          </cell>
          <cell r="K2986" t="str">
            <v>Solar (Rooftop)</v>
          </cell>
          <cell r="L2986" t="str">
            <v>Solar</v>
          </cell>
          <cell r="M2986" t="str">
            <v>Dx</v>
          </cell>
          <cell r="N2986" t="str">
            <v>Vars</v>
          </cell>
          <cell r="O2986" t="str">
            <v>Ottawa</v>
          </cell>
          <cell r="P2986" t="str">
            <v>Ottawa</v>
          </cell>
        </row>
        <row r="2987">
          <cell r="C2987" t="str">
            <v>QPA Grd 330 - Closed Dump</v>
          </cell>
          <cell r="D2987" t="str">
            <v>QS4 2012 LP</v>
          </cell>
          <cell r="E2987" t="str">
            <v>CO</v>
          </cell>
          <cell r="F2987">
            <v>42976</v>
          </cell>
          <cell r="G2987">
            <v>43116</v>
          </cell>
          <cell r="H2987">
            <v>50280</v>
          </cell>
          <cell r="I2987" t="str">
            <v>19 years, 7 months, 12 days</v>
          </cell>
          <cell r="J2987" t="str">
            <v>Renewables</v>
          </cell>
          <cell r="K2987" t="str">
            <v>Solar (Ground Mounted)</v>
          </cell>
          <cell r="L2987" t="str">
            <v>Solar</v>
          </cell>
          <cell r="M2987" t="str">
            <v>Dx</v>
          </cell>
          <cell r="N2987" t="str">
            <v>Parkhill</v>
          </cell>
          <cell r="O2987" t="str">
            <v>Middlesex</v>
          </cell>
          <cell r="P2987" t="str">
            <v>Southwest</v>
          </cell>
        </row>
        <row r="2988">
          <cell r="C2988" t="str">
            <v>Stronach Aurora Recreation Complex</v>
          </cell>
          <cell r="D2988" t="str">
            <v>Community Solar Assets 2 Limited</v>
          </cell>
          <cell r="E2988" t="str">
            <v>CO</v>
          </cell>
          <cell r="F2988">
            <v>42431</v>
          </cell>
          <cell r="G2988">
            <v>42615</v>
          </cell>
          <cell r="H2988">
            <v>49735</v>
          </cell>
          <cell r="I2988" t="str">
            <v>19 years, 5 months, 28 days</v>
          </cell>
          <cell r="J2988" t="str">
            <v>Renewables</v>
          </cell>
          <cell r="K2988" t="str">
            <v>Solar (Rooftop)</v>
          </cell>
          <cell r="L2988" t="str">
            <v>Solar</v>
          </cell>
          <cell r="M2988" t="str">
            <v>Dx</v>
          </cell>
          <cell r="N2988" t="str">
            <v>Aurora</v>
          </cell>
          <cell r="O2988" t="str">
            <v>York</v>
          </cell>
          <cell r="P2988" t="str">
            <v>Essa</v>
          </cell>
        </row>
        <row r="2989">
          <cell r="C2989" t="str">
            <v>Bayview Fairways 18kW</v>
          </cell>
          <cell r="D2989" t="str">
            <v>York Region District School Board</v>
          </cell>
          <cell r="E2989" t="str">
            <v>CO</v>
          </cell>
          <cell r="F2989">
            <v>42432</v>
          </cell>
          <cell r="G2989">
            <v>42403</v>
          </cell>
          <cell r="H2989">
            <v>49707</v>
          </cell>
          <cell r="I2989" t="str">
            <v>19 years, 11 months, 30 days</v>
          </cell>
          <cell r="J2989" t="str">
            <v>Renewables</v>
          </cell>
          <cell r="K2989" t="str">
            <v>Solar (Rooftop)</v>
          </cell>
          <cell r="L2989" t="str">
            <v>Solar</v>
          </cell>
          <cell r="M2989" t="str">
            <v>Dx</v>
          </cell>
          <cell r="N2989" t="str">
            <v>Thornhill</v>
          </cell>
          <cell r="O2989" t="str">
            <v>York</v>
          </cell>
          <cell r="P2989" t="str">
            <v>Toronto</v>
          </cell>
        </row>
        <row r="2990">
          <cell r="C2990" t="str">
            <v>10555 Jane</v>
          </cell>
          <cell r="D2990" t="str">
            <v>SIL-DOM HOLDINGS LTD.</v>
          </cell>
          <cell r="E2990" t="str">
            <v>CO</v>
          </cell>
          <cell r="F2990">
            <v>43147</v>
          </cell>
          <cell r="G2990">
            <v>43143</v>
          </cell>
          <cell r="H2990">
            <v>50447</v>
          </cell>
          <cell r="I2990" t="str">
            <v>19 years, 11 months, 30 days</v>
          </cell>
          <cell r="J2990" t="str">
            <v>Renewables</v>
          </cell>
          <cell r="K2990" t="str">
            <v>Solar (Rooftop)</v>
          </cell>
          <cell r="L2990" t="str">
            <v>Solar</v>
          </cell>
          <cell r="M2990" t="str">
            <v>Dx</v>
          </cell>
          <cell r="N2990" t="str">
            <v>Vaughan</v>
          </cell>
          <cell r="O2990" t="str">
            <v>York</v>
          </cell>
          <cell r="P2990" t="str">
            <v>Toronto</v>
          </cell>
        </row>
        <row r="2991">
          <cell r="C2991" t="str">
            <v>370 Westmount</v>
          </cell>
          <cell r="D2991" t="str">
            <v>F&amp;H ALI ENTERPRISES LTD.</v>
          </cell>
          <cell r="E2991" t="str">
            <v>CO</v>
          </cell>
          <cell r="F2991">
            <v>43147</v>
          </cell>
          <cell r="G2991">
            <v>43143</v>
          </cell>
          <cell r="H2991">
            <v>50447</v>
          </cell>
          <cell r="I2991" t="str">
            <v>19 years, 11 months, 30 days</v>
          </cell>
          <cell r="J2991" t="str">
            <v>Renewables</v>
          </cell>
          <cell r="K2991" t="str">
            <v>Solar (Rooftop)</v>
          </cell>
          <cell r="L2991" t="str">
            <v>Solar</v>
          </cell>
          <cell r="M2991" t="str">
            <v>Dx</v>
          </cell>
          <cell r="N2991" t="str">
            <v>Toronto</v>
          </cell>
          <cell r="O2991" t="str">
            <v>Toronto</v>
          </cell>
          <cell r="P2991" t="str">
            <v>Toronto</v>
          </cell>
        </row>
        <row r="2992">
          <cell r="C2992" t="str">
            <v>AccuWright Solar</v>
          </cell>
          <cell r="D2992" t="str">
            <v>Oxford Community Solar One LP</v>
          </cell>
          <cell r="E2992" t="str">
            <v>CO</v>
          </cell>
          <cell r="F2992">
            <v>43186</v>
          </cell>
          <cell r="G2992">
            <v>43046</v>
          </cell>
          <cell r="H2992">
            <v>50350</v>
          </cell>
          <cell r="I2992" t="str">
            <v>19 years, 11 months, 30 days</v>
          </cell>
          <cell r="J2992" t="str">
            <v>Renewables</v>
          </cell>
          <cell r="K2992" t="str">
            <v>Solar (Rooftop)</v>
          </cell>
          <cell r="L2992" t="str">
            <v>Solar</v>
          </cell>
          <cell r="M2992" t="str">
            <v>Dx</v>
          </cell>
          <cell r="N2992" t="str">
            <v>Woodstock</v>
          </cell>
          <cell r="O2992" t="str">
            <v>Oxford</v>
          </cell>
          <cell r="P2992" t="str">
            <v>Southwest</v>
          </cell>
        </row>
        <row r="2993">
          <cell r="C2993" t="str">
            <v>Oriole Park Community Centre &amp; Arena</v>
          </cell>
          <cell r="D2993" t="str">
            <v>City of Toronto</v>
          </cell>
          <cell r="E2993" t="str">
            <v>CO</v>
          </cell>
          <cell r="F2993">
            <v>43133</v>
          </cell>
          <cell r="G2993">
            <v>43129</v>
          </cell>
          <cell r="H2993">
            <v>50433</v>
          </cell>
          <cell r="I2993" t="str">
            <v>19 years, 11 months, 30 days</v>
          </cell>
          <cell r="J2993" t="str">
            <v>Renewables</v>
          </cell>
          <cell r="K2993" t="str">
            <v>Solar (Rooftop)</v>
          </cell>
          <cell r="L2993" t="str">
            <v>Solar</v>
          </cell>
          <cell r="M2993" t="str">
            <v>Dx</v>
          </cell>
          <cell r="N2993" t="str">
            <v>Toronto</v>
          </cell>
          <cell r="O2993" t="str">
            <v>Toronto</v>
          </cell>
          <cell r="P2993" t="str">
            <v>Toronto</v>
          </cell>
        </row>
        <row r="2994">
          <cell r="C2994" t="str">
            <v>Senn 2015</v>
          </cell>
          <cell r="D2994" t="str">
            <v>1024248 Ontario Inc.</v>
          </cell>
          <cell r="E2994" t="str">
            <v>CO</v>
          </cell>
          <cell r="F2994">
            <v>43709</v>
          </cell>
          <cell r="G2994">
            <v>43726</v>
          </cell>
          <cell r="H2994">
            <v>51013</v>
          </cell>
          <cell r="I2994" t="str">
            <v>19 years, 11 months, 13 days</v>
          </cell>
          <cell r="J2994" t="str">
            <v>Renewables</v>
          </cell>
          <cell r="K2994" t="str">
            <v>Bioenergy</v>
          </cell>
          <cell r="L2994" t="str">
            <v>Biogas (On-Farm)</v>
          </cell>
          <cell r="M2994" t="str">
            <v>Dx</v>
          </cell>
          <cell r="N2994" t="str">
            <v>St. Bernardin</v>
          </cell>
          <cell r="O2994" t="str">
            <v>Prescott and Russell</v>
          </cell>
          <cell r="P2994" t="str">
            <v>Ottawa</v>
          </cell>
        </row>
        <row r="2995">
          <cell r="C2995" t="str">
            <v>903-JV-221 Peggs Mountain</v>
          </cell>
          <cell r="D2995" t="str">
            <v>2405514 Ontario Inc.</v>
          </cell>
          <cell r="E2995" t="str">
            <v>CO</v>
          </cell>
          <cell r="F2995">
            <v>43723</v>
          </cell>
          <cell r="G2995">
            <v>43692</v>
          </cell>
          <cell r="H2995">
            <v>50996</v>
          </cell>
          <cell r="I2995" t="str">
            <v>19 years, 11 months, 30 days</v>
          </cell>
          <cell r="J2995" t="str">
            <v>Renewables</v>
          </cell>
          <cell r="K2995" t="str">
            <v>Solar (Ground Mounted)</v>
          </cell>
          <cell r="L2995" t="str">
            <v>Solar</v>
          </cell>
          <cell r="M2995" t="str">
            <v>Dx</v>
          </cell>
          <cell r="N2995" t="str">
            <v>Burks Falls</v>
          </cell>
          <cell r="O2995" t="str">
            <v>Parry Sound</v>
          </cell>
          <cell r="P2995" t="str">
            <v>Essa</v>
          </cell>
        </row>
        <row r="2996">
          <cell r="C2996" t="str">
            <v>180amber</v>
          </cell>
          <cell r="D2996" t="str">
            <v>1791048 ONTARIO INC.</v>
          </cell>
          <cell r="E2996" t="str">
            <v>CO</v>
          </cell>
          <cell r="F2996">
            <v>43142</v>
          </cell>
          <cell r="G2996">
            <v>43137</v>
          </cell>
          <cell r="H2996">
            <v>50441</v>
          </cell>
          <cell r="I2996" t="str">
            <v>19 years, 11 months, 30 days</v>
          </cell>
          <cell r="J2996" t="str">
            <v>Renewables</v>
          </cell>
          <cell r="K2996" t="str">
            <v>Solar (Rooftop)</v>
          </cell>
          <cell r="L2996" t="str">
            <v>Solar</v>
          </cell>
          <cell r="M2996" t="str">
            <v>Dx</v>
          </cell>
          <cell r="N2996" t="str">
            <v>Markham</v>
          </cell>
          <cell r="O2996" t="str">
            <v>York</v>
          </cell>
          <cell r="P2996" t="str">
            <v>Toronto</v>
          </cell>
        </row>
        <row r="2997">
          <cell r="C2997" t="str">
            <v>Commander Park Arena &amp; Community Centre</v>
          </cell>
          <cell r="D2997" t="str">
            <v>City of Toronto</v>
          </cell>
          <cell r="E2997" t="str">
            <v>CO</v>
          </cell>
          <cell r="F2997">
            <v>43133</v>
          </cell>
          <cell r="G2997">
            <v>43082</v>
          </cell>
          <cell r="H2997">
            <v>50386</v>
          </cell>
          <cell r="I2997" t="str">
            <v>19 years, 11 months, 29 days</v>
          </cell>
          <cell r="J2997" t="str">
            <v>Renewables</v>
          </cell>
          <cell r="K2997" t="str">
            <v>Solar (Rooftop)</v>
          </cell>
          <cell r="L2997" t="str">
            <v>Solar</v>
          </cell>
          <cell r="M2997" t="str">
            <v>Dx</v>
          </cell>
          <cell r="N2997" t="str">
            <v>Toronto</v>
          </cell>
          <cell r="O2997" t="str">
            <v>Toronto</v>
          </cell>
          <cell r="P2997" t="str">
            <v>Toronto</v>
          </cell>
        </row>
        <row r="2998">
          <cell r="C2998" t="str">
            <v>Birchmount Park Collegiate Institute</v>
          </cell>
          <cell r="D2998" t="str">
            <v>Toronto District School Board</v>
          </cell>
          <cell r="E2998" t="str">
            <v>CO</v>
          </cell>
          <cell r="F2998">
            <v>43140</v>
          </cell>
          <cell r="G2998">
            <v>43291</v>
          </cell>
          <cell r="H2998">
            <v>50444</v>
          </cell>
          <cell r="I2998" t="str">
            <v>19 years, 6 months, 29 days</v>
          </cell>
          <cell r="J2998" t="str">
            <v>Renewables</v>
          </cell>
          <cell r="K2998" t="str">
            <v>Solar (Rooftop)</v>
          </cell>
          <cell r="L2998" t="str">
            <v>Solar</v>
          </cell>
          <cell r="M2998" t="str">
            <v>Dx</v>
          </cell>
          <cell r="N2998" t="str">
            <v>Toronto</v>
          </cell>
          <cell r="O2998" t="str">
            <v>Toronto</v>
          </cell>
          <cell r="P2998" t="str">
            <v>Toronto</v>
          </cell>
        </row>
        <row r="2999">
          <cell r="C2999" t="str">
            <v>390 Thomas Street</v>
          </cell>
          <cell r="D2999" t="str">
            <v>MPI RT Solar 1 LP</v>
          </cell>
          <cell r="E2999" t="str">
            <v>CO</v>
          </cell>
          <cell r="F2999">
            <v>43154</v>
          </cell>
          <cell r="G2999">
            <v>43188</v>
          </cell>
          <cell r="H2999">
            <v>50458</v>
          </cell>
          <cell r="I2999" t="str">
            <v>19 years, 10 months, 24 days</v>
          </cell>
          <cell r="J2999" t="str">
            <v>Renewables</v>
          </cell>
          <cell r="K2999" t="str">
            <v>Solar (Rooftop)</v>
          </cell>
          <cell r="L2999" t="str">
            <v>Solar</v>
          </cell>
          <cell r="M2999" t="str">
            <v>Dx</v>
          </cell>
          <cell r="N2999" t="str">
            <v>Ingersoll</v>
          </cell>
          <cell r="O2999" t="str">
            <v>Oxford</v>
          </cell>
          <cell r="P2999" t="str">
            <v>Southwest</v>
          </cell>
        </row>
        <row r="3000">
          <cell r="C3000" t="str">
            <v>York Woods Public Library (SUBMIT LATER)</v>
          </cell>
          <cell r="D3000" t="str">
            <v>City of Toronto</v>
          </cell>
          <cell r="E3000" t="str">
            <v>CO</v>
          </cell>
          <cell r="F3000">
            <v>43135</v>
          </cell>
          <cell r="G3000">
            <v>43054</v>
          </cell>
          <cell r="H3000">
            <v>50358</v>
          </cell>
          <cell r="I3000" t="str">
            <v>19 years, 11 months, 30 days</v>
          </cell>
          <cell r="J3000" t="str">
            <v>Renewables</v>
          </cell>
          <cell r="K3000" t="str">
            <v>Solar (Rooftop)</v>
          </cell>
          <cell r="L3000" t="str">
            <v>Solar</v>
          </cell>
          <cell r="M3000" t="str">
            <v>Dx</v>
          </cell>
          <cell r="N3000" t="str">
            <v>Toronto</v>
          </cell>
          <cell r="O3000" t="str">
            <v>Toronto</v>
          </cell>
          <cell r="P3000" t="str">
            <v>Toronto</v>
          </cell>
        </row>
        <row r="3001">
          <cell r="C3001" t="str">
            <v>East End Mini Storage-CH019</v>
          </cell>
          <cell r="D3001" t="str">
            <v>SCCEC 4.0 LP</v>
          </cell>
          <cell r="E3001" t="str">
            <v>CO</v>
          </cell>
          <cell r="F3001">
            <v>43174</v>
          </cell>
          <cell r="G3001">
            <v>43300</v>
          </cell>
          <cell r="H3001">
            <v>50478</v>
          </cell>
          <cell r="I3001" t="str">
            <v>19 years, 7 months, 23 days</v>
          </cell>
          <cell r="J3001" t="str">
            <v>Renewables</v>
          </cell>
          <cell r="K3001" t="str">
            <v>Solar (Rooftop)</v>
          </cell>
          <cell r="L3001" t="str">
            <v>Solar</v>
          </cell>
          <cell r="M3001" t="str">
            <v>Dx</v>
          </cell>
          <cell r="N3001" t="str">
            <v>Barrie</v>
          </cell>
          <cell r="O3001" t="str">
            <v>Simcoe</v>
          </cell>
          <cell r="P3001" t="str">
            <v>Essa</v>
          </cell>
        </row>
        <row r="3002">
          <cell r="C3002" t="str">
            <v>HUC345</v>
          </cell>
          <cell r="D3002" t="str">
            <v>HIPCO-FIT4 Projects Corporation</v>
          </cell>
          <cell r="E3002" t="str">
            <v>CO</v>
          </cell>
          <cell r="F3002">
            <v>43149</v>
          </cell>
          <cell r="G3002">
            <v>43328</v>
          </cell>
          <cell r="H3002">
            <v>50453</v>
          </cell>
          <cell r="I3002" t="str">
            <v>19 years, 6 months, 1 days</v>
          </cell>
          <cell r="J3002" t="str">
            <v>Renewables</v>
          </cell>
          <cell r="K3002" t="str">
            <v>Solar (Rooftop)</v>
          </cell>
          <cell r="L3002" t="str">
            <v>Solar</v>
          </cell>
          <cell r="M3002" t="str">
            <v>Dx</v>
          </cell>
          <cell r="N3002" t="str">
            <v>Hamilton</v>
          </cell>
          <cell r="O3002" t="str">
            <v>Hamilton</v>
          </cell>
          <cell r="P3002" t="str">
            <v>Southwest</v>
          </cell>
        </row>
        <row r="3003">
          <cell r="C3003" t="str">
            <v>Woburn Collegiate Institute</v>
          </cell>
          <cell r="D3003" t="str">
            <v>Toronto District School Board</v>
          </cell>
          <cell r="E3003" t="str">
            <v>CO</v>
          </cell>
          <cell r="F3003">
            <v>43135</v>
          </cell>
          <cell r="G3003">
            <v>43301</v>
          </cell>
          <cell r="H3003">
            <v>50439</v>
          </cell>
          <cell r="I3003" t="str">
            <v>19 years, 6 months, 14 days</v>
          </cell>
          <cell r="J3003" t="str">
            <v>Renewables</v>
          </cell>
          <cell r="K3003" t="str">
            <v>Solar (Rooftop)</v>
          </cell>
          <cell r="L3003" t="str">
            <v>Solar</v>
          </cell>
          <cell r="M3003" t="str">
            <v>Dx</v>
          </cell>
          <cell r="N3003" t="str">
            <v>Toronto</v>
          </cell>
          <cell r="O3003" t="str">
            <v>Toronto</v>
          </cell>
          <cell r="P3003" t="str">
            <v>Toronto</v>
          </cell>
        </row>
        <row r="3004">
          <cell r="C3004" t="str">
            <v>Icarus 250 kW Meaford</v>
          </cell>
          <cell r="D3004" t="str">
            <v>GSC SPN 4 Projects LP.</v>
          </cell>
          <cell r="E3004" t="str">
            <v>CO</v>
          </cell>
          <cell r="F3004">
            <v>43156</v>
          </cell>
          <cell r="G3004">
            <v>43333</v>
          </cell>
          <cell r="H3004">
            <v>50460</v>
          </cell>
          <cell r="I3004" t="str">
            <v>19 years, 6 months, 3 days</v>
          </cell>
          <cell r="J3004" t="str">
            <v>Renewables</v>
          </cell>
          <cell r="K3004" t="str">
            <v>Solar (Rooftop)</v>
          </cell>
          <cell r="L3004" t="str">
            <v>Solar</v>
          </cell>
          <cell r="M3004" t="str">
            <v>Dx</v>
          </cell>
          <cell r="N3004" t="str">
            <v>Meaford</v>
          </cell>
          <cell r="O3004" t="str">
            <v>Grey</v>
          </cell>
          <cell r="P3004" t="str">
            <v>Southwest</v>
          </cell>
        </row>
        <row r="3005">
          <cell r="C3005" t="str">
            <v>Ingram Yard - Office &amp; Storage Building</v>
          </cell>
          <cell r="D3005" t="str">
            <v>City of Toronto</v>
          </cell>
          <cell r="E3005" t="str">
            <v>CO</v>
          </cell>
          <cell r="F3005">
            <v>43133</v>
          </cell>
          <cell r="G3005">
            <v>43012</v>
          </cell>
          <cell r="H3005">
            <v>50316</v>
          </cell>
          <cell r="I3005" t="str">
            <v>19 years, 11 months, 29 days</v>
          </cell>
          <cell r="J3005" t="str">
            <v>Renewables</v>
          </cell>
          <cell r="K3005" t="str">
            <v>Solar (Rooftop)</v>
          </cell>
          <cell r="L3005" t="str">
            <v>Solar</v>
          </cell>
          <cell r="M3005" t="str">
            <v>Dx</v>
          </cell>
          <cell r="N3005" t="str">
            <v>Toronto</v>
          </cell>
          <cell r="O3005" t="str">
            <v>Toronto</v>
          </cell>
          <cell r="P3005" t="str">
            <v>Toronto</v>
          </cell>
        </row>
        <row r="3006">
          <cell r="C3006" t="str">
            <v>3543 Nafziger Road, Wellesley - Rooftop Solar</v>
          </cell>
          <cell r="D3006" t="str">
            <v>Appollo Union Limited Partnership I</v>
          </cell>
          <cell r="E3006" t="str">
            <v>CO</v>
          </cell>
          <cell r="F3006">
            <v>43147</v>
          </cell>
          <cell r="G3006">
            <v>43138</v>
          </cell>
          <cell r="H3006">
            <v>50442</v>
          </cell>
          <cell r="I3006" t="str">
            <v>19 years, 11 months, 30 days</v>
          </cell>
          <cell r="J3006" t="str">
            <v>Renewables</v>
          </cell>
          <cell r="K3006" t="str">
            <v>Solar (Rooftop)</v>
          </cell>
          <cell r="L3006" t="str">
            <v>Solar</v>
          </cell>
          <cell r="M3006" t="str">
            <v>Dx</v>
          </cell>
          <cell r="N3006" t="str">
            <v>Wellesley</v>
          </cell>
          <cell r="O3006" t="str">
            <v>Waterloo</v>
          </cell>
          <cell r="P3006" t="str">
            <v>Southwest</v>
          </cell>
        </row>
        <row r="3007">
          <cell r="C3007" t="str">
            <v>760-DT-175 Stahls Rd</v>
          </cell>
          <cell r="D3007" t="str">
            <v>2469780 Ontario Inc.</v>
          </cell>
          <cell r="E3007" t="str">
            <v>CO</v>
          </cell>
          <cell r="F3007">
            <v>43721</v>
          </cell>
          <cell r="G3007">
            <v>43704</v>
          </cell>
          <cell r="H3007">
            <v>51008</v>
          </cell>
          <cell r="I3007" t="str">
            <v>19 years, 11 months, 30 days</v>
          </cell>
          <cell r="J3007" t="str">
            <v>Renewables</v>
          </cell>
          <cell r="K3007" t="str">
            <v>Solar (Ground Mounted)</v>
          </cell>
          <cell r="L3007" t="str">
            <v>Solar</v>
          </cell>
          <cell r="M3007" t="str">
            <v>Dx</v>
          </cell>
          <cell r="N3007" t="str">
            <v>Huntsville</v>
          </cell>
          <cell r="O3007" t="str">
            <v>Muskoka</v>
          </cell>
          <cell r="P3007" t="str">
            <v>Essa</v>
          </cell>
        </row>
        <row r="3008">
          <cell r="C3008" t="str">
            <v>AVICOLE 7</v>
          </cell>
          <cell r="D3008" t="str">
            <v>ASM SOLAR P6 LP</v>
          </cell>
          <cell r="E3008" t="str">
            <v>CO</v>
          </cell>
          <cell r="F3008">
            <v>43188</v>
          </cell>
          <cell r="G3008">
            <v>43185</v>
          </cell>
          <cell r="H3008">
            <v>50489</v>
          </cell>
          <cell r="I3008" t="str">
            <v>19 years, 11 months, 27 days</v>
          </cell>
          <cell r="J3008" t="str">
            <v>Renewables</v>
          </cell>
          <cell r="K3008" t="str">
            <v>Solar (Rooftop)</v>
          </cell>
          <cell r="L3008" t="str">
            <v>Solar</v>
          </cell>
          <cell r="M3008" t="str">
            <v>Dx</v>
          </cell>
          <cell r="N3008" t="str">
            <v>Plantagenet</v>
          </cell>
          <cell r="O3008" t="str">
            <v>Prescott and Russell</v>
          </cell>
          <cell r="P3008" t="str">
            <v>Ottawa</v>
          </cell>
        </row>
        <row r="3009">
          <cell r="C3009" t="str">
            <v>1 - SPN447</v>
          </cell>
          <cell r="D3009" t="str">
            <v>SPN LP 10</v>
          </cell>
          <cell r="E3009" t="str">
            <v>CO</v>
          </cell>
          <cell r="F3009">
            <v>43179</v>
          </cell>
          <cell r="G3009">
            <v>43362</v>
          </cell>
          <cell r="H3009">
            <v>50483</v>
          </cell>
          <cell r="I3009" t="str">
            <v>19 years, 6 months, 0 days</v>
          </cell>
          <cell r="J3009" t="str">
            <v>Renewables</v>
          </cell>
          <cell r="K3009" t="str">
            <v>Solar (Rooftop)</v>
          </cell>
          <cell r="L3009" t="str">
            <v>Solar</v>
          </cell>
          <cell r="M3009" t="str">
            <v>Dx</v>
          </cell>
          <cell r="N3009" t="str">
            <v>Brantford</v>
          </cell>
          <cell r="O3009" t="str">
            <v>Brant</v>
          </cell>
          <cell r="P3009" t="str">
            <v>Southwest</v>
          </cell>
        </row>
        <row r="3010">
          <cell r="C3010" t="str">
            <v>Acton Arena</v>
          </cell>
          <cell r="D3010" t="str">
            <v>Halton Hills Community Energy Corporation</v>
          </cell>
          <cell r="E3010" t="str">
            <v>CO</v>
          </cell>
          <cell r="F3010">
            <v>43149</v>
          </cell>
          <cell r="G3010">
            <v>42852</v>
          </cell>
          <cell r="H3010">
            <v>50156</v>
          </cell>
          <cell r="I3010" t="str">
            <v>19 years, 11 months, 30 days</v>
          </cell>
          <cell r="J3010" t="str">
            <v>Renewables</v>
          </cell>
          <cell r="K3010" t="str">
            <v>Solar (Rooftop)</v>
          </cell>
          <cell r="L3010" t="str">
            <v>Solar</v>
          </cell>
          <cell r="M3010" t="str">
            <v>Dx</v>
          </cell>
          <cell r="N3010" t="str">
            <v>Acton</v>
          </cell>
          <cell r="O3010" t="str">
            <v>Halton</v>
          </cell>
          <cell r="P3010" t="str">
            <v>Toronto</v>
          </cell>
        </row>
        <row r="3011">
          <cell r="C3011" t="str">
            <v>Mitchell Field Community Centre &amp; Arena</v>
          </cell>
          <cell r="D3011" t="str">
            <v>City of Toronto</v>
          </cell>
          <cell r="E3011" t="str">
            <v>CO</v>
          </cell>
          <cell r="F3011">
            <v>43156</v>
          </cell>
          <cell r="G3011">
            <v>43131</v>
          </cell>
          <cell r="H3011">
            <v>50435</v>
          </cell>
          <cell r="I3011" t="str">
            <v>19 years, 11 months, 30 days</v>
          </cell>
          <cell r="J3011" t="str">
            <v>Renewables</v>
          </cell>
          <cell r="K3011" t="str">
            <v>Solar (Rooftop)</v>
          </cell>
          <cell r="L3011" t="str">
            <v>Solar</v>
          </cell>
          <cell r="M3011" t="str">
            <v>Dx</v>
          </cell>
          <cell r="N3011" t="str">
            <v>Toronto</v>
          </cell>
          <cell r="O3011" t="str">
            <v>Toronto</v>
          </cell>
          <cell r="P3011" t="str">
            <v>Toronto</v>
          </cell>
        </row>
        <row r="3012">
          <cell r="C3012" t="str">
            <v>4075 Twin Elm</v>
          </cell>
          <cell r="D3012" t="str">
            <v>Ottawa Renewable Energy Co-operative Inc.</v>
          </cell>
          <cell r="E3012" t="str">
            <v>CO</v>
          </cell>
          <cell r="F3012">
            <v>43186</v>
          </cell>
          <cell r="G3012">
            <v>43320</v>
          </cell>
          <cell r="H3012">
            <v>50490</v>
          </cell>
          <cell r="I3012" t="str">
            <v>19 years, 7 months, 18 days</v>
          </cell>
          <cell r="J3012" t="str">
            <v>Renewables</v>
          </cell>
          <cell r="K3012" t="str">
            <v>Solar (Rooftop)</v>
          </cell>
          <cell r="L3012" t="str">
            <v>Solar</v>
          </cell>
          <cell r="M3012" t="str">
            <v>Dx</v>
          </cell>
          <cell r="N3012" t="str">
            <v>Richmond</v>
          </cell>
          <cell r="O3012" t="str">
            <v>Ottawa</v>
          </cell>
          <cell r="P3012" t="str">
            <v>Ottawa</v>
          </cell>
        </row>
        <row r="3013">
          <cell r="C3013" t="str">
            <v>Uvalux Roof</v>
          </cell>
          <cell r="D3013" t="str">
            <v>Oxford Community Solar One LP</v>
          </cell>
          <cell r="E3013" t="str">
            <v>CO</v>
          </cell>
          <cell r="F3013">
            <v>43186</v>
          </cell>
          <cell r="G3013">
            <v>43168</v>
          </cell>
          <cell r="H3013">
            <v>50472</v>
          </cell>
          <cell r="I3013" t="str">
            <v>19 years, 11 months, 27 days</v>
          </cell>
          <cell r="J3013" t="str">
            <v>Renewables</v>
          </cell>
          <cell r="K3013" t="str">
            <v>Solar (Rooftop)</v>
          </cell>
          <cell r="L3013" t="str">
            <v>Solar</v>
          </cell>
          <cell r="M3013" t="str">
            <v>Dx</v>
          </cell>
          <cell r="N3013" t="str">
            <v>Woodstock</v>
          </cell>
          <cell r="O3013" t="str">
            <v>Oxford</v>
          </cell>
          <cell r="P3013" t="str">
            <v>Southwest</v>
          </cell>
        </row>
        <row r="3014">
          <cell r="C3014" t="str">
            <v>Bowmore Road Junior &amp; Senior Public School</v>
          </cell>
          <cell r="D3014" t="str">
            <v>Toronto District School Board</v>
          </cell>
          <cell r="E3014" t="str">
            <v>CO</v>
          </cell>
          <cell r="F3014">
            <v>43194</v>
          </cell>
          <cell r="G3014">
            <v>43376</v>
          </cell>
          <cell r="H3014">
            <v>50498</v>
          </cell>
          <cell r="I3014" t="str">
            <v>19 years, 6 months, 0 days</v>
          </cell>
          <cell r="J3014" t="str">
            <v>Renewables</v>
          </cell>
          <cell r="K3014" t="str">
            <v>Solar (Rooftop)</v>
          </cell>
          <cell r="L3014" t="str">
            <v>Solar</v>
          </cell>
          <cell r="M3014" t="str">
            <v>Dx</v>
          </cell>
          <cell r="N3014" t="str">
            <v>Toronto</v>
          </cell>
          <cell r="O3014" t="str">
            <v>Toronto</v>
          </cell>
          <cell r="P3014" t="str">
            <v>Toronto</v>
          </cell>
        </row>
        <row r="3015">
          <cell r="C3015" t="str">
            <v>Bloorlea Middle School</v>
          </cell>
          <cell r="D3015" t="str">
            <v>Toronto District School Board</v>
          </cell>
          <cell r="E3015" t="str">
            <v>CO</v>
          </cell>
          <cell r="F3015">
            <v>43194</v>
          </cell>
          <cell r="G3015">
            <v>43374</v>
          </cell>
          <cell r="H3015">
            <v>50498</v>
          </cell>
          <cell r="I3015" t="str">
            <v>19 years, 6 months, 2 days</v>
          </cell>
          <cell r="J3015" t="str">
            <v>Renewables</v>
          </cell>
          <cell r="K3015" t="str">
            <v>Solar (Rooftop)</v>
          </cell>
          <cell r="L3015" t="str">
            <v>Solar</v>
          </cell>
          <cell r="M3015" t="str">
            <v>Dx</v>
          </cell>
          <cell r="N3015" t="str">
            <v>Toronto</v>
          </cell>
          <cell r="O3015" t="str">
            <v>Toronto</v>
          </cell>
          <cell r="P3015" t="str">
            <v>Toronto</v>
          </cell>
        </row>
        <row r="3016">
          <cell r="C3016" t="str">
            <v>De Koning Zion Farm West Roof</v>
          </cell>
          <cell r="D3016" t="str">
            <v>Martin and Dorine De Koning</v>
          </cell>
          <cell r="E3016" t="str">
            <v>CO</v>
          </cell>
          <cell r="F3016">
            <v>43174</v>
          </cell>
          <cell r="G3016">
            <v>43291</v>
          </cell>
          <cell r="H3016">
            <v>50478</v>
          </cell>
          <cell r="I3016" t="str">
            <v>19 years, 8 months, 4 days</v>
          </cell>
          <cell r="J3016" t="str">
            <v>Renewables</v>
          </cell>
          <cell r="K3016" t="str">
            <v>Solar (Rooftop)</v>
          </cell>
          <cell r="L3016" t="str">
            <v>Solar</v>
          </cell>
          <cell r="M3016" t="str">
            <v>Dx</v>
          </cell>
          <cell r="N3016" t="str">
            <v>Watford</v>
          </cell>
          <cell r="O3016" t="str">
            <v>Lambton</v>
          </cell>
          <cell r="P3016" t="str">
            <v>West</v>
          </cell>
        </row>
        <row r="3017">
          <cell r="C3017" t="str">
            <v>Twentieth Street Junior School</v>
          </cell>
          <cell r="D3017" t="str">
            <v>Toronto District School Board</v>
          </cell>
          <cell r="E3017" t="str">
            <v>CO</v>
          </cell>
          <cell r="F3017">
            <v>43140</v>
          </cell>
          <cell r="G3017">
            <v>43320</v>
          </cell>
          <cell r="H3017">
            <v>50444</v>
          </cell>
          <cell r="I3017" t="str">
            <v>19 years, 6 months, 0 days</v>
          </cell>
          <cell r="J3017" t="str">
            <v>Renewables</v>
          </cell>
          <cell r="K3017" t="str">
            <v>Solar (Rooftop)</v>
          </cell>
          <cell r="L3017" t="str">
            <v>Solar</v>
          </cell>
          <cell r="M3017" t="str">
            <v>Dx</v>
          </cell>
          <cell r="N3017" t="str">
            <v>Toronto</v>
          </cell>
          <cell r="O3017" t="str">
            <v>Toronto</v>
          </cell>
          <cell r="P3017" t="str">
            <v>Toronto</v>
          </cell>
        </row>
        <row r="3018">
          <cell r="C3018" t="str">
            <v>874-DT-204 North Pickerel</v>
          </cell>
          <cell r="D3018" t="str">
            <v>2405514 Ontario Inc.</v>
          </cell>
          <cell r="E3018" t="str">
            <v>CO</v>
          </cell>
          <cell r="F3018">
            <v>43721</v>
          </cell>
          <cell r="G3018">
            <v>43692</v>
          </cell>
          <cell r="H3018">
            <v>50996</v>
          </cell>
          <cell r="I3018" t="str">
            <v>19 years, 11 months, 30 days</v>
          </cell>
          <cell r="J3018" t="str">
            <v>Renewables</v>
          </cell>
          <cell r="K3018" t="str">
            <v>Solar (Ground Mounted)</v>
          </cell>
          <cell r="L3018" t="str">
            <v>Solar</v>
          </cell>
          <cell r="M3018" t="str">
            <v>Dx</v>
          </cell>
          <cell r="N3018" t="str">
            <v>Burks Falls</v>
          </cell>
          <cell r="O3018" t="str">
            <v>Parry Sound</v>
          </cell>
          <cell r="P3018" t="str">
            <v>Essa</v>
          </cell>
        </row>
        <row r="3019">
          <cell r="C3019" t="str">
            <v>De Koning Zion Farm East Roof</v>
          </cell>
          <cell r="D3019" t="str">
            <v>Martin and Dorine De Koning</v>
          </cell>
          <cell r="E3019" t="str">
            <v>CO</v>
          </cell>
          <cell r="F3019">
            <v>43181</v>
          </cell>
          <cell r="G3019">
            <v>43291</v>
          </cell>
          <cell r="H3019">
            <v>50485</v>
          </cell>
          <cell r="I3019" t="str">
            <v>19 years, 8 months, 11 days</v>
          </cell>
          <cell r="J3019" t="str">
            <v>Renewables</v>
          </cell>
          <cell r="K3019" t="str">
            <v>Solar (Rooftop)</v>
          </cell>
          <cell r="L3019" t="str">
            <v>Solar</v>
          </cell>
          <cell r="M3019" t="str">
            <v>Dx</v>
          </cell>
          <cell r="N3019" t="str">
            <v>Watford</v>
          </cell>
          <cell r="O3019" t="str">
            <v>Lambton</v>
          </cell>
          <cell r="P3019" t="str">
            <v>West</v>
          </cell>
        </row>
        <row r="3020">
          <cell r="C3020" t="str">
            <v>Hambly Management Services Inc.-CH036</v>
          </cell>
          <cell r="D3020" t="str">
            <v>SCCEC 4.0 LP</v>
          </cell>
          <cell r="E3020" t="str">
            <v>CO</v>
          </cell>
          <cell r="F3020">
            <v>43181</v>
          </cell>
          <cell r="G3020">
            <v>43024</v>
          </cell>
          <cell r="H3020">
            <v>50328</v>
          </cell>
          <cell r="I3020" t="str">
            <v>19 years, 11 months, 29 days</v>
          </cell>
          <cell r="J3020" t="str">
            <v>Renewables</v>
          </cell>
          <cell r="K3020" t="str">
            <v>Solar (Rooftop)</v>
          </cell>
          <cell r="L3020" t="str">
            <v>Solar</v>
          </cell>
          <cell r="M3020" t="str">
            <v>Dx</v>
          </cell>
          <cell r="N3020" t="str">
            <v>Bradford</v>
          </cell>
          <cell r="O3020" t="str">
            <v>Simcoe</v>
          </cell>
          <cell r="P3020" t="str">
            <v>Essa</v>
          </cell>
        </row>
        <row r="3021">
          <cell r="C3021" t="str">
            <v>ERTH Thamesford Arena Solar</v>
          </cell>
          <cell r="D3021" t="str">
            <v>ERTH Community Power One LP</v>
          </cell>
          <cell r="E3021" t="str">
            <v>CO</v>
          </cell>
          <cell r="F3021">
            <v>43165</v>
          </cell>
          <cell r="G3021">
            <v>43329</v>
          </cell>
          <cell r="H3021">
            <v>50469</v>
          </cell>
          <cell r="I3021" t="str">
            <v>19 years, 6 months, 16 days</v>
          </cell>
          <cell r="J3021" t="str">
            <v>Renewables</v>
          </cell>
          <cell r="K3021" t="str">
            <v>Solar (Rooftop)</v>
          </cell>
          <cell r="L3021" t="str">
            <v>Solar</v>
          </cell>
          <cell r="M3021" t="str">
            <v>Dx</v>
          </cell>
          <cell r="N3021" t="str">
            <v>Thamesford</v>
          </cell>
          <cell r="O3021" t="str">
            <v>Middlesex</v>
          </cell>
          <cell r="P3021" t="str">
            <v>Southwest</v>
          </cell>
        </row>
        <row r="3022">
          <cell r="C3022" t="str">
            <v>Deboer Acres Solar Roof</v>
          </cell>
          <cell r="D3022" t="str">
            <v>Deboer Acres Holsteins Inc.</v>
          </cell>
          <cell r="E3022" t="str">
            <v>CO</v>
          </cell>
          <cell r="F3022">
            <v>43415</v>
          </cell>
          <cell r="G3022">
            <v>43396</v>
          </cell>
          <cell r="H3022">
            <v>50700</v>
          </cell>
          <cell r="I3022" t="str">
            <v>19 years, 11 months, 29 days</v>
          </cell>
          <cell r="J3022" t="str">
            <v>Renewables</v>
          </cell>
          <cell r="K3022" t="str">
            <v>Solar (Rooftop)</v>
          </cell>
          <cell r="L3022" t="str">
            <v>Solar</v>
          </cell>
          <cell r="M3022" t="str">
            <v>Dx</v>
          </cell>
          <cell r="N3022" t="str">
            <v>Selkirk</v>
          </cell>
          <cell r="O3022" t="str">
            <v>Haldimand</v>
          </cell>
          <cell r="P3022" t="str">
            <v>Southwest</v>
          </cell>
        </row>
        <row r="3023">
          <cell r="C3023" t="str">
            <v>Sifton Solar 2</v>
          </cell>
          <cell r="D3023" t="str">
            <v>Sifton Properties Limited</v>
          </cell>
          <cell r="E3023" t="str">
            <v>CO</v>
          </cell>
          <cell r="F3023">
            <v>43433</v>
          </cell>
          <cell r="G3023">
            <v>43131</v>
          </cell>
          <cell r="H3023">
            <v>50435</v>
          </cell>
          <cell r="I3023" t="str">
            <v>19 years, 11 months, 30 days</v>
          </cell>
          <cell r="J3023" t="str">
            <v>Renewables</v>
          </cell>
          <cell r="K3023" t="str">
            <v>Solar (Rooftop)</v>
          </cell>
          <cell r="L3023" t="str">
            <v>Solar</v>
          </cell>
          <cell r="M3023" t="str">
            <v>Dx</v>
          </cell>
          <cell r="N3023" t="str">
            <v>London</v>
          </cell>
          <cell r="O3023" t="str">
            <v>Middlesex</v>
          </cell>
          <cell r="P3023" t="str">
            <v>West</v>
          </cell>
        </row>
        <row r="3024">
          <cell r="C3024" t="str">
            <v>Hillside Gardens Limited-GA027</v>
          </cell>
          <cell r="D3024" t="str">
            <v>SCCEC 4.0 LP</v>
          </cell>
          <cell r="E3024" t="str">
            <v>CO</v>
          </cell>
          <cell r="F3024">
            <v>43172</v>
          </cell>
          <cell r="G3024">
            <v>43074</v>
          </cell>
          <cell r="H3024">
            <v>50378</v>
          </cell>
          <cell r="I3024" t="str">
            <v>19 years, 11 months, 29 days</v>
          </cell>
          <cell r="J3024" t="str">
            <v>Renewables</v>
          </cell>
          <cell r="K3024" t="str">
            <v>Solar (Rooftop)</v>
          </cell>
          <cell r="L3024" t="str">
            <v>Solar</v>
          </cell>
          <cell r="M3024" t="str">
            <v>Dx</v>
          </cell>
          <cell r="N3024" t="str">
            <v>Bradford</v>
          </cell>
          <cell r="O3024" t="str">
            <v>Simcoe</v>
          </cell>
          <cell r="P3024" t="str">
            <v>Essa</v>
          </cell>
        </row>
        <row r="3025">
          <cell r="C3025" t="str">
            <v>Ledgecroft Farms - Biogas System 250kW</v>
          </cell>
          <cell r="D3025" t="str">
            <v>William Benjamin Green</v>
          </cell>
          <cell r="E3025" t="str">
            <v>CO</v>
          </cell>
          <cell r="F3025">
            <v>43688</v>
          </cell>
          <cell r="G3025">
            <v>43434</v>
          </cell>
          <cell r="H3025">
            <v>50738</v>
          </cell>
          <cell r="I3025" t="str">
            <v>19 years, 11 months, 30 days</v>
          </cell>
          <cell r="J3025" t="str">
            <v>Renewables</v>
          </cell>
          <cell r="K3025" t="str">
            <v>Bioenergy</v>
          </cell>
          <cell r="L3025" t="str">
            <v>Biogas (On-Farm)</v>
          </cell>
          <cell r="M3025" t="str">
            <v>Dx</v>
          </cell>
          <cell r="N3025" t="str">
            <v>Seeleys Bay</v>
          </cell>
          <cell r="O3025" t="str">
            <v>Leeds and Grenville</v>
          </cell>
          <cell r="P3025" t="str">
            <v>East</v>
          </cell>
        </row>
        <row r="3026">
          <cell r="C3026" t="str">
            <v>Janssen Warehouse</v>
          </cell>
          <cell r="D3026" t="str">
            <v>1071062 Ontario Ltd.</v>
          </cell>
          <cell r="E3026" t="str">
            <v>CO</v>
          </cell>
          <cell r="F3026">
            <v>43188</v>
          </cell>
          <cell r="G3026">
            <v>43192</v>
          </cell>
          <cell r="H3026">
            <v>50492</v>
          </cell>
          <cell r="I3026" t="str">
            <v>19 years, 11 months, 26 days</v>
          </cell>
          <cell r="J3026" t="str">
            <v>Renewables</v>
          </cell>
          <cell r="K3026" t="str">
            <v>Solar (Rooftop)</v>
          </cell>
          <cell r="L3026" t="str">
            <v>Solar</v>
          </cell>
          <cell r="M3026" t="str">
            <v>Dx</v>
          </cell>
          <cell r="N3026" t="str">
            <v>Lincoln</v>
          </cell>
          <cell r="O3026" t="str">
            <v>Niagara</v>
          </cell>
          <cell r="P3026" t="str">
            <v>Niagara</v>
          </cell>
        </row>
        <row r="3027">
          <cell r="C3027" t="str">
            <v>Fifth Conc Rd Coboconk 1</v>
          </cell>
          <cell r="D3027" t="str">
            <v>Saturn Solar 4 LP</v>
          </cell>
          <cell r="E3027" t="str">
            <v>CO</v>
          </cell>
          <cell r="F3027">
            <v>43721</v>
          </cell>
          <cell r="G3027">
            <v>43480</v>
          </cell>
          <cell r="H3027">
            <v>50784</v>
          </cell>
          <cell r="I3027" t="str">
            <v>19 years, 11 months, 30 days</v>
          </cell>
          <cell r="J3027" t="str">
            <v>Renewables</v>
          </cell>
          <cell r="K3027" t="str">
            <v>Solar (Ground Mounted)</v>
          </cell>
          <cell r="L3027" t="str">
            <v>Solar</v>
          </cell>
          <cell r="M3027" t="str">
            <v>Dx</v>
          </cell>
          <cell r="N3027" t="str">
            <v>Coboconk</v>
          </cell>
          <cell r="O3027" t="str">
            <v>Kawartha Lakes</v>
          </cell>
          <cell r="P3027" t="str">
            <v>Essa</v>
          </cell>
        </row>
        <row r="3028">
          <cell r="C3028" t="str">
            <v>1 - SPN620</v>
          </cell>
          <cell r="D3028" t="str">
            <v>SPN LP 15</v>
          </cell>
          <cell r="E3028" t="str">
            <v>CO</v>
          </cell>
          <cell r="F3028">
            <v>43172</v>
          </cell>
          <cell r="G3028">
            <v>43252</v>
          </cell>
          <cell r="H3028">
            <v>50476</v>
          </cell>
          <cell r="I3028" t="str">
            <v>19 years, 9 months, 11 days</v>
          </cell>
          <cell r="J3028" t="str">
            <v>Renewables</v>
          </cell>
          <cell r="K3028" t="str">
            <v>Solar (Rooftop)</v>
          </cell>
          <cell r="L3028" t="str">
            <v>Solar</v>
          </cell>
          <cell r="M3028" t="str">
            <v>Dx</v>
          </cell>
          <cell r="N3028" t="str">
            <v>Cambridge</v>
          </cell>
          <cell r="O3028" t="str">
            <v>Waterloo</v>
          </cell>
          <cell r="P3028" t="str">
            <v>Southwest</v>
          </cell>
        </row>
        <row r="3029">
          <cell r="C3029" t="str">
            <v>Moorefield Wind</v>
          </cell>
          <cell r="D3029" t="str">
            <v>Moorefield Wind 1 Inc.</v>
          </cell>
          <cell r="E3029" t="str">
            <v>CO</v>
          </cell>
          <cell r="F3029">
            <v>43700</v>
          </cell>
          <cell r="G3029">
            <v>42871</v>
          </cell>
          <cell r="H3029">
            <v>50175</v>
          </cell>
          <cell r="I3029" t="str">
            <v>19 years, 11 months, 29 days</v>
          </cell>
          <cell r="J3029" t="str">
            <v>Renewables</v>
          </cell>
          <cell r="K3029" t="str">
            <v>Wind (On-Shore)</v>
          </cell>
          <cell r="L3029" t="str">
            <v>Wind</v>
          </cell>
          <cell r="M3029" t="str">
            <v>Dx</v>
          </cell>
          <cell r="N3029" t="str">
            <v>Palmerston</v>
          </cell>
          <cell r="O3029" t="str">
            <v>Wellington</v>
          </cell>
          <cell r="P3029" t="str">
            <v>Southwest</v>
          </cell>
        </row>
        <row r="3030">
          <cell r="C3030" t="str">
            <v>896301_Rayette</v>
          </cell>
          <cell r="D3030" t="str">
            <v>Kazani Holdings Inc.</v>
          </cell>
          <cell r="E3030" t="str">
            <v>CO</v>
          </cell>
          <cell r="F3030">
            <v>43147</v>
          </cell>
          <cell r="G3030">
            <v>43111</v>
          </cell>
          <cell r="H3030">
            <v>50415</v>
          </cell>
          <cell r="I3030" t="str">
            <v>19 years, 11 months, 30 days</v>
          </cell>
          <cell r="J3030" t="str">
            <v>Renewables</v>
          </cell>
          <cell r="K3030" t="str">
            <v>Solar (Rooftop)</v>
          </cell>
          <cell r="L3030" t="str">
            <v>Solar</v>
          </cell>
          <cell r="M3030" t="str">
            <v>Dx</v>
          </cell>
          <cell r="N3030" t="str">
            <v>Concord</v>
          </cell>
          <cell r="O3030" t="str">
            <v>York</v>
          </cell>
          <cell r="P3030" t="str">
            <v>Toronto</v>
          </cell>
        </row>
        <row r="3031">
          <cell r="C3031" t="str">
            <v>Anson S Taylor Junior Public School</v>
          </cell>
          <cell r="D3031" t="str">
            <v>Toronto District School Board</v>
          </cell>
          <cell r="E3031" t="str">
            <v>CO</v>
          </cell>
          <cell r="F3031">
            <v>43135</v>
          </cell>
          <cell r="G3031">
            <v>43305</v>
          </cell>
          <cell r="H3031">
            <v>50439</v>
          </cell>
          <cell r="I3031" t="str">
            <v>19 years, 6 months, 10 days</v>
          </cell>
          <cell r="J3031" t="str">
            <v>Renewables</v>
          </cell>
          <cell r="K3031" t="str">
            <v>Solar (Rooftop)</v>
          </cell>
          <cell r="L3031" t="str">
            <v>Solar</v>
          </cell>
          <cell r="M3031" t="str">
            <v>Dx</v>
          </cell>
          <cell r="N3031" t="str">
            <v>Toronto</v>
          </cell>
          <cell r="O3031" t="str">
            <v>Toronto</v>
          </cell>
          <cell r="P3031" t="str">
            <v>Toronto</v>
          </cell>
        </row>
        <row r="3032">
          <cell r="C3032" t="str">
            <v>WATE019</v>
          </cell>
          <cell r="D3032" t="str">
            <v>SC&amp;G LP</v>
          </cell>
          <cell r="E3032" t="str">
            <v>CO</v>
          </cell>
          <cell r="F3032">
            <v>43204</v>
          </cell>
          <cell r="G3032">
            <v>43327</v>
          </cell>
          <cell r="H3032">
            <v>50508</v>
          </cell>
          <cell r="I3032" t="str">
            <v>19 years, 7 months, 29 days</v>
          </cell>
          <cell r="J3032" t="str">
            <v>Renewables</v>
          </cell>
          <cell r="K3032" t="str">
            <v>Solar (Rooftop)</v>
          </cell>
          <cell r="L3032" t="str">
            <v>Solar</v>
          </cell>
          <cell r="M3032" t="str">
            <v>Dx</v>
          </cell>
          <cell r="N3032" t="str">
            <v>Cambridge</v>
          </cell>
          <cell r="O3032" t="str">
            <v>Waterloo</v>
          </cell>
          <cell r="P3032" t="str">
            <v>Southwest</v>
          </cell>
        </row>
        <row r="3033">
          <cell r="C3033" t="str">
            <v>Walkers Mews</v>
          </cell>
          <cell r="D3033" t="str">
            <v>Walkers Mews Limited</v>
          </cell>
          <cell r="E3033" t="str">
            <v>CO</v>
          </cell>
          <cell r="F3033">
            <v>43174</v>
          </cell>
          <cell r="G3033">
            <v>42881</v>
          </cell>
          <cell r="H3033">
            <v>50185</v>
          </cell>
          <cell r="I3033" t="str">
            <v>19 years, 11 months, 29 days</v>
          </cell>
          <cell r="J3033" t="str">
            <v>Renewables</v>
          </cell>
          <cell r="K3033" t="str">
            <v>Solar (Rooftop)</v>
          </cell>
          <cell r="L3033" t="str">
            <v>Solar</v>
          </cell>
          <cell r="M3033" t="str">
            <v>Dx</v>
          </cell>
          <cell r="N3033" t="str">
            <v>Burlington</v>
          </cell>
          <cell r="O3033" t="str">
            <v>Halton</v>
          </cell>
          <cell r="P3033" t="str">
            <v>Southwest</v>
          </cell>
        </row>
        <row r="3034">
          <cell r="C3034" t="str">
            <v>Birchmount Park Yard - Maintenance Shop</v>
          </cell>
          <cell r="D3034" t="str">
            <v>City of Toronto</v>
          </cell>
          <cell r="E3034" t="str">
            <v>CO</v>
          </cell>
          <cell r="F3034">
            <v>43133</v>
          </cell>
          <cell r="G3034">
            <v>43082</v>
          </cell>
          <cell r="H3034">
            <v>50386</v>
          </cell>
          <cell r="I3034" t="str">
            <v>19 years, 11 months, 29 days</v>
          </cell>
          <cell r="J3034" t="str">
            <v>Renewables</v>
          </cell>
          <cell r="K3034" t="str">
            <v>Solar (Rooftop)</v>
          </cell>
          <cell r="L3034" t="str">
            <v>Solar</v>
          </cell>
          <cell r="M3034" t="str">
            <v>Dx</v>
          </cell>
          <cell r="N3034" t="str">
            <v>Toronto</v>
          </cell>
          <cell r="O3034" t="str">
            <v>Toronto</v>
          </cell>
          <cell r="P3034" t="str">
            <v>Toronto</v>
          </cell>
        </row>
        <row r="3035">
          <cell r="C3035" t="str">
            <v>Walker Rooftop-CH017</v>
          </cell>
          <cell r="D3035" t="str">
            <v>SCCEC 4.0 LP</v>
          </cell>
          <cell r="E3035" t="str">
            <v>CO</v>
          </cell>
          <cell r="F3035">
            <v>43174</v>
          </cell>
          <cell r="G3035">
            <v>43320</v>
          </cell>
          <cell r="H3035">
            <v>50478</v>
          </cell>
          <cell r="I3035" t="str">
            <v>19 years, 7 months, 6 days</v>
          </cell>
          <cell r="J3035" t="str">
            <v>Renewables</v>
          </cell>
          <cell r="K3035" t="str">
            <v>Solar (Rooftop)</v>
          </cell>
          <cell r="L3035" t="str">
            <v>Solar</v>
          </cell>
          <cell r="M3035" t="str">
            <v>Dx</v>
          </cell>
          <cell r="N3035" t="str">
            <v>Stayner</v>
          </cell>
          <cell r="O3035" t="str">
            <v>Simcoe</v>
          </cell>
          <cell r="P3035" t="str">
            <v>Southwest</v>
          </cell>
        </row>
        <row r="3036">
          <cell r="C3036" t="str">
            <v>4 - SPN024</v>
          </cell>
          <cell r="D3036" t="str">
            <v>SPN LP 10</v>
          </cell>
          <cell r="E3036" t="str">
            <v>CO</v>
          </cell>
          <cell r="F3036">
            <v>43186</v>
          </cell>
          <cell r="G3036">
            <v>43364</v>
          </cell>
          <cell r="H3036">
            <v>50490</v>
          </cell>
          <cell r="I3036" t="str">
            <v>19 years, 6 months, 5 days</v>
          </cell>
          <cell r="J3036" t="str">
            <v>Renewables</v>
          </cell>
          <cell r="K3036" t="str">
            <v>Solar (Rooftop)</v>
          </cell>
          <cell r="L3036" t="str">
            <v>Solar</v>
          </cell>
          <cell r="M3036" t="str">
            <v>Dx</v>
          </cell>
          <cell r="N3036" t="str">
            <v>Windsor</v>
          </cell>
          <cell r="O3036" t="str">
            <v>Essex</v>
          </cell>
          <cell r="P3036" t="str">
            <v>West</v>
          </cell>
        </row>
        <row r="3037">
          <cell r="C3037" t="str">
            <v>1473 Gingerich Rd - Erb Transport</v>
          </cell>
          <cell r="D3037" t="str">
            <v>SUNSHARE4 LP</v>
          </cell>
          <cell r="E3037" t="str">
            <v>CO</v>
          </cell>
          <cell r="F3037">
            <v>43167</v>
          </cell>
          <cell r="G3037">
            <v>43320</v>
          </cell>
          <cell r="H3037">
            <v>50471</v>
          </cell>
          <cell r="I3037" t="str">
            <v>19 years, 6 months, 27 days</v>
          </cell>
          <cell r="J3037" t="str">
            <v>Renewables</v>
          </cell>
          <cell r="K3037" t="str">
            <v>Solar (Rooftop)</v>
          </cell>
          <cell r="L3037" t="str">
            <v>Solar</v>
          </cell>
          <cell r="M3037" t="str">
            <v>Dx</v>
          </cell>
          <cell r="N3037" t="str">
            <v>New Hamburg</v>
          </cell>
          <cell r="O3037" t="str">
            <v>Waterloo</v>
          </cell>
          <cell r="P3037" t="str">
            <v>Southwest</v>
          </cell>
        </row>
        <row r="3038">
          <cell r="C3038" t="str">
            <v>DUFF102</v>
          </cell>
          <cell r="D3038" t="str">
            <v>SR&amp;G LP</v>
          </cell>
          <cell r="E3038" t="str">
            <v>CO</v>
          </cell>
          <cell r="F3038">
            <v>43181</v>
          </cell>
          <cell r="G3038">
            <v>43305</v>
          </cell>
          <cell r="H3038">
            <v>50485</v>
          </cell>
          <cell r="I3038" t="str">
            <v>19 years, 7 months, 25 days</v>
          </cell>
          <cell r="J3038" t="str">
            <v>Renewables</v>
          </cell>
          <cell r="K3038" t="str">
            <v>Solar (Rooftop)</v>
          </cell>
          <cell r="L3038" t="str">
            <v>Solar</v>
          </cell>
          <cell r="M3038" t="str">
            <v>Dx</v>
          </cell>
          <cell r="N3038" t="str">
            <v>Orangeville</v>
          </cell>
          <cell r="O3038" t="str">
            <v>Dufferin</v>
          </cell>
          <cell r="P3038" t="str">
            <v>Southwest</v>
          </cell>
        </row>
        <row r="3039">
          <cell r="C3039" t="str">
            <v>Albion Arena</v>
          </cell>
          <cell r="D3039" t="str">
            <v>City of Toronto</v>
          </cell>
          <cell r="E3039" t="str">
            <v>CO</v>
          </cell>
          <cell r="F3039">
            <v>43133</v>
          </cell>
          <cell r="G3039">
            <v>43131</v>
          </cell>
          <cell r="H3039">
            <v>50435</v>
          </cell>
          <cell r="I3039" t="str">
            <v>19 years, 11 months, 30 days</v>
          </cell>
          <cell r="J3039" t="str">
            <v>Renewables</v>
          </cell>
          <cell r="K3039" t="str">
            <v>Solar (Rooftop)</v>
          </cell>
          <cell r="L3039" t="str">
            <v>Solar</v>
          </cell>
          <cell r="M3039" t="str">
            <v>Dx</v>
          </cell>
          <cell r="N3039" t="str">
            <v>Toronto</v>
          </cell>
          <cell r="O3039" t="str">
            <v>Toronto</v>
          </cell>
          <cell r="P3039" t="str">
            <v>Toronto</v>
          </cell>
        </row>
        <row r="3040">
          <cell r="C3040" t="str">
            <v>John Beattie Farms Limited-CH034</v>
          </cell>
          <cell r="D3040" t="str">
            <v>SCCEC 4.0 LP</v>
          </cell>
          <cell r="E3040" t="str">
            <v>CO</v>
          </cell>
          <cell r="F3040">
            <v>43560</v>
          </cell>
          <cell r="G3040">
            <v>43255</v>
          </cell>
          <cell r="H3040">
            <v>50559</v>
          </cell>
          <cell r="I3040" t="str">
            <v>19 years, 11 months, 30 days</v>
          </cell>
          <cell r="J3040" t="str">
            <v>Renewables</v>
          </cell>
          <cell r="K3040" t="str">
            <v>Solar (Rooftop)</v>
          </cell>
          <cell r="L3040" t="str">
            <v>Solar</v>
          </cell>
          <cell r="M3040" t="str">
            <v>Dx</v>
          </cell>
          <cell r="N3040" t="str">
            <v>Alliston</v>
          </cell>
          <cell r="O3040" t="str">
            <v>Simcoe</v>
          </cell>
          <cell r="P3040" t="str">
            <v>Southwest</v>
          </cell>
        </row>
        <row r="3041">
          <cell r="C3041" t="str">
            <v>SATEC WA Porter Collegiate Institute</v>
          </cell>
          <cell r="D3041" t="str">
            <v>Toronto District School Board</v>
          </cell>
          <cell r="E3041" t="str">
            <v>CO</v>
          </cell>
          <cell r="F3041">
            <v>43140</v>
          </cell>
          <cell r="G3041">
            <v>43320</v>
          </cell>
          <cell r="H3041">
            <v>50444</v>
          </cell>
          <cell r="I3041" t="str">
            <v>19 years, 6 months, 0 days</v>
          </cell>
          <cell r="J3041" t="str">
            <v>Renewables</v>
          </cell>
          <cell r="K3041" t="str">
            <v>Solar (Rooftop)</v>
          </cell>
          <cell r="L3041" t="str">
            <v>Solar</v>
          </cell>
          <cell r="M3041" t="str">
            <v>Dx</v>
          </cell>
          <cell r="N3041" t="str">
            <v>Toronto</v>
          </cell>
          <cell r="O3041" t="str">
            <v>Toronto</v>
          </cell>
          <cell r="P3041" t="str">
            <v>Toronto</v>
          </cell>
        </row>
        <row r="3042">
          <cell r="C3042" t="str">
            <v>SCI CE3</v>
          </cell>
          <cell r="D3042" t="str">
            <v>Ramara Solar Projects LP</v>
          </cell>
          <cell r="E3042" t="str">
            <v>CO</v>
          </cell>
          <cell r="F3042">
            <v>43782</v>
          </cell>
          <cell r="G3042">
            <v>43780</v>
          </cell>
          <cell r="H3042">
            <v>51084</v>
          </cell>
          <cell r="I3042" t="str">
            <v>19 years, 11 months, 30 days</v>
          </cell>
          <cell r="J3042" t="str">
            <v>Renewables</v>
          </cell>
          <cell r="K3042" t="str">
            <v>Solar (Ground Mounted)</v>
          </cell>
          <cell r="L3042" t="str">
            <v>Solar</v>
          </cell>
          <cell r="M3042" t="str">
            <v>Dx</v>
          </cell>
          <cell r="N3042" t="str">
            <v>Orillia</v>
          </cell>
          <cell r="O3042" t="str">
            <v>Simcoe</v>
          </cell>
          <cell r="P3042" t="str">
            <v>Essa</v>
          </cell>
        </row>
        <row r="3043">
          <cell r="C3043" t="str">
            <v>Scotland Solar</v>
          </cell>
          <cell r="D3043" t="str">
            <v>The Corporation of the County of Brant</v>
          </cell>
          <cell r="E3043" t="str">
            <v>CO</v>
          </cell>
          <cell r="F3043">
            <v>43159</v>
          </cell>
          <cell r="G3043">
            <v>43321</v>
          </cell>
          <cell r="H3043">
            <v>50463</v>
          </cell>
          <cell r="I3043" t="str">
            <v>19 years, 6 months, 18 days</v>
          </cell>
          <cell r="J3043" t="str">
            <v>Renewables</v>
          </cell>
          <cell r="K3043" t="str">
            <v>Solar (Rooftop)</v>
          </cell>
          <cell r="L3043" t="str">
            <v>Solar</v>
          </cell>
          <cell r="M3043" t="str">
            <v>Dx</v>
          </cell>
          <cell r="N3043" t="str">
            <v>Scotland</v>
          </cell>
          <cell r="O3043" t="str">
            <v>Brant</v>
          </cell>
          <cell r="P3043" t="str">
            <v>Southwest</v>
          </cell>
        </row>
        <row r="3044">
          <cell r="C3044" t="str">
            <v>Tonelli</v>
          </cell>
          <cell r="D3044" t="str">
            <v>Milton Energy and Generation Solutions Inc</v>
          </cell>
          <cell r="E3044" t="str">
            <v>CO</v>
          </cell>
          <cell r="F3044">
            <v>43156</v>
          </cell>
          <cell r="G3044">
            <v>42996</v>
          </cell>
          <cell r="H3044">
            <v>50300</v>
          </cell>
          <cell r="I3044" t="str">
            <v>19 years, 11 months, 30 days</v>
          </cell>
          <cell r="J3044" t="str">
            <v>Renewables</v>
          </cell>
          <cell r="K3044" t="str">
            <v>Solar (Rooftop)</v>
          </cell>
          <cell r="L3044" t="str">
            <v>Solar</v>
          </cell>
          <cell r="M3044" t="str">
            <v>Dx</v>
          </cell>
          <cell r="N3044" t="str">
            <v>Milton</v>
          </cell>
          <cell r="O3044" t="str">
            <v>Halton</v>
          </cell>
          <cell r="P3044" t="str">
            <v>Southwest</v>
          </cell>
        </row>
        <row r="3045">
          <cell r="C3045" t="str">
            <v>LakefieldWoodworking</v>
          </cell>
          <cell r="D3045" t="str">
            <v>Lakefield Woodworking Inc.</v>
          </cell>
          <cell r="E3045" t="str">
            <v>CO</v>
          </cell>
          <cell r="F3045">
            <v>43159</v>
          </cell>
          <cell r="G3045">
            <v>42971</v>
          </cell>
          <cell r="H3045">
            <v>50275</v>
          </cell>
          <cell r="I3045" t="str">
            <v>19 years, 11 months, 30 days</v>
          </cell>
          <cell r="J3045" t="str">
            <v>Renewables</v>
          </cell>
          <cell r="K3045" t="str">
            <v>Solar (Rooftop)</v>
          </cell>
          <cell r="L3045" t="str">
            <v>Solar</v>
          </cell>
          <cell r="M3045" t="str">
            <v>Dx</v>
          </cell>
          <cell r="N3045" t="str">
            <v>Douro</v>
          </cell>
          <cell r="O3045" t="str">
            <v>Peterborough</v>
          </cell>
          <cell r="P3045" t="str">
            <v>East</v>
          </cell>
        </row>
        <row r="3046">
          <cell r="C3046" t="str">
            <v>Alliance Centre Maintenance Shop</v>
          </cell>
          <cell r="D3046" t="str">
            <v>Toronto District School Board</v>
          </cell>
          <cell r="E3046" t="str">
            <v>CO</v>
          </cell>
          <cell r="F3046">
            <v>43135</v>
          </cell>
          <cell r="G3046">
            <v>43304</v>
          </cell>
          <cell r="H3046">
            <v>50439</v>
          </cell>
          <cell r="I3046" t="str">
            <v>19 years, 6 months, 11 days</v>
          </cell>
          <cell r="J3046" t="str">
            <v>Renewables</v>
          </cell>
          <cell r="K3046" t="str">
            <v>Solar (Rooftop)</v>
          </cell>
          <cell r="L3046" t="str">
            <v>Solar</v>
          </cell>
          <cell r="M3046" t="str">
            <v>Dx</v>
          </cell>
          <cell r="N3046" t="str">
            <v>Toronto</v>
          </cell>
          <cell r="O3046" t="str">
            <v>Toronto</v>
          </cell>
          <cell r="P3046" t="str">
            <v>Toronto</v>
          </cell>
        </row>
        <row r="3047">
          <cell r="C3047" t="str">
            <v>Gord &amp; Irene Risk Community Centre</v>
          </cell>
          <cell r="D3047" t="str">
            <v>City of Toronto</v>
          </cell>
          <cell r="E3047" t="str">
            <v>CO</v>
          </cell>
          <cell r="F3047">
            <v>43159</v>
          </cell>
          <cell r="G3047">
            <v>43168</v>
          </cell>
          <cell r="H3047">
            <v>50463</v>
          </cell>
          <cell r="I3047" t="str">
            <v>19 years, 11 months, 18 days</v>
          </cell>
          <cell r="J3047" t="str">
            <v>Renewables</v>
          </cell>
          <cell r="K3047" t="str">
            <v>Solar (Rooftop)</v>
          </cell>
          <cell r="L3047" t="str">
            <v>Solar</v>
          </cell>
          <cell r="M3047" t="str">
            <v>Dx</v>
          </cell>
          <cell r="N3047" t="str">
            <v>Toronto</v>
          </cell>
          <cell r="O3047" t="str">
            <v>Toronto</v>
          </cell>
          <cell r="P3047" t="str">
            <v>Toronto</v>
          </cell>
        </row>
        <row r="3048">
          <cell r="C3048" t="str">
            <v>Scarborough Village Recreation Centre &amp; Arena</v>
          </cell>
          <cell r="D3048" t="str">
            <v>City of Toronto</v>
          </cell>
          <cell r="E3048" t="str">
            <v>CO</v>
          </cell>
          <cell r="F3048">
            <v>43133</v>
          </cell>
          <cell r="G3048">
            <v>43066</v>
          </cell>
          <cell r="H3048">
            <v>50370</v>
          </cell>
          <cell r="I3048" t="str">
            <v>19 years, 11 months, 30 days</v>
          </cell>
          <cell r="J3048" t="str">
            <v>Renewables</v>
          </cell>
          <cell r="K3048" t="str">
            <v>Solar (Rooftop)</v>
          </cell>
          <cell r="L3048" t="str">
            <v>Solar</v>
          </cell>
          <cell r="M3048" t="str">
            <v>Dx</v>
          </cell>
          <cell r="N3048" t="str">
            <v>Toronto</v>
          </cell>
          <cell r="O3048" t="str">
            <v>Toronto</v>
          </cell>
          <cell r="P3048" t="str">
            <v>Toronto</v>
          </cell>
        </row>
        <row r="3049">
          <cell r="C3049" t="str">
            <v>Corporate Office Building</v>
          </cell>
          <cell r="D3049" t="str">
            <v>City of Toronto</v>
          </cell>
          <cell r="E3049" t="str">
            <v>CO</v>
          </cell>
          <cell r="F3049">
            <v>43133</v>
          </cell>
          <cell r="G3049">
            <v>43000</v>
          </cell>
          <cell r="H3049">
            <v>50304</v>
          </cell>
          <cell r="I3049" t="str">
            <v>19 years, 11 months, 30 days</v>
          </cell>
          <cell r="J3049" t="str">
            <v>Renewables</v>
          </cell>
          <cell r="K3049" t="str">
            <v>Solar (Rooftop)</v>
          </cell>
          <cell r="L3049" t="str">
            <v>Solar</v>
          </cell>
          <cell r="M3049" t="str">
            <v>Dx</v>
          </cell>
          <cell r="N3049" t="str">
            <v>Toronto</v>
          </cell>
          <cell r="O3049" t="str">
            <v>Toronto</v>
          </cell>
          <cell r="P3049" t="str">
            <v>Toronto</v>
          </cell>
        </row>
        <row r="3050">
          <cell r="C3050" t="str">
            <v>Elections Building</v>
          </cell>
          <cell r="D3050" t="str">
            <v>City of Toronto</v>
          </cell>
          <cell r="E3050" t="str">
            <v>CO</v>
          </cell>
          <cell r="F3050">
            <v>43133</v>
          </cell>
          <cell r="G3050">
            <v>43157</v>
          </cell>
          <cell r="H3050">
            <v>50437</v>
          </cell>
          <cell r="I3050" t="str">
            <v>19 years, 11 months, 6 days</v>
          </cell>
          <cell r="J3050" t="str">
            <v>Renewables</v>
          </cell>
          <cell r="K3050" t="str">
            <v>Solar (Rooftop)</v>
          </cell>
          <cell r="L3050" t="str">
            <v>Solar</v>
          </cell>
          <cell r="M3050" t="str">
            <v>Dx</v>
          </cell>
          <cell r="N3050" t="str">
            <v>Toronto</v>
          </cell>
          <cell r="O3050" t="str">
            <v>Toronto</v>
          </cell>
          <cell r="P3050" t="str">
            <v>Toronto</v>
          </cell>
        </row>
        <row r="3051">
          <cell r="C3051" t="str">
            <v>Alexmuir Junior Public School</v>
          </cell>
          <cell r="D3051" t="str">
            <v>Toronto District School Board</v>
          </cell>
          <cell r="E3051" t="str">
            <v>CO</v>
          </cell>
          <cell r="F3051">
            <v>43135</v>
          </cell>
          <cell r="G3051">
            <v>43297</v>
          </cell>
          <cell r="H3051">
            <v>50439</v>
          </cell>
          <cell r="I3051" t="str">
            <v>19 years, 6 months, 18 days</v>
          </cell>
          <cell r="J3051" t="str">
            <v>Renewables</v>
          </cell>
          <cell r="K3051" t="str">
            <v>Solar (Rooftop)</v>
          </cell>
          <cell r="L3051" t="str">
            <v>Solar</v>
          </cell>
          <cell r="M3051" t="str">
            <v>Dx</v>
          </cell>
          <cell r="N3051" t="str">
            <v>Toronto</v>
          </cell>
          <cell r="O3051" t="str">
            <v>Toronto</v>
          </cell>
          <cell r="P3051" t="str">
            <v>Toronto</v>
          </cell>
        </row>
        <row r="3052">
          <cell r="C3052" t="str">
            <v>Bryans 2</v>
          </cell>
          <cell r="D3052" t="str">
            <v>KCM 2018 LP</v>
          </cell>
          <cell r="E3052" t="str">
            <v>CO</v>
          </cell>
          <cell r="F3052">
            <v>43147</v>
          </cell>
          <cell r="G3052">
            <v>43173</v>
          </cell>
          <cell r="H3052">
            <v>50451</v>
          </cell>
          <cell r="I3052" t="str">
            <v>19 years, 11 months, 1 days</v>
          </cell>
          <cell r="J3052" t="str">
            <v>Renewables</v>
          </cell>
          <cell r="K3052" t="str">
            <v>Solar (Rooftop)</v>
          </cell>
          <cell r="L3052" t="str">
            <v>Solar</v>
          </cell>
          <cell r="M3052" t="str">
            <v>Dx</v>
          </cell>
          <cell r="N3052" t="str">
            <v>Puslinch</v>
          </cell>
          <cell r="O3052" t="str">
            <v>Wellington</v>
          </cell>
          <cell r="P3052" t="str">
            <v>Southwest</v>
          </cell>
        </row>
        <row r="3053">
          <cell r="C3053" t="str">
            <v>Hwy 518 West Sprucedale 2</v>
          </cell>
          <cell r="D3053" t="str">
            <v>Saturn Solar 4 LP</v>
          </cell>
          <cell r="E3053" t="str">
            <v>CO</v>
          </cell>
          <cell r="F3053">
            <v>43742</v>
          </cell>
          <cell r="G3053">
            <v>43517</v>
          </cell>
          <cell r="H3053">
            <v>50821</v>
          </cell>
          <cell r="I3053" t="str">
            <v>19 years, 11 months, 30 days</v>
          </cell>
          <cell r="J3053" t="str">
            <v>Renewables</v>
          </cell>
          <cell r="K3053" t="str">
            <v>Solar (Ground Mounted)</v>
          </cell>
          <cell r="L3053" t="str">
            <v>Solar</v>
          </cell>
          <cell r="M3053" t="str">
            <v>Dx</v>
          </cell>
          <cell r="N3053" t="str">
            <v>Sprucedale</v>
          </cell>
          <cell r="O3053" t="str">
            <v>Parry Sound</v>
          </cell>
          <cell r="P3053" t="str">
            <v>Essa</v>
          </cell>
        </row>
        <row r="3054">
          <cell r="C3054" t="str">
            <v>Centennial Galaxy Arena</v>
          </cell>
          <cell r="D3054" t="str">
            <v>City of Toronto</v>
          </cell>
          <cell r="E3054" t="str">
            <v>CO</v>
          </cell>
          <cell r="F3054">
            <v>43133</v>
          </cell>
          <cell r="G3054">
            <v>42975</v>
          </cell>
          <cell r="H3054">
            <v>50279</v>
          </cell>
          <cell r="I3054" t="str">
            <v>19 years, 11 months, 30 days</v>
          </cell>
          <cell r="J3054" t="str">
            <v>Renewables</v>
          </cell>
          <cell r="K3054" t="str">
            <v>Solar (Rooftop)</v>
          </cell>
          <cell r="L3054" t="str">
            <v>Solar</v>
          </cell>
          <cell r="M3054" t="str">
            <v>Dx</v>
          </cell>
          <cell r="N3054" t="str">
            <v>Toronto</v>
          </cell>
          <cell r="O3054" t="str">
            <v>Toronto</v>
          </cell>
          <cell r="P3054" t="str">
            <v>Toronto</v>
          </cell>
        </row>
        <row r="3055">
          <cell r="C3055" t="str">
            <v>HUC91</v>
          </cell>
          <cell r="D3055" t="str">
            <v>2622882 Ontario Inc.</v>
          </cell>
          <cell r="E3055" t="str">
            <v>CO</v>
          </cell>
          <cell r="F3055">
            <v>43165</v>
          </cell>
          <cell r="G3055">
            <v>43349</v>
          </cell>
          <cell r="H3055">
            <v>50469</v>
          </cell>
          <cell r="I3055" t="str">
            <v>19 years, 5 months, 27 days</v>
          </cell>
          <cell r="J3055" t="str">
            <v>Renewables</v>
          </cell>
          <cell r="K3055" t="str">
            <v>Solar (Rooftop)</v>
          </cell>
          <cell r="L3055" t="str">
            <v>Solar</v>
          </cell>
          <cell r="M3055" t="str">
            <v>Dx</v>
          </cell>
          <cell r="N3055" t="str">
            <v>Hamilton</v>
          </cell>
          <cell r="O3055" t="str">
            <v>Hamilton</v>
          </cell>
          <cell r="P3055" t="str">
            <v>Southwest</v>
          </cell>
        </row>
        <row r="3056">
          <cell r="C3056" t="str">
            <v>2009 Eglinton west</v>
          </cell>
          <cell r="D3056" t="str">
            <v>F&amp;H ALI ENTERPRISES LTD.</v>
          </cell>
          <cell r="E3056" t="str">
            <v>CO</v>
          </cell>
          <cell r="F3056">
            <v>43147</v>
          </cell>
          <cell r="G3056">
            <v>43146</v>
          </cell>
          <cell r="H3056">
            <v>50450</v>
          </cell>
          <cell r="I3056" t="str">
            <v>19 years, 11 months, 30 days</v>
          </cell>
          <cell r="J3056" t="str">
            <v>Renewables</v>
          </cell>
          <cell r="K3056" t="str">
            <v>Solar (Rooftop)</v>
          </cell>
          <cell r="L3056" t="str">
            <v>Solar</v>
          </cell>
          <cell r="M3056" t="str">
            <v>Dx</v>
          </cell>
          <cell r="N3056" t="str">
            <v>Toronto</v>
          </cell>
          <cell r="O3056" t="str">
            <v>Toronto</v>
          </cell>
          <cell r="P3056" t="str">
            <v>Toronto</v>
          </cell>
        </row>
        <row r="3057">
          <cell r="C3057" t="str">
            <v>1 Summerlea Road</v>
          </cell>
          <cell r="D3057" t="str">
            <v>Menkes Summerlea Holdings Inc.</v>
          </cell>
          <cell r="E3057" t="str">
            <v>CO</v>
          </cell>
          <cell r="F3057">
            <v>43142</v>
          </cell>
          <cell r="G3057">
            <v>43067</v>
          </cell>
          <cell r="H3057">
            <v>50371</v>
          </cell>
          <cell r="I3057" t="str">
            <v>19 years, 11 months, 30 days</v>
          </cell>
          <cell r="J3057" t="str">
            <v>Renewables</v>
          </cell>
          <cell r="K3057" t="str">
            <v>Solar (Rooftop)</v>
          </cell>
          <cell r="L3057" t="str">
            <v>Solar</v>
          </cell>
          <cell r="M3057" t="str">
            <v>Dx</v>
          </cell>
          <cell r="N3057" t="str">
            <v>Brampton</v>
          </cell>
          <cell r="O3057" t="str">
            <v>Peel</v>
          </cell>
          <cell r="P3057" t="str">
            <v>Toronto</v>
          </cell>
        </row>
        <row r="3058">
          <cell r="C3058" t="str">
            <v>Shorting Rd. Stock Room</v>
          </cell>
          <cell r="D3058" t="str">
            <v>Toronto District School Board</v>
          </cell>
          <cell r="E3058" t="str">
            <v>CO</v>
          </cell>
          <cell r="F3058">
            <v>43140</v>
          </cell>
          <cell r="G3058">
            <v>43321</v>
          </cell>
          <cell r="H3058">
            <v>50444</v>
          </cell>
          <cell r="I3058" t="str">
            <v>19 years, 5 months, 30 days</v>
          </cell>
          <cell r="J3058" t="str">
            <v>Renewables</v>
          </cell>
          <cell r="K3058" t="str">
            <v>Solar (Rooftop)</v>
          </cell>
          <cell r="L3058" t="str">
            <v>Solar</v>
          </cell>
          <cell r="M3058" t="str">
            <v>Dx</v>
          </cell>
          <cell r="N3058" t="str">
            <v>Toronto</v>
          </cell>
          <cell r="O3058" t="str">
            <v>Toronto</v>
          </cell>
          <cell r="P3058" t="str">
            <v>Toronto</v>
          </cell>
        </row>
        <row r="3059">
          <cell r="C3059" t="str">
            <v>DeKoning, Richard - JB044</v>
          </cell>
          <cell r="D3059" t="str">
            <v>HSSW Limited Partnership</v>
          </cell>
          <cell r="E3059" t="str">
            <v>CO</v>
          </cell>
          <cell r="F3059">
            <v>43728</v>
          </cell>
          <cell r="G3059">
            <v>43727</v>
          </cell>
          <cell r="H3059">
            <v>51031</v>
          </cell>
          <cell r="I3059" t="str">
            <v>19 years, 11 months, 30 days</v>
          </cell>
          <cell r="J3059" t="str">
            <v>Renewables</v>
          </cell>
          <cell r="K3059" t="str">
            <v>Solar (Ground Mounted)</v>
          </cell>
          <cell r="L3059" t="str">
            <v>Solar</v>
          </cell>
          <cell r="M3059" t="str">
            <v>Dx</v>
          </cell>
          <cell r="N3059" t="str">
            <v>Sebright</v>
          </cell>
          <cell r="O3059" t="str">
            <v>Simcoe</v>
          </cell>
          <cell r="P3059" t="str">
            <v>Essa</v>
          </cell>
        </row>
        <row r="3060">
          <cell r="C3060" t="str">
            <v>HUC43</v>
          </cell>
          <cell r="D3060" t="str">
            <v>HIPCO-FIT4 Projects Corporation</v>
          </cell>
          <cell r="E3060" t="str">
            <v>CO</v>
          </cell>
          <cell r="F3060">
            <v>43149</v>
          </cell>
          <cell r="G3060">
            <v>43328</v>
          </cell>
          <cell r="H3060">
            <v>50453</v>
          </cell>
          <cell r="I3060" t="str">
            <v>19 years, 6 months, 1 days</v>
          </cell>
          <cell r="J3060" t="str">
            <v>Renewables</v>
          </cell>
          <cell r="K3060" t="str">
            <v>Solar (Rooftop)</v>
          </cell>
          <cell r="L3060" t="str">
            <v>Solar</v>
          </cell>
          <cell r="M3060" t="str">
            <v>Dx</v>
          </cell>
          <cell r="N3060" t="str">
            <v>Hamilton</v>
          </cell>
          <cell r="O3060" t="str">
            <v>Hamilton</v>
          </cell>
          <cell r="P3060" t="str">
            <v>Southwest</v>
          </cell>
        </row>
        <row r="3061">
          <cell r="C3061" t="str">
            <v>ERKASOLAR</v>
          </cell>
          <cell r="D3061" t="str">
            <v>Pantone I Real Estate Inc.</v>
          </cell>
          <cell r="E3061" t="str">
            <v>CO</v>
          </cell>
          <cell r="F3061">
            <v>43172</v>
          </cell>
          <cell r="G3061">
            <v>43138</v>
          </cell>
          <cell r="H3061">
            <v>50442</v>
          </cell>
          <cell r="I3061" t="str">
            <v>19 years, 11 months, 30 days</v>
          </cell>
          <cell r="J3061" t="str">
            <v>Renewables</v>
          </cell>
          <cell r="K3061" t="str">
            <v>Solar (Rooftop)</v>
          </cell>
          <cell r="L3061" t="str">
            <v>Solar</v>
          </cell>
          <cell r="M3061" t="str">
            <v>Dx</v>
          </cell>
          <cell r="N3061" t="str">
            <v>Lincoln</v>
          </cell>
          <cell r="O3061" t="str">
            <v>Niagara</v>
          </cell>
          <cell r="P3061" t="str">
            <v>Niagara</v>
          </cell>
        </row>
        <row r="3062">
          <cell r="C3062" t="str">
            <v>WATE018</v>
          </cell>
          <cell r="D3062" t="str">
            <v>SC&amp;G LP</v>
          </cell>
          <cell r="E3062" t="str">
            <v>CO</v>
          </cell>
          <cell r="F3062">
            <v>43204</v>
          </cell>
          <cell r="G3062">
            <v>43286</v>
          </cell>
          <cell r="H3062">
            <v>50508</v>
          </cell>
          <cell r="I3062" t="str">
            <v>19 years, 9 months, 8 days</v>
          </cell>
          <cell r="J3062" t="str">
            <v>Renewables</v>
          </cell>
          <cell r="K3062" t="str">
            <v>Solar (Rooftop)</v>
          </cell>
          <cell r="L3062" t="str">
            <v>Solar</v>
          </cell>
          <cell r="M3062" t="str">
            <v>Dx</v>
          </cell>
          <cell r="N3062" t="str">
            <v>Cambridge</v>
          </cell>
          <cell r="O3062" t="str">
            <v>Waterloo</v>
          </cell>
          <cell r="P3062" t="str">
            <v>Southwest</v>
          </cell>
        </row>
        <row r="3063">
          <cell r="C3063" t="str">
            <v>2 - SPN350</v>
          </cell>
          <cell r="D3063" t="str">
            <v>SPN LP 14</v>
          </cell>
          <cell r="E3063" t="str">
            <v>CO</v>
          </cell>
          <cell r="F3063">
            <v>43181</v>
          </cell>
          <cell r="G3063">
            <v>43362</v>
          </cell>
          <cell r="H3063">
            <v>50485</v>
          </cell>
          <cell r="I3063" t="str">
            <v>19 years, 6 months, 2 days</v>
          </cell>
          <cell r="J3063" t="str">
            <v>Renewables</v>
          </cell>
          <cell r="K3063" t="str">
            <v>Solar (Rooftop)</v>
          </cell>
          <cell r="L3063" t="str">
            <v>Solar</v>
          </cell>
          <cell r="M3063" t="str">
            <v>Dx</v>
          </cell>
          <cell r="N3063" t="str">
            <v>Bolton</v>
          </cell>
          <cell r="O3063" t="str">
            <v>Peel</v>
          </cell>
          <cell r="P3063" t="str">
            <v>Toronto</v>
          </cell>
        </row>
        <row r="3064">
          <cell r="C3064" t="str">
            <v>Timmermans</v>
          </cell>
          <cell r="D3064" t="str">
            <v>The Everts Legacy Farm Inc.</v>
          </cell>
          <cell r="E3064" t="str">
            <v>CO</v>
          </cell>
          <cell r="F3064">
            <v>43147</v>
          </cell>
          <cell r="G3064">
            <v>43327</v>
          </cell>
          <cell r="H3064">
            <v>50451</v>
          </cell>
          <cell r="I3064" t="str">
            <v>19 years, 6 months, 0 days</v>
          </cell>
          <cell r="J3064" t="str">
            <v>Renewables</v>
          </cell>
          <cell r="K3064" t="str">
            <v>Solar (Rooftop)</v>
          </cell>
          <cell r="L3064" t="str">
            <v>Solar</v>
          </cell>
          <cell r="M3064" t="str">
            <v>Dx</v>
          </cell>
          <cell r="N3064" t="str">
            <v>Paris</v>
          </cell>
          <cell r="O3064" t="str">
            <v>Brant</v>
          </cell>
          <cell r="P3064" t="str">
            <v>Southwest</v>
          </cell>
        </row>
        <row r="3065">
          <cell r="C3065" t="str">
            <v>Baycrest Arena</v>
          </cell>
          <cell r="D3065" t="str">
            <v>City of Toronto</v>
          </cell>
          <cell r="E3065" t="str">
            <v>CO</v>
          </cell>
          <cell r="F3065">
            <v>43159</v>
          </cell>
          <cell r="G3065">
            <v>43180</v>
          </cell>
          <cell r="H3065">
            <v>50463</v>
          </cell>
          <cell r="I3065" t="str">
            <v>19 years, 11 months, 6 days</v>
          </cell>
          <cell r="J3065" t="str">
            <v>Renewables</v>
          </cell>
          <cell r="K3065" t="str">
            <v>Solar (Rooftop)</v>
          </cell>
          <cell r="L3065" t="str">
            <v>Solar</v>
          </cell>
          <cell r="M3065" t="str">
            <v>Dx</v>
          </cell>
          <cell r="N3065" t="str">
            <v>Toronto</v>
          </cell>
          <cell r="O3065" t="str">
            <v>Toronto</v>
          </cell>
          <cell r="P3065" t="str">
            <v>Toronto</v>
          </cell>
        </row>
        <row r="3066">
          <cell r="C3066" t="str">
            <v>Berner Trail Junior Public School</v>
          </cell>
          <cell r="D3066" t="str">
            <v>Toronto District School Board</v>
          </cell>
          <cell r="E3066" t="str">
            <v>CO</v>
          </cell>
          <cell r="F3066">
            <v>43188</v>
          </cell>
          <cell r="G3066">
            <v>43367</v>
          </cell>
          <cell r="H3066">
            <v>50492</v>
          </cell>
          <cell r="I3066" t="str">
            <v>19 years, 6 months, 4 days</v>
          </cell>
          <cell r="J3066" t="str">
            <v>Renewables</v>
          </cell>
          <cell r="K3066" t="str">
            <v>Solar (Rooftop)</v>
          </cell>
          <cell r="L3066" t="str">
            <v>Solar</v>
          </cell>
          <cell r="M3066" t="str">
            <v>Dx</v>
          </cell>
          <cell r="N3066" t="str">
            <v>Toronto</v>
          </cell>
          <cell r="O3066" t="str">
            <v>Toronto</v>
          </cell>
          <cell r="P3066" t="str">
            <v>Toronto</v>
          </cell>
        </row>
        <row r="3067">
          <cell r="C3067" t="str">
            <v>Burnhamthorpe Collegiate Institute</v>
          </cell>
          <cell r="D3067" t="str">
            <v>Toronto District School Board</v>
          </cell>
          <cell r="E3067" t="str">
            <v>CO</v>
          </cell>
          <cell r="F3067">
            <v>43133</v>
          </cell>
          <cell r="G3067">
            <v>43313</v>
          </cell>
          <cell r="H3067">
            <v>50437</v>
          </cell>
          <cell r="I3067" t="str">
            <v>19 years, 6 months, 0 days</v>
          </cell>
          <cell r="J3067" t="str">
            <v>Renewables</v>
          </cell>
          <cell r="K3067" t="str">
            <v>Solar (Rooftop)</v>
          </cell>
          <cell r="L3067" t="str">
            <v>Solar</v>
          </cell>
          <cell r="M3067" t="str">
            <v>Dx</v>
          </cell>
          <cell r="N3067" t="str">
            <v>Toronto</v>
          </cell>
          <cell r="O3067" t="str">
            <v>Toronto</v>
          </cell>
          <cell r="P3067" t="str">
            <v>Toronto</v>
          </cell>
        </row>
        <row r="3068">
          <cell r="C3068" t="str">
            <v>SS Keswick</v>
          </cell>
          <cell r="D3068" t="str">
            <v>HC1 LP</v>
          </cell>
          <cell r="E3068" t="str">
            <v>CO</v>
          </cell>
          <cell r="F3068">
            <v>43142</v>
          </cell>
          <cell r="G3068">
            <v>43287</v>
          </cell>
          <cell r="H3068">
            <v>50446</v>
          </cell>
          <cell r="I3068" t="str">
            <v>19 years, 7 months, 4 days</v>
          </cell>
          <cell r="J3068" t="str">
            <v>Renewables</v>
          </cell>
          <cell r="K3068" t="str">
            <v>Solar (Rooftop)</v>
          </cell>
          <cell r="L3068" t="str">
            <v>Solar</v>
          </cell>
          <cell r="M3068" t="str">
            <v>Dx</v>
          </cell>
          <cell r="N3068" t="str">
            <v>Keswick</v>
          </cell>
          <cell r="O3068" t="str">
            <v>York</v>
          </cell>
          <cell r="P3068" t="str">
            <v>Essa</v>
          </cell>
        </row>
        <row r="3069">
          <cell r="C3069" t="str">
            <v>Tecumseh Senior Public School</v>
          </cell>
          <cell r="D3069" t="str">
            <v>Toronto District School Board</v>
          </cell>
          <cell r="E3069" t="str">
            <v>CO</v>
          </cell>
          <cell r="F3069">
            <v>43140</v>
          </cell>
          <cell r="G3069">
            <v>43314</v>
          </cell>
          <cell r="H3069">
            <v>50444</v>
          </cell>
          <cell r="I3069" t="str">
            <v>19 years, 6 months, 6 days</v>
          </cell>
          <cell r="J3069" t="str">
            <v>Renewables</v>
          </cell>
          <cell r="K3069" t="str">
            <v>Solar (Rooftop)</v>
          </cell>
          <cell r="L3069" t="str">
            <v>Solar</v>
          </cell>
          <cell r="M3069" t="str">
            <v>Dx</v>
          </cell>
          <cell r="N3069" t="str">
            <v>Toronto</v>
          </cell>
          <cell r="O3069" t="str">
            <v>Toronto</v>
          </cell>
          <cell r="P3069" t="str">
            <v>Toronto</v>
          </cell>
        </row>
        <row r="3070">
          <cell r="C3070" t="str">
            <v>D&amp;R Leasing</v>
          </cell>
          <cell r="D3070" t="str">
            <v>Greater Niagara Renewable Energy Co-operative Inc.</v>
          </cell>
          <cell r="E3070" t="str">
            <v>CO</v>
          </cell>
          <cell r="F3070">
            <v>43172</v>
          </cell>
          <cell r="G3070">
            <v>43248</v>
          </cell>
          <cell r="H3070">
            <v>50476</v>
          </cell>
          <cell r="I3070" t="str">
            <v>19 years, 9 months, 12 days</v>
          </cell>
          <cell r="J3070" t="str">
            <v>Renewables</v>
          </cell>
          <cell r="K3070" t="str">
            <v>Solar (Rooftop)</v>
          </cell>
          <cell r="L3070" t="str">
            <v>Solar</v>
          </cell>
          <cell r="M3070" t="str">
            <v>Dx</v>
          </cell>
          <cell r="N3070" t="str">
            <v>Niagara-on-the-Lake</v>
          </cell>
          <cell r="O3070" t="str">
            <v>Niagara</v>
          </cell>
          <cell r="P3070" t="str">
            <v>Niagara</v>
          </cell>
        </row>
        <row r="3071">
          <cell r="C3071" t="str">
            <v>Habitant Arena</v>
          </cell>
          <cell r="D3071" t="str">
            <v>City of Toronto</v>
          </cell>
          <cell r="E3071" t="str">
            <v>CO</v>
          </cell>
          <cell r="F3071">
            <v>43159</v>
          </cell>
          <cell r="G3071">
            <v>43180</v>
          </cell>
          <cell r="H3071">
            <v>50463</v>
          </cell>
          <cell r="I3071" t="str">
            <v>19 years, 11 months, 6 days</v>
          </cell>
          <cell r="J3071" t="str">
            <v>Renewables</v>
          </cell>
          <cell r="K3071" t="str">
            <v>Solar (Rooftop)</v>
          </cell>
          <cell r="L3071" t="str">
            <v>Solar</v>
          </cell>
          <cell r="M3071" t="str">
            <v>Dx</v>
          </cell>
          <cell r="N3071" t="str">
            <v>Toronto</v>
          </cell>
          <cell r="O3071" t="str">
            <v>Toronto</v>
          </cell>
          <cell r="P3071" t="str">
            <v>Toronto</v>
          </cell>
        </row>
        <row r="3072">
          <cell r="C3072" t="str">
            <v>Adidas Solar</v>
          </cell>
          <cell r="D3072" t="str">
            <v>The Corporation of the County of Brant &amp; Adidas Canada Limited</v>
          </cell>
          <cell r="E3072" t="str">
            <v>CO</v>
          </cell>
          <cell r="F3072">
            <v>43167</v>
          </cell>
          <cell r="G3072">
            <v>43167</v>
          </cell>
          <cell r="H3072">
            <v>50471</v>
          </cell>
          <cell r="I3072" t="str">
            <v>19 years, 11 months, 27 days</v>
          </cell>
          <cell r="J3072" t="str">
            <v>Renewables</v>
          </cell>
          <cell r="K3072" t="str">
            <v>Solar (Rooftop)</v>
          </cell>
          <cell r="L3072" t="str">
            <v>Solar</v>
          </cell>
          <cell r="M3072" t="str">
            <v>Dx</v>
          </cell>
          <cell r="N3072" t="str">
            <v>Paris</v>
          </cell>
          <cell r="O3072" t="str">
            <v>Brant</v>
          </cell>
          <cell r="P3072" t="str">
            <v>Southwest</v>
          </cell>
        </row>
        <row r="3073">
          <cell r="C3073" t="str">
            <v>120 Duffield</v>
          </cell>
          <cell r="D3073" t="str">
            <v>Skyline Clean Energy Holdings (II) Inc.</v>
          </cell>
          <cell r="E3073" t="str">
            <v>CO</v>
          </cell>
          <cell r="F3073">
            <v>43142</v>
          </cell>
          <cell r="G3073">
            <v>43220</v>
          </cell>
          <cell r="H3073">
            <v>50446</v>
          </cell>
          <cell r="I3073" t="str">
            <v>19 years, 9 months, 11 days</v>
          </cell>
          <cell r="J3073" t="str">
            <v>Renewables</v>
          </cell>
          <cell r="K3073" t="str">
            <v>Solar (Rooftop)</v>
          </cell>
          <cell r="L3073" t="str">
            <v>Solar</v>
          </cell>
          <cell r="M3073" t="str">
            <v>Dx</v>
          </cell>
          <cell r="N3073" t="str">
            <v>Markham</v>
          </cell>
          <cell r="O3073" t="str">
            <v>York</v>
          </cell>
          <cell r="P3073" t="str">
            <v>Toronto</v>
          </cell>
        </row>
        <row r="3074">
          <cell r="C3074" t="str">
            <v>Winston Churchill Collegiate Institute</v>
          </cell>
          <cell r="D3074" t="str">
            <v>Toronto District School Board</v>
          </cell>
          <cell r="E3074" t="str">
            <v>CO</v>
          </cell>
          <cell r="F3074">
            <v>43135</v>
          </cell>
          <cell r="G3074">
            <v>43315</v>
          </cell>
          <cell r="H3074">
            <v>50439</v>
          </cell>
          <cell r="I3074" t="str">
            <v>19 years, 6 months, 0 days</v>
          </cell>
          <cell r="J3074" t="str">
            <v>Renewables</v>
          </cell>
          <cell r="K3074" t="str">
            <v>Solar (Rooftop)</v>
          </cell>
          <cell r="L3074" t="str">
            <v>Solar</v>
          </cell>
          <cell r="M3074" t="str">
            <v>Dx</v>
          </cell>
          <cell r="N3074" t="str">
            <v>Toronto</v>
          </cell>
          <cell r="O3074" t="str">
            <v>Toronto</v>
          </cell>
          <cell r="P3074" t="str">
            <v>Toronto</v>
          </cell>
        </row>
        <row r="3075">
          <cell r="C3075" t="str">
            <v>Town Operations Building</v>
          </cell>
          <cell r="D3075" t="str">
            <v>Halton Hills Community Energy Corporation</v>
          </cell>
          <cell r="E3075" t="str">
            <v>CO</v>
          </cell>
          <cell r="F3075">
            <v>43154</v>
          </cell>
          <cell r="G3075">
            <v>42944</v>
          </cell>
          <cell r="H3075">
            <v>50248</v>
          </cell>
          <cell r="I3075" t="str">
            <v>19 years, 11 months, 29 days</v>
          </cell>
          <cell r="J3075" t="str">
            <v>Renewables</v>
          </cell>
          <cell r="K3075" t="str">
            <v>Solar (Rooftop)</v>
          </cell>
          <cell r="L3075" t="str">
            <v>Solar</v>
          </cell>
          <cell r="M3075" t="str">
            <v>Dx</v>
          </cell>
          <cell r="N3075" t="str">
            <v>Halton Hills</v>
          </cell>
          <cell r="O3075" t="str">
            <v>Halton</v>
          </cell>
          <cell r="P3075" t="str">
            <v>Toronto</v>
          </cell>
        </row>
        <row r="3076">
          <cell r="C3076" t="str">
            <v>Maplewood High School</v>
          </cell>
          <cell r="D3076" t="str">
            <v>Toronto District School Board</v>
          </cell>
          <cell r="E3076" t="str">
            <v>CO</v>
          </cell>
          <cell r="F3076">
            <v>43140</v>
          </cell>
          <cell r="G3076">
            <v>43321</v>
          </cell>
          <cell r="H3076">
            <v>50444</v>
          </cell>
          <cell r="I3076" t="str">
            <v>19 years, 5 months, 30 days</v>
          </cell>
          <cell r="J3076" t="str">
            <v>Renewables</v>
          </cell>
          <cell r="K3076" t="str">
            <v>Solar (Rooftop)</v>
          </cell>
          <cell r="L3076" t="str">
            <v>Solar</v>
          </cell>
          <cell r="M3076" t="str">
            <v>Dx</v>
          </cell>
          <cell r="N3076" t="str">
            <v>Toronto</v>
          </cell>
          <cell r="O3076" t="str">
            <v>Toronto</v>
          </cell>
          <cell r="P3076" t="str">
            <v>Toronto</v>
          </cell>
        </row>
        <row r="3077">
          <cell r="C3077" t="str">
            <v>Queen Victoria Public School</v>
          </cell>
          <cell r="D3077" t="str">
            <v>Toronto District School Board</v>
          </cell>
          <cell r="E3077" t="str">
            <v>CO</v>
          </cell>
          <cell r="F3077">
            <v>43194</v>
          </cell>
          <cell r="G3077">
            <v>43375</v>
          </cell>
          <cell r="H3077">
            <v>50498</v>
          </cell>
          <cell r="I3077" t="str">
            <v>19 years, 6 months, 1 days</v>
          </cell>
          <cell r="J3077" t="str">
            <v>Renewables</v>
          </cell>
          <cell r="K3077" t="str">
            <v>Solar (Rooftop)</v>
          </cell>
          <cell r="L3077" t="str">
            <v>Solar</v>
          </cell>
          <cell r="M3077" t="str">
            <v>Dx</v>
          </cell>
          <cell r="N3077" t="str">
            <v>Toronto</v>
          </cell>
          <cell r="O3077" t="str">
            <v>Toronto</v>
          </cell>
          <cell r="P3077" t="str">
            <v>Toronto</v>
          </cell>
        </row>
        <row r="3078">
          <cell r="C3078" t="str">
            <v>ERTH Embro Community Centre Solar</v>
          </cell>
          <cell r="D3078" t="str">
            <v>ERTH Community Power One LP</v>
          </cell>
          <cell r="E3078" t="str">
            <v>CO</v>
          </cell>
          <cell r="F3078">
            <v>43165</v>
          </cell>
          <cell r="G3078">
            <v>43312</v>
          </cell>
          <cell r="H3078">
            <v>50469</v>
          </cell>
          <cell r="I3078" t="str">
            <v>19 years, 7 months, 2 days</v>
          </cell>
          <cell r="J3078" t="str">
            <v>Renewables</v>
          </cell>
          <cell r="K3078" t="str">
            <v>Solar (Rooftop)</v>
          </cell>
          <cell r="L3078" t="str">
            <v>Solar</v>
          </cell>
          <cell r="M3078" t="str">
            <v>Dx</v>
          </cell>
          <cell r="N3078" t="str">
            <v>Embro</v>
          </cell>
          <cell r="O3078" t="str">
            <v>Oxford</v>
          </cell>
          <cell r="P3078" t="str">
            <v>Southwest</v>
          </cell>
        </row>
        <row r="3079">
          <cell r="C3079" t="str">
            <v>8806 Walkers Drive</v>
          </cell>
          <cell r="D3079" t="str">
            <v>Ontario Solar PVR 16 Limited Partnership</v>
          </cell>
          <cell r="E3079" t="str">
            <v>CO</v>
          </cell>
          <cell r="F3079">
            <v>43147</v>
          </cell>
          <cell r="G3079">
            <v>43075</v>
          </cell>
          <cell r="H3079">
            <v>50379</v>
          </cell>
          <cell r="I3079" t="str">
            <v>19 years, 11 months, 29 days</v>
          </cell>
          <cell r="J3079" t="str">
            <v>Renewables</v>
          </cell>
          <cell r="K3079" t="str">
            <v>Solar (Rooftop)</v>
          </cell>
          <cell r="L3079" t="str">
            <v>Solar</v>
          </cell>
          <cell r="M3079" t="str">
            <v>Dx</v>
          </cell>
          <cell r="N3079" t="str">
            <v>Strathroy</v>
          </cell>
          <cell r="O3079" t="str">
            <v>Middlesex</v>
          </cell>
          <cell r="P3079" t="str">
            <v>West</v>
          </cell>
        </row>
        <row r="3080">
          <cell r="C3080" t="str">
            <v>Sir Wilfrid Laurier Collegiate Institute</v>
          </cell>
          <cell r="D3080" t="str">
            <v>Toronto District School Board</v>
          </cell>
          <cell r="E3080" t="str">
            <v>CO</v>
          </cell>
          <cell r="F3080">
            <v>43140</v>
          </cell>
          <cell r="G3080">
            <v>43320</v>
          </cell>
          <cell r="H3080">
            <v>50444</v>
          </cell>
          <cell r="I3080" t="str">
            <v>19 years, 6 months, 0 days</v>
          </cell>
          <cell r="J3080" t="str">
            <v>Renewables</v>
          </cell>
          <cell r="K3080" t="str">
            <v>Solar (Rooftop)</v>
          </cell>
          <cell r="L3080" t="str">
            <v>Solar</v>
          </cell>
          <cell r="M3080" t="str">
            <v>Dx</v>
          </cell>
          <cell r="N3080" t="str">
            <v>Toronto</v>
          </cell>
          <cell r="O3080" t="str">
            <v>Toronto</v>
          </cell>
          <cell r="P3080" t="str">
            <v>Toronto</v>
          </cell>
        </row>
        <row r="3081">
          <cell r="C3081" t="str">
            <v>Beverley Heights Middle School</v>
          </cell>
          <cell r="D3081" t="str">
            <v>Toronto District School Board</v>
          </cell>
          <cell r="E3081" t="str">
            <v>CO</v>
          </cell>
          <cell r="F3081">
            <v>43140</v>
          </cell>
          <cell r="G3081">
            <v>43319</v>
          </cell>
          <cell r="H3081">
            <v>50444</v>
          </cell>
          <cell r="I3081" t="str">
            <v>19 years, 6 months, 1 days</v>
          </cell>
          <cell r="J3081" t="str">
            <v>Renewables</v>
          </cell>
          <cell r="K3081" t="str">
            <v>Solar (Rooftop)</v>
          </cell>
          <cell r="L3081" t="str">
            <v>Solar</v>
          </cell>
          <cell r="M3081" t="str">
            <v>Dx</v>
          </cell>
          <cell r="N3081" t="str">
            <v>Toronto</v>
          </cell>
          <cell r="O3081" t="str">
            <v>Toronto</v>
          </cell>
          <cell r="P3081" t="str">
            <v>Toronto</v>
          </cell>
        </row>
        <row r="3082">
          <cell r="C3082" t="str">
            <v>HUC601</v>
          </cell>
          <cell r="D3082" t="str">
            <v>2622882 Ontario Inc.</v>
          </cell>
          <cell r="E3082" t="str">
            <v>CO</v>
          </cell>
          <cell r="F3082">
            <v>43165</v>
          </cell>
          <cell r="G3082">
            <v>43349</v>
          </cell>
          <cell r="H3082">
            <v>50469</v>
          </cell>
          <cell r="I3082" t="str">
            <v>19 years, 5 months, 27 days</v>
          </cell>
          <cell r="J3082" t="str">
            <v>Renewables</v>
          </cell>
          <cell r="K3082" t="str">
            <v>Solar (Rooftop)</v>
          </cell>
          <cell r="L3082" t="str">
            <v>Solar</v>
          </cell>
          <cell r="M3082" t="str">
            <v>Dx</v>
          </cell>
          <cell r="N3082" t="str">
            <v>Hamilton</v>
          </cell>
          <cell r="O3082" t="str">
            <v>Hamilton</v>
          </cell>
          <cell r="P3082" t="str">
            <v>Southwest</v>
          </cell>
        </row>
        <row r="3083">
          <cell r="C3083" t="str">
            <v>Bermondsey Yard - Office &amp; Garage Bldg</v>
          </cell>
          <cell r="D3083" t="str">
            <v>City of Toronto</v>
          </cell>
          <cell r="E3083" t="str">
            <v>CO</v>
          </cell>
          <cell r="F3083">
            <v>43133</v>
          </cell>
          <cell r="G3083">
            <v>43297</v>
          </cell>
          <cell r="H3083">
            <v>50437</v>
          </cell>
          <cell r="I3083" t="str">
            <v>19 years, 6 months, 16 days</v>
          </cell>
          <cell r="J3083" t="str">
            <v>Renewables</v>
          </cell>
          <cell r="K3083" t="str">
            <v>Solar (Rooftop)</v>
          </cell>
          <cell r="L3083" t="str">
            <v>Solar</v>
          </cell>
          <cell r="M3083" t="str">
            <v>Dx</v>
          </cell>
          <cell r="N3083" t="str">
            <v>Toronto</v>
          </cell>
          <cell r="O3083" t="str">
            <v>Toronto</v>
          </cell>
          <cell r="P3083" t="str">
            <v>Toronto</v>
          </cell>
        </row>
        <row r="3084">
          <cell r="C3084" t="str">
            <v>St.Davids 329 cannery</v>
          </cell>
          <cell r="D3084" t="str">
            <v>Greater Niagara Renewable Energy Co-operative Inc.</v>
          </cell>
          <cell r="E3084" t="str">
            <v>CO</v>
          </cell>
          <cell r="F3084">
            <v>43172</v>
          </cell>
          <cell r="G3084">
            <v>43309</v>
          </cell>
          <cell r="H3084">
            <v>50476</v>
          </cell>
          <cell r="I3084" t="str">
            <v>19 years, 7 months, 12 days</v>
          </cell>
          <cell r="J3084" t="str">
            <v>Renewables</v>
          </cell>
          <cell r="K3084" t="str">
            <v>Solar (Rooftop)</v>
          </cell>
          <cell r="L3084" t="str">
            <v>Solar</v>
          </cell>
          <cell r="M3084" t="str">
            <v>Dx</v>
          </cell>
          <cell r="N3084" t="str">
            <v>St. Davids</v>
          </cell>
          <cell r="O3084" t="str">
            <v>Niagara</v>
          </cell>
          <cell r="P3084" t="str">
            <v>Niagara</v>
          </cell>
        </row>
        <row r="3085">
          <cell r="C3085" t="str">
            <v>HUC190</v>
          </cell>
          <cell r="D3085" t="str">
            <v>HIPCO-FIT4 Projects Corporation</v>
          </cell>
          <cell r="E3085" t="str">
            <v>CO</v>
          </cell>
          <cell r="F3085">
            <v>43149</v>
          </cell>
          <cell r="G3085">
            <v>43328</v>
          </cell>
          <cell r="H3085">
            <v>50453</v>
          </cell>
          <cell r="I3085" t="str">
            <v>19 years, 6 months, 1 days</v>
          </cell>
          <cell r="J3085" t="str">
            <v>Renewables</v>
          </cell>
          <cell r="K3085" t="str">
            <v>Solar (Rooftop)</v>
          </cell>
          <cell r="L3085" t="str">
            <v>Solar</v>
          </cell>
          <cell r="M3085" t="str">
            <v>Dx</v>
          </cell>
          <cell r="N3085" t="str">
            <v>Hamilton</v>
          </cell>
          <cell r="O3085" t="str">
            <v>Hamilton</v>
          </cell>
          <cell r="P3085" t="str">
            <v>Niagara</v>
          </cell>
        </row>
        <row r="3086">
          <cell r="C3086" t="str">
            <v>Bayview Arena</v>
          </cell>
          <cell r="D3086" t="str">
            <v>City of Toronto</v>
          </cell>
          <cell r="E3086" t="str">
            <v>CO</v>
          </cell>
          <cell r="F3086">
            <v>43160</v>
          </cell>
          <cell r="G3086">
            <v>43207</v>
          </cell>
          <cell r="H3086">
            <v>50464</v>
          </cell>
          <cell r="I3086" t="str">
            <v>19 years, 10 months, 11 days</v>
          </cell>
          <cell r="J3086" t="str">
            <v>Renewables</v>
          </cell>
          <cell r="K3086" t="str">
            <v>Solar (Rooftop)</v>
          </cell>
          <cell r="L3086" t="str">
            <v>Solar</v>
          </cell>
          <cell r="M3086" t="str">
            <v>Dx</v>
          </cell>
          <cell r="N3086" t="str">
            <v>Toronto</v>
          </cell>
          <cell r="O3086" t="str">
            <v>Toronto</v>
          </cell>
          <cell r="P3086" t="str">
            <v>Toronto</v>
          </cell>
        </row>
        <row r="3087">
          <cell r="C3087" t="str">
            <v>505 Dutton Dr - Oakbridge</v>
          </cell>
          <cell r="D3087" t="str">
            <v>SUNSHARE4 LP</v>
          </cell>
          <cell r="E3087" t="str">
            <v>CO</v>
          </cell>
          <cell r="F3087">
            <v>43167</v>
          </cell>
          <cell r="G3087">
            <v>43249</v>
          </cell>
          <cell r="H3087">
            <v>50471</v>
          </cell>
          <cell r="I3087" t="str">
            <v>19 years, 9 months, 6 days</v>
          </cell>
          <cell r="J3087" t="str">
            <v>Renewables</v>
          </cell>
          <cell r="K3087" t="str">
            <v>Solar (Rooftop)</v>
          </cell>
          <cell r="L3087" t="str">
            <v>Solar</v>
          </cell>
          <cell r="M3087" t="str">
            <v>Dx</v>
          </cell>
          <cell r="N3087" t="str">
            <v>Waterloo</v>
          </cell>
          <cell r="O3087" t="str">
            <v>Waterloo</v>
          </cell>
          <cell r="P3087" t="str">
            <v>Southwest</v>
          </cell>
        </row>
        <row r="3088">
          <cell r="C3088" t="str">
            <v>ERTH Tavistock Arena Solar</v>
          </cell>
          <cell r="D3088" t="str">
            <v>ERTH Community Power One LP</v>
          </cell>
          <cell r="E3088" t="str">
            <v>CO</v>
          </cell>
          <cell r="F3088">
            <v>43165</v>
          </cell>
          <cell r="G3088">
            <v>43294</v>
          </cell>
          <cell r="H3088">
            <v>50469</v>
          </cell>
          <cell r="I3088" t="str">
            <v>19 years, 7 months, 20 days</v>
          </cell>
          <cell r="J3088" t="str">
            <v>Renewables</v>
          </cell>
          <cell r="K3088" t="str">
            <v>Solar (Rooftop)</v>
          </cell>
          <cell r="L3088" t="str">
            <v>Solar</v>
          </cell>
          <cell r="M3088" t="str">
            <v>Dx</v>
          </cell>
          <cell r="N3088" t="str">
            <v>Tavistock</v>
          </cell>
          <cell r="O3088" t="str">
            <v>Oxford</v>
          </cell>
          <cell r="P3088" t="str">
            <v>Southwest</v>
          </cell>
        </row>
        <row r="3089">
          <cell r="C3089" t="str">
            <v>Municipal Office</v>
          </cell>
          <cell r="D3089" t="str">
            <v>The Corporation of the Town of Minto</v>
          </cell>
          <cell r="E3089" t="str">
            <v>CO</v>
          </cell>
          <cell r="F3089">
            <v>43160</v>
          </cell>
          <cell r="G3089">
            <v>42968</v>
          </cell>
          <cell r="H3089">
            <v>50272</v>
          </cell>
          <cell r="I3089" t="str">
            <v>19 years, 11 months, 30 days</v>
          </cell>
          <cell r="J3089" t="str">
            <v>Renewables</v>
          </cell>
          <cell r="K3089" t="str">
            <v>Solar (Rooftop)</v>
          </cell>
          <cell r="L3089" t="str">
            <v>Solar</v>
          </cell>
          <cell r="M3089" t="str">
            <v>Dx</v>
          </cell>
          <cell r="N3089" t="str">
            <v>Harriston</v>
          </cell>
          <cell r="O3089" t="str">
            <v>Wellington</v>
          </cell>
          <cell r="P3089" t="str">
            <v>Southwest</v>
          </cell>
        </row>
        <row r="3090">
          <cell r="C3090" t="str">
            <v>Don Montgomery Arena &amp; Gym</v>
          </cell>
          <cell r="D3090" t="str">
            <v>City of Toronto</v>
          </cell>
          <cell r="E3090" t="str">
            <v>CO</v>
          </cell>
          <cell r="F3090">
            <v>43156</v>
          </cell>
          <cell r="G3090">
            <v>43160</v>
          </cell>
          <cell r="H3090">
            <v>50460</v>
          </cell>
          <cell r="I3090" t="str">
            <v>19 years, 11 months, 23 days</v>
          </cell>
          <cell r="J3090" t="str">
            <v>Renewables</v>
          </cell>
          <cell r="K3090" t="str">
            <v>Solar (Rooftop)</v>
          </cell>
          <cell r="L3090" t="str">
            <v>Solar</v>
          </cell>
          <cell r="M3090" t="str">
            <v>Dx</v>
          </cell>
          <cell r="N3090" t="str">
            <v>Toronto</v>
          </cell>
          <cell r="O3090" t="str">
            <v>Toronto</v>
          </cell>
          <cell r="P3090" t="str">
            <v>Toronto</v>
          </cell>
        </row>
        <row r="3091">
          <cell r="C3091" t="str">
            <v>JAZZ MIIGWETCH X</v>
          </cell>
          <cell r="D3091" t="str">
            <v>JAZZ MIIGWETCH X LP</v>
          </cell>
          <cell r="E3091" t="str">
            <v>CO</v>
          </cell>
          <cell r="F3091">
            <v>43188</v>
          </cell>
          <cell r="G3091">
            <v>43353</v>
          </cell>
          <cell r="H3091">
            <v>50492</v>
          </cell>
          <cell r="I3091" t="str">
            <v>19 years, 6 months, 18 days</v>
          </cell>
          <cell r="J3091" t="str">
            <v>Renewables</v>
          </cell>
          <cell r="K3091" t="str">
            <v>Solar (Rooftop)</v>
          </cell>
          <cell r="L3091" t="str">
            <v>Solar</v>
          </cell>
          <cell r="M3091" t="str">
            <v>Dx</v>
          </cell>
          <cell r="N3091" t="str">
            <v>Vars</v>
          </cell>
          <cell r="O3091" t="str">
            <v>Ottawa</v>
          </cell>
          <cell r="P3091" t="str">
            <v>Ottawa</v>
          </cell>
        </row>
        <row r="3092">
          <cell r="C3092" t="str">
            <v>2205 Mount Forest</v>
          </cell>
          <cell r="D3092" t="str">
            <v>Solar Cell LP</v>
          </cell>
          <cell r="E3092" t="str">
            <v>CO</v>
          </cell>
          <cell r="F3092">
            <v>43133</v>
          </cell>
          <cell r="G3092">
            <v>43287</v>
          </cell>
          <cell r="H3092">
            <v>50437</v>
          </cell>
          <cell r="I3092" t="str">
            <v>19 years, 6 months, 26 days</v>
          </cell>
          <cell r="J3092" t="str">
            <v>Renewables</v>
          </cell>
          <cell r="K3092" t="str">
            <v>Solar (Rooftop)</v>
          </cell>
          <cell r="L3092" t="str">
            <v>Solar</v>
          </cell>
          <cell r="M3092" t="str">
            <v>Dx</v>
          </cell>
          <cell r="N3092" t="str">
            <v>Burlington</v>
          </cell>
          <cell r="O3092" t="str">
            <v>Halton</v>
          </cell>
          <cell r="P3092" t="str">
            <v>Southwest</v>
          </cell>
        </row>
        <row r="3093">
          <cell r="C3093" t="str">
            <v>William Lyon Mackenzie Collegiate Institute</v>
          </cell>
          <cell r="D3093" t="str">
            <v>Toronto District School Board</v>
          </cell>
          <cell r="E3093" t="str">
            <v>CO</v>
          </cell>
          <cell r="F3093">
            <v>43135</v>
          </cell>
          <cell r="G3093">
            <v>43312</v>
          </cell>
          <cell r="H3093">
            <v>50439</v>
          </cell>
          <cell r="I3093" t="str">
            <v>19 years, 6 months, 3 days</v>
          </cell>
          <cell r="J3093" t="str">
            <v>Renewables</v>
          </cell>
          <cell r="K3093" t="str">
            <v>Solar (Rooftop)</v>
          </cell>
          <cell r="L3093" t="str">
            <v>Solar</v>
          </cell>
          <cell r="M3093" t="str">
            <v>Dx</v>
          </cell>
          <cell r="N3093" t="str">
            <v>Toronto</v>
          </cell>
          <cell r="O3093" t="str">
            <v>Toronto</v>
          </cell>
          <cell r="P3093" t="str">
            <v>Toronto</v>
          </cell>
        </row>
        <row r="3094">
          <cell r="C3094" t="str">
            <v>Ted Reeve Community Arena</v>
          </cell>
          <cell r="D3094" t="str">
            <v>City of Toronto</v>
          </cell>
          <cell r="E3094" t="str">
            <v>CO</v>
          </cell>
          <cell r="F3094">
            <v>43133</v>
          </cell>
          <cell r="G3094">
            <v>43131</v>
          </cell>
          <cell r="H3094">
            <v>50435</v>
          </cell>
          <cell r="I3094" t="str">
            <v>19 years, 11 months, 30 days</v>
          </cell>
          <cell r="J3094" t="str">
            <v>Renewables</v>
          </cell>
          <cell r="K3094" t="str">
            <v>Solar (Rooftop)</v>
          </cell>
          <cell r="L3094" t="str">
            <v>Solar</v>
          </cell>
          <cell r="M3094" t="str">
            <v>Dx</v>
          </cell>
          <cell r="N3094" t="str">
            <v>Toronto</v>
          </cell>
          <cell r="O3094" t="str">
            <v>Toronto</v>
          </cell>
          <cell r="P3094" t="str">
            <v>Toronto</v>
          </cell>
        </row>
        <row r="3095">
          <cell r="C3095" t="str">
            <v>Scarborough Civic Centre</v>
          </cell>
          <cell r="D3095" t="str">
            <v>City of Toronto</v>
          </cell>
          <cell r="E3095" t="str">
            <v>CO</v>
          </cell>
          <cell r="F3095">
            <v>43133</v>
          </cell>
          <cell r="G3095">
            <v>43179</v>
          </cell>
          <cell r="H3095">
            <v>50437</v>
          </cell>
          <cell r="I3095" t="str">
            <v>19 years, 10 months, 12 days</v>
          </cell>
          <cell r="J3095" t="str">
            <v>Renewables</v>
          </cell>
          <cell r="K3095" t="str">
            <v>Solar (Rooftop)</v>
          </cell>
          <cell r="L3095" t="str">
            <v>Solar</v>
          </cell>
          <cell r="M3095" t="str">
            <v>Dx</v>
          </cell>
          <cell r="N3095" t="str">
            <v>Toronto</v>
          </cell>
          <cell r="O3095" t="str">
            <v>Toronto</v>
          </cell>
          <cell r="P3095" t="str">
            <v>Toronto</v>
          </cell>
        </row>
        <row r="3096">
          <cell r="C3096" t="str">
            <v>Rawlinson Community School</v>
          </cell>
          <cell r="D3096" t="str">
            <v>Toronto District School Board</v>
          </cell>
          <cell r="E3096" t="str">
            <v>CO</v>
          </cell>
          <cell r="F3096">
            <v>43194</v>
          </cell>
          <cell r="G3096">
            <v>43368</v>
          </cell>
          <cell r="H3096">
            <v>50498</v>
          </cell>
          <cell r="I3096" t="str">
            <v>19 years, 6 months, 9 days</v>
          </cell>
          <cell r="J3096" t="str">
            <v>Renewables</v>
          </cell>
          <cell r="K3096" t="str">
            <v>Solar (Rooftop)</v>
          </cell>
          <cell r="L3096" t="str">
            <v>Solar</v>
          </cell>
          <cell r="M3096" t="str">
            <v>Dx</v>
          </cell>
          <cell r="N3096" t="str">
            <v>Toronto</v>
          </cell>
          <cell r="O3096" t="str">
            <v>Toronto</v>
          </cell>
          <cell r="P3096" t="str">
            <v>Toronto</v>
          </cell>
        </row>
        <row r="3097">
          <cell r="C3097" t="str">
            <v>LSRCA</v>
          </cell>
          <cell r="D3097" t="str">
            <v>Lake Simcoe Region Conservation Authority</v>
          </cell>
          <cell r="E3097" t="str">
            <v>CO</v>
          </cell>
          <cell r="F3097">
            <v>43167</v>
          </cell>
          <cell r="G3097">
            <v>43167</v>
          </cell>
          <cell r="H3097">
            <v>50471</v>
          </cell>
          <cell r="I3097" t="str">
            <v>19 years, 11 months, 27 days</v>
          </cell>
          <cell r="J3097" t="str">
            <v>Renewables</v>
          </cell>
          <cell r="K3097" t="str">
            <v>Solar (Rooftop)</v>
          </cell>
          <cell r="L3097" t="str">
            <v>Solar</v>
          </cell>
          <cell r="M3097" t="str">
            <v>Dx</v>
          </cell>
          <cell r="N3097" t="str">
            <v>Newmarket</v>
          </cell>
          <cell r="O3097" t="str">
            <v>York</v>
          </cell>
          <cell r="P3097" t="str">
            <v>Essa</v>
          </cell>
        </row>
        <row r="3098">
          <cell r="C3098" t="str">
            <v>Finch Yard</v>
          </cell>
          <cell r="D3098" t="str">
            <v>City of Toronto</v>
          </cell>
          <cell r="E3098" t="str">
            <v>CO</v>
          </cell>
          <cell r="F3098">
            <v>43156</v>
          </cell>
          <cell r="G3098">
            <v>43131</v>
          </cell>
          <cell r="H3098">
            <v>50435</v>
          </cell>
          <cell r="I3098" t="str">
            <v>19 years, 11 months, 30 days</v>
          </cell>
          <cell r="J3098" t="str">
            <v>Renewables</v>
          </cell>
          <cell r="K3098" t="str">
            <v>Solar (Rooftop)</v>
          </cell>
          <cell r="L3098" t="str">
            <v>Solar</v>
          </cell>
          <cell r="M3098" t="str">
            <v>Dx</v>
          </cell>
          <cell r="N3098" t="str">
            <v>Toronto</v>
          </cell>
          <cell r="O3098" t="str">
            <v>Toronto</v>
          </cell>
          <cell r="P3098" t="str">
            <v>Toronto</v>
          </cell>
        </row>
        <row r="3099">
          <cell r="C3099" t="str">
            <v>ERTH Hickson Park Solar</v>
          </cell>
          <cell r="D3099" t="str">
            <v>ERTH Community Power One LP</v>
          </cell>
          <cell r="E3099" t="str">
            <v>CO</v>
          </cell>
          <cell r="F3099">
            <v>43165</v>
          </cell>
          <cell r="G3099">
            <v>43332</v>
          </cell>
          <cell r="H3099">
            <v>50469</v>
          </cell>
          <cell r="I3099" t="str">
            <v>19 years, 6 months, 13 days</v>
          </cell>
          <cell r="J3099" t="str">
            <v>Renewables</v>
          </cell>
          <cell r="K3099" t="str">
            <v>Solar (Rooftop)</v>
          </cell>
          <cell r="L3099" t="str">
            <v>Solar</v>
          </cell>
          <cell r="M3099" t="str">
            <v>Dx</v>
          </cell>
          <cell r="N3099" t="str">
            <v>Hickson</v>
          </cell>
          <cell r="O3099" t="str">
            <v>Oxford</v>
          </cell>
          <cell r="P3099" t="str">
            <v>Southwest</v>
          </cell>
        </row>
        <row r="3100">
          <cell r="C3100" t="str">
            <v>Rawn Solar-GA024</v>
          </cell>
          <cell r="D3100" t="str">
            <v>SCCEC 4.0 LP</v>
          </cell>
          <cell r="E3100" t="str">
            <v>CO</v>
          </cell>
          <cell r="F3100">
            <v>43174</v>
          </cell>
          <cell r="G3100">
            <v>42977</v>
          </cell>
          <cell r="H3100">
            <v>50281</v>
          </cell>
          <cell r="I3100" t="str">
            <v>19 years, 11 months, 30 days</v>
          </cell>
          <cell r="J3100" t="str">
            <v>Renewables</v>
          </cell>
          <cell r="K3100" t="str">
            <v>Solar (Rooftop)</v>
          </cell>
          <cell r="L3100" t="str">
            <v>Solar</v>
          </cell>
          <cell r="M3100" t="str">
            <v>Dx</v>
          </cell>
          <cell r="N3100" t="str">
            <v>Stayner</v>
          </cell>
          <cell r="O3100" t="str">
            <v>Simcoe</v>
          </cell>
          <cell r="P3100" t="str">
            <v>Southwest</v>
          </cell>
        </row>
        <row r="3101">
          <cell r="C3101" t="str">
            <v>Science Hill Poultry Inc.</v>
          </cell>
          <cell r="D3101" t="str">
            <v>Science Hill Poultry Inc.</v>
          </cell>
          <cell r="E3101" t="str">
            <v>CO</v>
          </cell>
          <cell r="F3101">
            <v>43149</v>
          </cell>
          <cell r="G3101">
            <v>43078</v>
          </cell>
          <cell r="H3101">
            <v>50382</v>
          </cell>
          <cell r="I3101" t="str">
            <v>19 years, 11 months, 29 days</v>
          </cell>
          <cell r="J3101" t="str">
            <v>Renewables</v>
          </cell>
          <cell r="K3101" t="str">
            <v>Solar (Rooftop)</v>
          </cell>
          <cell r="L3101" t="str">
            <v>Solar</v>
          </cell>
          <cell r="M3101" t="str">
            <v>Dx</v>
          </cell>
          <cell r="N3101" t="str">
            <v>St. Marys</v>
          </cell>
          <cell r="O3101" t="str">
            <v>Perth</v>
          </cell>
          <cell r="P3101" t="str">
            <v>Southwest</v>
          </cell>
        </row>
        <row r="3102">
          <cell r="C3102" t="str">
            <v>ALLOY SOLAR</v>
          </cell>
          <cell r="D3102" t="str">
            <v>ALLOY CASTING INDUSTRIES LIMITED</v>
          </cell>
          <cell r="E3102" t="str">
            <v>CO</v>
          </cell>
          <cell r="F3102">
            <v>43174</v>
          </cell>
          <cell r="G3102">
            <v>43188</v>
          </cell>
          <cell r="H3102">
            <v>50478</v>
          </cell>
          <cell r="I3102" t="str">
            <v>19 years, 11 months, 13 days</v>
          </cell>
          <cell r="J3102" t="str">
            <v>Renewables</v>
          </cell>
          <cell r="K3102" t="str">
            <v>Solar (Rooftop)</v>
          </cell>
          <cell r="L3102" t="str">
            <v>Solar</v>
          </cell>
          <cell r="M3102" t="str">
            <v>Dx</v>
          </cell>
          <cell r="N3102" t="str">
            <v>New Hamburg</v>
          </cell>
          <cell r="O3102" t="str">
            <v>Waterloo</v>
          </cell>
          <cell r="P3102" t="str">
            <v>Southwest</v>
          </cell>
        </row>
        <row r="3103">
          <cell r="C3103" t="str">
            <v>EH Sun</v>
          </cell>
          <cell r="D3103" t="str">
            <v>2251052 Ontario Inc.</v>
          </cell>
          <cell r="E3103" t="str">
            <v>CO</v>
          </cell>
          <cell r="F3103">
            <v>43156</v>
          </cell>
          <cell r="G3103">
            <v>43185</v>
          </cell>
          <cell r="H3103">
            <v>50460</v>
          </cell>
          <cell r="I3103" t="str">
            <v>19 years, 10 months, 29 days</v>
          </cell>
          <cell r="J3103" t="str">
            <v>Renewables</v>
          </cell>
          <cell r="K3103" t="str">
            <v>Solar (Rooftop)</v>
          </cell>
          <cell r="L3103" t="str">
            <v>Solar</v>
          </cell>
          <cell r="M3103" t="str">
            <v>Dx</v>
          </cell>
          <cell r="N3103" t="str">
            <v>Mount Brydges</v>
          </cell>
          <cell r="O3103" t="str">
            <v>Middlesex</v>
          </cell>
          <cell r="P3103" t="str">
            <v>West</v>
          </cell>
        </row>
        <row r="3104">
          <cell r="C3104" t="str">
            <v>HUC600</v>
          </cell>
          <cell r="D3104" t="str">
            <v>HIPCO-FIT4 Projects Corporation</v>
          </cell>
          <cell r="E3104" t="str">
            <v>CO</v>
          </cell>
          <cell r="F3104">
            <v>43149</v>
          </cell>
          <cell r="G3104">
            <v>43328</v>
          </cell>
          <cell r="H3104">
            <v>50453</v>
          </cell>
          <cell r="I3104" t="str">
            <v>19 years, 6 months, 1 days</v>
          </cell>
          <cell r="J3104" t="str">
            <v>Renewables</v>
          </cell>
          <cell r="K3104" t="str">
            <v>Solar (Rooftop)</v>
          </cell>
          <cell r="L3104" t="str">
            <v>Solar</v>
          </cell>
          <cell r="M3104" t="str">
            <v>Dx</v>
          </cell>
          <cell r="N3104" t="str">
            <v>Hamilton</v>
          </cell>
          <cell r="O3104" t="str">
            <v>Hamilton</v>
          </cell>
          <cell r="P3104" t="str">
            <v>Southwest</v>
          </cell>
        </row>
        <row r="3105">
          <cell r="C3105" t="str">
            <v>BRETZLER SOLAR</v>
          </cell>
          <cell r="D3105" t="str">
            <v>BRETZLER FARMS LTD.</v>
          </cell>
          <cell r="E3105" t="str">
            <v>CO</v>
          </cell>
          <cell r="F3105">
            <v>43172</v>
          </cell>
          <cell r="G3105">
            <v>43210</v>
          </cell>
          <cell r="H3105">
            <v>50476</v>
          </cell>
          <cell r="I3105" t="str">
            <v>19 years, 10 months, 20 days</v>
          </cell>
          <cell r="J3105" t="str">
            <v>Renewables</v>
          </cell>
          <cell r="K3105" t="str">
            <v>Solar (Rooftop)</v>
          </cell>
          <cell r="L3105" t="str">
            <v>Solar</v>
          </cell>
          <cell r="M3105" t="str">
            <v>Dx</v>
          </cell>
          <cell r="N3105" t="str">
            <v>Crysler</v>
          </cell>
          <cell r="O3105" t="str">
            <v>Stormont, Dundas and Glengarry</v>
          </cell>
          <cell r="P3105" t="str">
            <v>East</v>
          </cell>
        </row>
        <row r="3106">
          <cell r="C3106" t="str">
            <v>SS Newmarket</v>
          </cell>
          <cell r="D3106" t="str">
            <v>HC1 LP</v>
          </cell>
          <cell r="E3106" t="str">
            <v>CO</v>
          </cell>
          <cell r="F3106">
            <v>43142</v>
          </cell>
          <cell r="G3106">
            <v>43301</v>
          </cell>
          <cell r="H3106">
            <v>50446</v>
          </cell>
          <cell r="I3106" t="str">
            <v>19 years, 6 months, 21 days</v>
          </cell>
          <cell r="J3106" t="str">
            <v>Renewables</v>
          </cell>
          <cell r="K3106" t="str">
            <v>Solar (Rooftop)</v>
          </cell>
          <cell r="L3106" t="str">
            <v>Solar</v>
          </cell>
          <cell r="M3106" t="str">
            <v>Dx</v>
          </cell>
          <cell r="N3106" t="str">
            <v>Newmarket</v>
          </cell>
          <cell r="O3106" t="str">
            <v>York</v>
          </cell>
          <cell r="P3106" t="str">
            <v>Essa</v>
          </cell>
        </row>
        <row r="3107">
          <cell r="C3107" t="str">
            <v>5 - SPN559</v>
          </cell>
          <cell r="D3107" t="str">
            <v>SPN LP 14</v>
          </cell>
          <cell r="E3107" t="str">
            <v>CO</v>
          </cell>
          <cell r="F3107">
            <v>43186</v>
          </cell>
          <cell r="G3107">
            <v>43367</v>
          </cell>
          <cell r="H3107">
            <v>50490</v>
          </cell>
          <cell r="I3107" t="str">
            <v>19 years, 6 months, 2 days</v>
          </cell>
          <cell r="J3107" t="str">
            <v>Renewables</v>
          </cell>
          <cell r="K3107" t="str">
            <v>Solar (Rooftop)</v>
          </cell>
          <cell r="L3107" t="str">
            <v>Solar</v>
          </cell>
          <cell r="M3107" t="str">
            <v>Dx</v>
          </cell>
          <cell r="N3107" t="str">
            <v>Barrie</v>
          </cell>
          <cell r="O3107" t="str">
            <v>Simcoe</v>
          </cell>
          <cell r="P3107" t="str">
            <v>Essa</v>
          </cell>
        </row>
        <row r="3108">
          <cell r="C3108" t="str">
            <v>Dan Solar 1</v>
          </cell>
          <cell r="D3108" t="str">
            <v>1000682689 Ontario Inc</v>
          </cell>
          <cell r="E3108" t="str">
            <v>CO</v>
          </cell>
          <cell r="F3108">
            <v>43186</v>
          </cell>
          <cell r="G3108">
            <v>43311</v>
          </cell>
          <cell r="H3108">
            <v>50490</v>
          </cell>
          <cell r="I3108" t="str">
            <v>19 years, 7 months, 24 days</v>
          </cell>
          <cell r="J3108" t="str">
            <v>Renewables</v>
          </cell>
          <cell r="K3108" t="str">
            <v>Solar (Rooftop)</v>
          </cell>
          <cell r="L3108" t="str">
            <v>Solar</v>
          </cell>
          <cell r="M3108" t="str">
            <v>Dx</v>
          </cell>
          <cell r="N3108" t="str">
            <v>Delaware</v>
          </cell>
          <cell r="O3108" t="str">
            <v>Middlesex</v>
          </cell>
          <cell r="P3108" t="str">
            <v>West</v>
          </cell>
        </row>
        <row r="3109">
          <cell r="C3109" t="str">
            <v>Derry</v>
          </cell>
          <cell r="D3109" t="str">
            <v>Milton Energy and Generation Solutions Inc</v>
          </cell>
          <cell r="E3109" t="str">
            <v>CO</v>
          </cell>
          <cell r="F3109">
            <v>43154</v>
          </cell>
          <cell r="G3109">
            <v>42950</v>
          </cell>
          <cell r="H3109">
            <v>50254</v>
          </cell>
          <cell r="I3109" t="str">
            <v>19 years, 11 months, 30 days</v>
          </cell>
          <cell r="J3109" t="str">
            <v>Renewables</v>
          </cell>
          <cell r="K3109" t="str">
            <v>Solar (Rooftop)</v>
          </cell>
          <cell r="L3109" t="str">
            <v>Solar</v>
          </cell>
          <cell r="M3109" t="str">
            <v>Dx</v>
          </cell>
          <cell r="N3109" t="str">
            <v>Milton</v>
          </cell>
          <cell r="O3109" t="str">
            <v>Halton</v>
          </cell>
          <cell r="P3109" t="str">
            <v>Southwest</v>
          </cell>
        </row>
        <row r="3110">
          <cell r="C3110" t="str">
            <v>Icarus 300 kW Welland</v>
          </cell>
          <cell r="D3110" t="str">
            <v>GSC SPN 4 Projects LP.</v>
          </cell>
          <cell r="E3110" t="str">
            <v>CO</v>
          </cell>
          <cell r="F3110">
            <v>43154</v>
          </cell>
          <cell r="G3110">
            <v>43334</v>
          </cell>
          <cell r="H3110">
            <v>50458</v>
          </cell>
          <cell r="I3110" t="str">
            <v>19 years, 6 months, 0 days</v>
          </cell>
          <cell r="J3110" t="str">
            <v>Renewables</v>
          </cell>
          <cell r="K3110" t="str">
            <v>Solar (Rooftop)</v>
          </cell>
          <cell r="L3110" t="str">
            <v>Solar</v>
          </cell>
          <cell r="M3110" t="str">
            <v>Dx</v>
          </cell>
          <cell r="N3110" t="str">
            <v>Welland</v>
          </cell>
          <cell r="O3110" t="str">
            <v>Niagara</v>
          </cell>
          <cell r="P3110" t="str">
            <v>Niagara</v>
          </cell>
        </row>
        <row r="3111">
          <cell r="C3111" t="str">
            <v>2225 Craig's Side</v>
          </cell>
          <cell r="D3111" t="str">
            <v>Ottawa Renewable Energy Co-operative Inc.</v>
          </cell>
          <cell r="E3111" t="str">
            <v>CO</v>
          </cell>
          <cell r="F3111">
            <v>43172</v>
          </cell>
          <cell r="G3111">
            <v>43329</v>
          </cell>
          <cell r="H3111">
            <v>50476</v>
          </cell>
          <cell r="I3111" t="str">
            <v>19 years, 6 months, 23 days</v>
          </cell>
          <cell r="J3111" t="str">
            <v>Renewables</v>
          </cell>
          <cell r="K3111" t="str">
            <v>Solar (Rooftop)</v>
          </cell>
          <cell r="L3111" t="str">
            <v>Solar</v>
          </cell>
          <cell r="M3111" t="str">
            <v>Dx</v>
          </cell>
          <cell r="N3111" t="str">
            <v>Carp</v>
          </cell>
          <cell r="O3111" t="str">
            <v>Ottawa</v>
          </cell>
          <cell r="P3111" t="str">
            <v>Ottawa</v>
          </cell>
        </row>
        <row r="3112">
          <cell r="C3112" t="str">
            <v>Agnes Macphail Public School</v>
          </cell>
          <cell r="D3112" t="str">
            <v>Toronto District School Board</v>
          </cell>
          <cell r="E3112" t="str">
            <v>CO</v>
          </cell>
          <cell r="F3112">
            <v>43133</v>
          </cell>
          <cell r="G3112">
            <v>43313</v>
          </cell>
          <cell r="H3112">
            <v>50437</v>
          </cell>
          <cell r="I3112" t="str">
            <v>19 years, 6 months, 0 days</v>
          </cell>
          <cell r="J3112" t="str">
            <v>Renewables</v>
          </cell>
          <cell r="K3112" t="str">
            <v>Solar (Rooftop)</v>
          </cell>
          <cell r="L3112" t="str">
            <v>Solar</v>
          </cell>
          <cell r="M3112" t="str">
            <v>Dx</v>
          </cell>
          <cell r="N3112" t="str">
            <v>Toronto</v>
          </cell>
          <cell r="O3112" t="str">
            <v>Toronto</v>
          </cell>
          <cell r="P3112" t="str">
            <v>Toronto</v>
          </cell>
        </row>
        <row r="3113">
          <cell r="C3113" t="str">
            <v>Chester Elementary School</v>
          </cell>
          <cell r="D3113" t="str">
            <v>Toronto District School Board</v>
          </cell>
          <cell r="E3113" t="str">
            <v>CO</v>
          </cell>
          <cell r="F3113">
            <v>43135</v>
          </cell>
          <cell r="G3113">
            <v>43315</v>
          </cell>
          <cell r="H3113">
            <v>50439</v>
          </cell>
          <cell r="I3113" t="str">
            <v>19 years, 6 months, 0 days</v>
          </cell>
          <cell r="J3113" t="str">
            <v>Renewables</v>
          </cell>
          <cell r="K3113" t="str">
            <v>Solar (Rooftop)</v>
          </cell>
          <cell r="L3113" t="str">
            <v>Solar</v>
          </cell>
          <cell r="M3113" t="str">
            <v>Dx</v>
          </cell>
          <cell r="N3113" t="str">
            <v>Toronto</v>
          </cell>
          <cell r="O3113" t="str">
            <v>Toronto</v>
          </cell>
          <cell r="P3113" t="str">
            <v>Toronto</v>
          </cell>
        </row>
        <row r="3114">
          <cell r="C3114" t="str">
            <v>Bliss Carman Senior Public School</v>
          </cell>
          <cell r="D3114" t="str">
            <v>Toronto District School Board</v>
          </cell>
          <cell r="E3114" t="str">
            <v>CO</v>
          </cell>
          <cell r="F3114">
            <v>43194</v>
          </cell>
          <cell r="G3114">
            <v>43371</v>
          </cell>
          <cell r="H3114">
            <v>50498</v>
          </cell>
          <cell r="I3114" t="str">
            <v>19 years, 6 months, 6 days</v>
          </cell>
          <cell r="J3114" t="str">
            <v>Renewables</v>
          </cell>
          <cell r="K3114" t="str">
            <v>Solar (Rooftop)</v>
          </cell>
          <cell r="L3114" t="str">
            <v>Solar</v>
          </cell>
          <cell r="M3114" t="str">
            <v>Dx</v>
          </cell>
          <cell r="N3114" t="str">
            <v>Toronto</v>
          </cell>
          <cell r="O3114" t="str">
            <v>Toronto</v>
          </cell>
          <cell r="P3114" t="str">
            <v>Toronto</v>
          </cell>
        </row>
        <row r="3115">
          <cell r="C3115" t="str">
            <v>A&amp;E</v>
          </cell>
          <cell r="D3115" t="str">
            <v>Milton Energy and Generation Solutions Inc</v>
          </cell>
          <cell r="E3115" t="str">
            <v>CO</v>
          </cell>
          <cell r="F3115">
            <v>43156</v>
          </cell>
          <cell r="G3115">
            <v>42996</v>
          </cell>
          <cell r="H3115">
            <v>50300</v>
          </cell>
          <cell r="I3115" t="str">
            <v>19 years, 11 months, 30 days</v>
          </cell>
          <cell r="J3115" t="str">
            <v>Renewables</v>
          </cell>
          <cell r="K3115" t="str">
            <v>Solar (Rooftop)</v>
          </cell>
          <cell r="L3115" t="str">
            <v>Solar</v>
          </cell>
          <cell r="M3115" t="str">
            <v>Dx</v>
          </cell>
          <cell r="N3115" t="str">
            <v>Milton</v>
          </cell>
          <cell r="O3115" t="str">
            <v>Halton</v>
          </cell>
          <cell r="P3115" t="str">
            <v>Southwest</v>
          </cell>
        </row>
        <row r="3116">
          <cell r="C3116" t="str">
            <v>Fifth Conc Rd Coboconk 2</v>
          </cell>
          <cell r="D3116" t="str">
            <v>Saturn Solar 4 LP</v>
          </cell>
          <cell r="E3116" t="str">
            <v>CO</v>
          </cell>
          <cell r="F3116">
            <v>43728</v>
          </cell>
          <cell r="G3116">
            <v>43480</v>
          </cell>
          <cell r="H3116">
            <v>50784</v>
          </cell>
          <cell r="I3116" t="str">
            <v>19 years, 11 months, 30 days</v>
          </cell>
          <cell r="J3116" t="str">
            <v>Renewables</v>
          </cell>
          <cell r="K3116" t="str">
            <v>Solar (Ground Mounted)</v>
          </cell>
          <cell r="L3116" t="str">
            <v>Solar</v>
          </cell>
          <cell r="M3116" t="str">
            <v>Dx</v>
          </cell>
          <cell r="N3116" t="str">
            <v>Coboconk</v>
          </cell>
          <cell r="O3116" t="str">
            <v>Kawartha Lakes</v>
          </cell>
          <cell r="P3116" t="str">
            <v>Essa</v>
          </cell>
        </row>
        <row r="3117">
          <cell r="C3117" t="str">
            <v>MALETTE 500</v>
          </cell>
          <cell r="D3117" t="str">
            <v>ASM SOLAR P2 LP</v>
          </cell>
          <cell r="E3117" t="str">
            <v>CO</v>
          </cell>
          <cell r="F3117">
            <v>43188</v>
          </cell>
          <cell r="G3117">
            <v>43235</v>
          </cell>
          <cell r="H3117">
            <v>50492</v>
          </cell>
          <cell r="I3117" t="str">
            <v>19 years, 10 months, 13 days</v>
          </cell>
          <cell r="J3117" t="str">
            <v>Renewables</v>
          </cell>
          <cell r="K3117" t="str">
            <v>Solar (Rooftop)</v>
          </cell>
          <cell r="L3117" t="str">
            <v>Solar</v>
          </cell>
          <cell r="M3117" t="str">
            <v>Dx</v>
          </cell>
          <cell r="N3117" t="str">
            <v>Lefaivre</v>
          </cell>
          <cell r="O3117" t="str">
            <v>Prescott and Russell</v>
          </cell>
          <cell r="P3117" t="str">
            <v>Ottawa</v>
          </cell>
        </row>
        <row r="3118">
          <cell r="C3118" t="str">
            <v>Brookhaven Public School</v>
          </cell>
          <cell r="D3118" t="str">
            <v>Toronto District School Board</v>
          </cell>
          <cell r="E3118" t="str">
            <v>CO</v>
          </cell>
          <cell r="F3118">
            <v>43133</v>
          </cell>
          <cell r="G3118">
            <v>43313</v>
          </cell>
          <cell r="H3118">
            <v>50437</v>
          </cell>
          <cell r="I3118" t="str">
            <v>19 years, 6 months, 0 days</v>
          </cell>
          <cell r="J3118" t="str">
            <v>Renewables</v>
          </cell>
          <cell r="K3118" t="str">
            <v>Solar (Rooftop)</v>
          </cell>
          <cell r="L3118" t="str">
            <v>Solar</v>
          </cell>
          <cell r="M3118" t="str">
            <v>Dx</v>
          </cell>
          <cell r="N3118" t="str">
            <v>Toronto</v>
          </cell>
          <cell r="O3118" t="str">
            <v>Toronto</v>
          </cell>
          <cell r="P3118" t="str">
            <v>Toronto</v>
          </cell>
        </row>
        <row r="3119">
          <cell r="C3119" t="str">
            <v>Bolton Manor 2015</v>
          </cell>
          <cell r="D3119" t="str">
            <v>Bolton Manor Holsteins Limited</v>
          </cell>
          <cell r="E3119" t="str">
            <v>CO</v>
          </cell>
          <cell r="F3119">
            <v>43737</v>
          </cell>
          <cell r="G3119">
            <v>43706</v>
          </cell>
          <cell r="H3119">
            <v>51010</v>
          </cell>
          <cell r="I3119" t="str">
            <v>19 years, 11 months, 30 days</v>
          </cell>
          <cell r="J3119" t="str">
            <v>Renewables</v>
          </cell>
          <cell r="K3119" t="str">
            <v>Bioenergy</v>
          </cell>
          <cell r="L3119" t="str">
            <v>Biogas (On-Farm)</v>
          </cell>
          <cell r="M3119" t="str">
            <v>Dx</v>
          </cell>
          <cell r="N3119" t="str">
            <v>Thamesford</v>
          </cell>
          <cell r="O3119" t="str">
            <v>Middlesex</v>
          </cell>
          <cell r="P3119" t="str">
            <v>Southwest</v>
          </cell>
        </row>
        <row r="3120">
          <cell r="C3120" t="str">
            <v>Finch Public School</v>
          </cell>
          <cell r="D3120" t="str">
            <v>Toronto District School Board</v>
          </cell>
          <cell r="E3120" t="str">
            <v>CO</v>
          </cell>
          <cell r="F3120">
            <v>43135</v>
          </cell>
          <cell r="G3120">
            <v>43314</v>
          </cell>
          <cell r="H3120">
            <v>50439</v>
          </cell>
          <cell r="I3120" t="str">
            <v>19 years, 6 months, 1 days</v>
          </cell>
          <cell r="J3120" t="str">
            <v>Renewables</v>
          </cell>
          <cell r="K3120" t="str">
            <v>Solar (Rooftop)</v>
          </cell>
          <cell r="L3120" t="str">
            <v>Solar</v>
          </cell>
          <cell r="M3120" t="str">
            <v>Dx</v>
          </cell>
          <cell r="N3120" t="str">
            <v>Toronto</v>
          </cell>
          <cell r="O3120" t="str">
            <v>Toronto</v>
          </cell>
          <cell r="P3120" t="str">
            <v>Toronto</v>
          </cell>
        </row>
        <row r="3121">
          <cell r="C3121" t="str">
            <v>Harriston Arena</v>
          </cell>
          <cell r="D3121" t="str">
            <v>The Corporation of the Town of Minto</v>
          </cell>
          <cell r="E3121" t="str">
            <v>CO</v>
          </cell>
          <cell r="F3121">
            <v>43156</v>
          </cell>
          <cell r="G3121">
            <v>43249</v>
          </cell>
          <cell r="H3121">
            <v>50460</v>
          </cell>
          <cell r="I3121" t="str">
            <v>19 years, 8 months, 26 days</v>
          </cell>
          <cell r="J3121" t="str">
            <v>Renewables</v>
          </cell>
          <cell r="K3121" t="str">
            <v>Solar (Rooftop)</v>
          </cell>
          <cell r="L3121" t="str">
            <v>Solar</v>
          </cell>
          <cell r="M3121" t="str">
            <v>Dx</v>
          </cell>
          <cell r="N3121" t="str">
            <v>Harriston</v>
          </cell>
          <cell r="O3121" t="str">
            <v>Wellington</v>
          </cell>
          <cell r="P3121" t="str">
            <v>Southwest</v>
          </cell>
        </row>
        <row r="3122">
          <cell r="C3122" t="str">
            <v>C2 - GS41</v>
          </cell>
          <cell r="D3122" t="str">
            <v>SUNSHARE4 LP</v>
          </cell>
          <cell r="E3122" t="str">
            <v>CO</v>
          </cell>
          <cell r="F3122">
            <v>43156</v>
          </cell>
          <cell r="G3122">
            <v>43227</v>
          </cell>
          <cell r="H3122">
            <v>50460</v>
          </cell>
          <cell r="I3122" t="str">
            <v>19 years, 9 months, 17 days</v>
          </cell>
          <cell r="J3122" t="str">
            <v>Renewables</v>
          </cell>
          <cell r="K3122" t="str">
            <v>Solar (Rooftop)</v>
          </cell>
          <cell r="L3122" t="str">
            <v>Solar</v>
          </cell>
          <cell r="M3122" t="str">
            <v>Dx</v>
          </cell>
          <cell r="N3122" t="str">
            <v>Hillsburgh</v>
          </cell>
          <cell r="O3122" t="str">
            <v>Wellington</v>
          </cell>
          <cell r="P3122" t="str">
            <v>Southwest</v>
          </cell>
        </row>
        <row r="3123">
          <cell r="C3123" t="str">
            <v>4 - SPN448</v>
          </cell>
          <cell r="D3123" t="str">
            <v>SPN LP 10</v>
          </cell>
          <cell r="E3123" t="str">
            <v>CO</v>
          </cell>
          <cell r="F3123">
            <v>43181</v>
          </cell>
          <cell r="G3123">
            <v>43362</v>
          </cell>
          <cell r="H3123">
            <v>50485</v>
          </cell>
          <cell r="I3123" t="str">
            <v>19 years, 6 months, 2 days</v>
          </cell>
          <cell r="J3123" t="str">
            <v>Renewables</v>
          </cell>
          <cell r="K3123" t="str">
            <v>Solar (Rooftop)</v>
          </cell>
          <cell r="L3123" t="str">
            <v>Solar</v>
          </cell>
          <cell r="M3123" t="str">
            <v>Dx</v>
          </cell>
          <cell r="N3123" t="str">
            <v>Brantford</v>
          </cell>
          <cell r="O3123" t="str">
            <v>Brant</v>
          </cell>
          <cell r="P3123" t="str">
            <v>Southwest</v>
          </cell>
        </row>
        <row r="3124">
          <cell r="C3124" t="str">
            <v>MESSIER 250</v>
          </cell>
          <cell r="D3124" t="str">
            <v>ASM SOLAR P4 LP</v>
          </cell>
          <cell r="E3124" t="str">
            <v>CO</v>
          </cell>
          <cell r="F3124">
            <v>43188</v>
          </cell>
          <cell r="G3124">
            <v>43091</v>
          </cell>
          <cell r="H3124">
            <v>50395</v>
          </cell>
          <cell r="I3124" t="str">
            <v>19 years, 11 months, 29 days</v>
          </cell>
          <cell r="J3124" t="str">
            <v>Renewables</v>
          </cell>
          <cell r="K3124" t="str">
            <v>Solar (Rooftop)</v>
          </cell>
          <cell r="L3124" t="str">
            <v>Solar</v>
          </cell>
          <cell r="M3124" t="str">
            <v>Dx</v>
          </cell>
          <cell r="N3124" t="str">
            <v>Alfred</v>
          </cell>
          <cell r="O3124" t="str">
            <v>Prescott and Russell</v>
          </cell>
          <cell r="P3124" t="str">
            <v>Ottawa</v>
          </cell>
        </row>
        <row r="3125">
          <cell r="C3125" t="str">
            <v>Clairlea Park - Scarborough Indoor Soccer Centre</v>
          </cell>
          <cell r="D3125" t="str">
            <v>City of Toronto</v>
          </cell>
          <cell r="E3125" t="str">
            <v>CO</v>
          </cell>
          <cell r="F3125">
            <v>43133</v>
          </cell>
          <cell r="G3125">
            <v>42948</v>
          </cell>
          <cell r="H3125">
            <v>50252</v>
          </cell>
          <cell r="I3125" t="str">
            <v>19 years, 11 months, 30 days</v>
          </cell>
          <cell r="J3125" t="str">
            <v>Renewables</v>
          </cell>
          <cell r="K3125" t="str">
            <v>Solar (Rooftop)</v>
          </cell>
          <cell r="L3125" t="str">
            <v>Solar</v>
          </cell>
          <cell r="M3125" t="str">
            <v>Dx</v>
          </cell>
          <cell r="N3125" t="str">
            <v>Toronto</v>
          </cell>
          <cell r="O3125" t="str">
            <v>Toronto</v>
          </cell>
          <cell r="P3125" t="str">
            <v>Toronto</v>
          </cell>
        </row>
        <row r="3126">
          <cell r="C3126" t="str">
            <v>896303_Travail</v>
          </cell>
          <cell r="D3126" t="str">
            <v>1155758 Ontario Limited</v>
          </cell>
          <cell r="E3126" t="str">
            <v>CO</v>
          </cell>
          <cell r="F3126">
            <v>43142</v>
          </cell>
          <cell r="G3126">
            <v>43110</v>
          </cell>
          <cell r="H3126">
            <v>50414</v>
          </cell>
          <cell r="I3126" t="str">
            <v>19 years, 11 months, 30 days</v>
          </cell>
          <cell r="J3126" t="str">
            <v>Renewables</v>
          </cell>
          <cell r="K3126" t="str">
            <v>Solar (Rooftop)</v>
          </cell>
          <cell r="L3126" t="str">
            <v>Solar</v>
          </cell>
          <cell r="M3126" t="str">
            <v>Dx</v>
          </cell>
          <cell r="N3126" t="str">
            <v>Markham</v>
          </cell>
          <cell r="O3126" t="str">
            <v>York</v>
          </cell>
          <cell r="P3126" t="str">
            <v>Toronto</v>
          </cell>
        </row>
        <row r="3127">
          <cell r="C3127" t="str">
            <v>Albion Heights Junior Middle School</v>
          </cell>
          <cell r="D3127" t="str">
            <v>Toronto District School Board</v>
          </cell>
          <cell r="E3127" t="str">
            <v>CO</v>
          </cell>
          <cell r="F3127">
            <v>43135</v>
          </cell>
          <cell r="G3127">
            <v>43314</v>
          </cell>
          <cell r="H3127">
            <v>50439</v>
          </cell>
          <cell r="I3127" t="str">
            <v>19 years, 6 months, 1 days</v>
          </cell>
          <cell r="J3127" t="str">
            <v>Renewables</v>
          </cell>
          <cell r="K3127" t="str">
            <v>Solar (Rooftop)</v>
          </cell>
          <cell r="L3127" t="str">
            <v>Solar</v>
          </cell>
          <cell r="M3127" t="str">
            <v>Dx</v>
          </cell>
          <cell r="N3127" t="str">
            <v>Toronto</v>
          </cell>
          <cell r="O3127" t="str">
            <v>Toronto</v>
          </cell>
          <cell r="P3127" t="str">
            <v>Toronto</v>
          </cell>
        </row>
        <row r="3128">
          <cell r="C3128" t="str">
            <v>Bayview Middle School</v>
          </cell>
          <cell r="D3128" t="str">
            <v>Toronto District School Board</v>
          </cell>
          <cell r="E3128" t="str">
            <v>CO</v>
          </cell>
          <cell r="F3128">
            <v>43140</v>
          </cell>
          <cell r="G3128">
            <v>43321</v>
          </cell>
          <cell r="H3128">
            <v>50444</v>
          </cell>
          <cell r="I3128" t="str">
            <v>19 years, 5 months, 30 days</v>
          </cell>
          <cell r="J3128" t="str">
            <v>Renewables</v>
          </cell>
          <cell r="K3128" t="str">
            <v>Solar (Rooftop)</v>
          </cell>
          <cell r="L3128" t="str">
            <v>Solar</v>
          </cell>
          <cell r="M3128" t="str">
            <v>Dx</v>
          </cell>
          <cell r="N3128" t="str">
            <v>Toronto</v>
          </cell>
          <cell r="O3128" t="str">
            <v>Toronto</v>
          </cell>
          <cell r="P3128" t="str">
            <v>Toronto</v>
          </cell>
        </row>
        <row r="3129">
          <cell r="C3129" t="str">
            <v>HOY 500</v>
          </cell>
          <cell r="D3129" t="str">
            <v>ASM SOLAR G1 LP</v>
          </cell>
          <cell r="E3129" t="str">
            <v>CO</v>
          </cell>
          <cell r="F3129">
            <v>43735</v>
          </cell>
          <cell r="G3129">
            <v>43483</v>
          </cell>
          <cell r="H3129">
            <v>50787</v>
          </cell>
          <cell r="I3129" t="str">
            <v>19 years, 11 months, 30 days</v>
          </cell>
          <cell r="J3129" t="str">
            <v>Renewables</v>
          </cell>
          <cell r="K3129" t="str">
            <v>Solar (Ground Mounted)</v>
          </cell>
          <cell r="L3129" t="str">
            <v>Solar</v>
          </cell>
          <cell r="M3129" t="str">
            <v>Dx</v>
          </cell>
          <cell r="N3129" t="str">
            <v>Hawkesbury</v>
          </cell>
          <cell r="O3129" t="str">
            <v>Prescott and Russell</v>
          </cell>
          <cell r="P3129" t="str">
            <v>Ottawa</v>
          </cell>
        </row>
        <row r="3130">
          <cell r="C3130" t="str">
            <v>80-86 St. Regis Cr. N</v>
          </cell>
          <cell r="D3130" t="str">
            <v>Menkes Properties Corporation</v>
          </cell>
          <cell r="E3130" t="str">
            <v>CO</v>
          </cell>
          <cell r="F3130">
            <v>43142</v>
          </cell>
          <cell r="G3130">
            <v>42998</v>
          </cell>
          <cell r="H3130">
            <v>50302</v>
          </cell>
          <cell r="I3130" t="str">
            <v>19 years, 11 months, 30 days</v>
          </cell>
          <cell r="J3130" t="str">
            <v>Renewables</v>
          </cell>
          <cell r="K3130" t="str">
            <v>Solar (Rooftop)</v>
          </cell>
          <cell r="L3130" t="str">
            <v>Solar</v>
          </cell>
          <cell r="M3130" t="str">
            <v>Dx</v>
          </cell>
          <cell r="N3130" t="str">
            <v>Toronto</v>
          </cell>
          <cell r="O3130" t="str">
            <v>Toronto</v>
          </cell>
          <cell r="P3130" t="str">
            <v>Toronto</v>
          </cell>
        </row>
        <row r="3131">
          <cell r="C3131" t="str">
            <v>Keeler Centre Solar</v>
          </cell>
          <cell r="D3131" t="str">
            <v>Community Solar Assets 2 Limited</v>
          </cell>
          <cell r="E3131" t="str">
            <v>CO</v>
          </cell>
          <cell r="F3131">
            <v>43154</v>
          </cell>
          <cell r="G3131">
            <v>43049</v>
          </cell>
          <cell r="H3131">
            <v>50353</v>
          </cell>
          <cell r="I3131" t="str">
            <v>19 years, 11 months, 30 days</v>
          </cell>
          <cell r="J3131" t="str">
            <v>Renewables</v>
          </cell>
          <cell r="K3131" t="str">
            <v>Solar (Rooftop)</v>
          </cell>
          <cell r="L3131" t="str">
            <v>Solar</v>
          </cell>
          <cell r="M3131" t="str">
            <v>Dx</v>
          </cell>
          <cell r="N3131" t="str">
            <v>Colborne</v>
          </cell>
          <cell r="O3131" t="str">
            <v>Northumberland</v>
          </cell>
          <cell r="P3131" t="str">
            <v>East</v>
          </cell>
        </row>
        <row r="3132">
          <cell r="C3132" t="str">
            <v>3068 Mullifarry Drive</v>
          </cell>
          <cell r="D3132" t="str">
            <v>Ontario Solar PVR 16 Limited Partnership</v>
          </cell>
          <cell r="E3132" t="str">
            <v>CO</v>
          </cell>
          <cell r="F3132">
            <v>43147</v>
          </cell>
          <cell r="G3132">
            <v>43003</v>
          </cell>
          <cell r="H3132">
            <v>50307</v>
          </cell>
          <cell r="I3132" t="str">
            <v>19 years, 11 months, 30 days</v>
          </cell>
          <cell r="J3132" t="str">
            <v>Renewables</v>
          </cell>
          <cell r="K3132" t="str">
            <v>Solar (Rooftop)</v>
          </cell>
          <cell r="L3132" t="str">
            <v>Solar</v>
          </cell>
          <cell r="M3132" t="str">
            <v>Dx</v>
          </cell>
          <cell r="N3132" t="str">
            <v>Kerwood</v>
          </cell>
          <cell r="O3132" t="str">
            <v>Middlesex</v>
          </cell>
          <cell r="P3132" t="str">
            <v>West</v>
          </cell>
        </row>
        <row r="3133">
          <cell r="C3133" t="str">
            <v>2 - SPN038</v>
          </cell>
          <cell r="D3133" t="str">
            <v>SPN LP 10</v>
          </cell>
          <cell r="E3133" t="str">
            <v>CO</v>
          </cell>
          <cell r="F3133">
            <v>43188</v>
          </cell>
          <cell r="G3133">
            <v>43368</v>
          </cell>
          <cell r="H3133">
            <v>50492</v>
          </cell>
          <cell r="I3133" t="str">
            <v>19 years, 6 months, 3 days</v>
          </cell>
          <cell r="J3133" t="str">
            <v>Renewables</v>
          </cell>
          <cell r="K3133" t="str">
            <v>Solar (Rooftop)</v>
          </cell>
          <cell r="L3133" t="str">
            <v>Solar</v>
          </cell>
          <cell r="M3133" t="str">
            <v>Dx</v>
          </cell>
          <cell r="N3133" t="str">
            <v>Brantford</v>
          </cell>
          <cell r="O3133" t="str">
            <v>Brant</v>
          </cell>
          <cell r="P3133" t="str">
            <v>Southwest</v>
          </cell>
        </row>
        <row r="3134">
          <cell r="C3134" t="str">
            <v>Stanton Farms Biogas (Twelve Mile Road South)</v>
          </cell>
          <cell r="D3134" t="str">
            <v>Stanton Bros. Limited</v>
          </cell>
          <cell r="E3134" t="str">
            <v>CO</v>
          </cell>
          <cell r="F3134">
            <v>43721</v>
          </cell>
          <cell r="G3134">
            <v>43588</v>
          </cell>
          <cell r="H3134">
            <v>50892</v>
          </cell>
          <cell r="I3134" t="str">
            <v>19 years, 11 months, 29 days</v>
          </cell>
          <cell r="J3134" t="str">
            <v>Renewables</v>
          </cell>
          <cell r="K3134" t="str">
            <v>Bioenergy</v>
          </cell>
          <cell r="L3134" t="str">
            <v>Biogas (On-Farm)</v>
          </cell>
          <cell r="M3134" t="str">
            <v>Dx</v>
          </cell>
          <cell r="N3134" t="str">
            <v>Ilderton</v>
          </cell>
          <cell r="O3134" t="str">
            <v>Middlesex</v>
          </cell>
          <cell r="P3134" t="str">
            <v>West</v>
          </cell>
        </row>
        <row r="3135">
          <cell r="C3135" t="str">
            <v>Koskamp Home 2015</v>
          </cell>
          <cell r="D3135" t="str">
            <v>Koskamp Family Farms Ltd.</v>
          </cell>
          <cell r="E3135" t="str">
            <v>CO</v>
          </cell>
          <cell r="F3135">
            <v>43721</v>
          </cell>
          <cell r="G3135">
            <v>43409</v>
          </cell>
          <cell r="H3135">
            <v>50713</v>
          </cell>
          <cell r="I3135" t="str">
            <v>19 years, 11 months, 30 days</v>
          </cell>
          <cell r="J3135" t="str">
            <v>Renewables</v>
          </cell>
          <cell r="K3135" t="str">
            <v>Bioenergy</v>
          </cell>
          <cell r="L3135" t="str">
            <v>Biogas (On-Farm)</v>
          </cell>
          <cell r="M3135" t="str">
            <v>Dx</v>
          </cell>
          <cell r="N3135" t="str">
            <v>Stratford</v>
          </cell>
          <cell r="O3135" t="str">
            <v>Perth</v>
          </cell>
          <cell r="P3135" t="str">
            <v>Southwest</v>
          </cell>
        </row>
        <row r="3136">
          <cell r="C3136" t="str">
            <v>SS Bolton</v>
          </cell>
          <cell r="D3136" t="str">
            <v>StorageVault Canada Inc.</v>
          </cell>
          <cell r="E3136" t="str">
            <v>CO</v>
          </cell>
          <cell r="F3136">
            <v>43156</v>
          </cell>
          <cell r="G3136">
            <v>43293</v>
          </cell>
          <cell r="H3136">
            <v>50460</v>
          </cell>
          <cell r="I3136" t="str">
            <v>19 years, 7 months, 12 days</v>
          </cell>
          <cell r="J3136" t="str">
            <v>Renewables</v>
          </cell>
          <cell r="K3136" t="str">
            <v>Solar (Rooftop)</v>
          </cell>
          <cell r="L3136" t="str">
            <v>Solar</v>
          </cell>
          <cell r="M3136" t="str">
            <v>Dx</v>
          </cell>
          <cell r="N3136" t="str">
            <v>Bolton</v>
          </cell>
          <cell r="O3136" t="str">
            <v>Peel</v>
          </cell>
          <cell r="P3136" t="str">
            <v>Toronto</v>
          </cell>
        </row>
        <row r="3137">
          <cell r="C3137" t="str">
            <v>1381 Huron Rd - Crystal Brook</v>
          </cell>
          <cell r="D3137" t="str">
            <v>SUNSHARE4 LP</v>
          </cell>
          <cell r="E3137" t="str">
            <v>CO</v>
          </cell>
          <cell r="F3137">
            <v>43174</v>
          </cell>
          <cell r="G3137">
            <v>43194</v>
          </cell>
          <cell r="H3137">
            <v>50478</v>
          </cell>
          <cell r="I3137" t="str">
            <v>19 years, 11 months, 10 days</v>
          </cell>
          <cell r="J3137" t="str">
            <v>Renewables</v>
          </cell>
          <cell r="K3137" t="str">
            <v>Solar (Rooftop)</v>
          </cell>
          <cell r="L3137" t="str">
            <v>Solar</v>
          </cell>
          <cell r="M3137" t="str">
            <v>Dx</v>
          </cell>
          <cell r="N3137" t="str">
            <v>Petersburg</v>
          </cell>
          <cell r="O3137" t="str">
            <v>Waterloo</v>
          </cell>
          <cell r="P3137" t="str">
            <v>Southwest</v>
          </cell>
        </row>
        <row r="3138">
          <cell r="C3138" t="str">
            <v>Chisholm</v>
          </cell>
          <cell r="D3138" t="str">
            <v>Milton Energy and Generation Solutions Inc</v>
          </cell>
          <cell r="E3138" t="str">
            <v>CO</v>
          </cell>
          <cell r="F3138">
            <v>43156</v>
          </cell>
          <cell r="G3138">
            <v>42898</v>
          </cell>
          <cell r="H3138">
            <v>50202</v>
          </cell>
          <cell r="I3138" t="str">
            <v>19 years, 11 months, 30 days</v>
          </cell>
          <cell r="J3138" t="str">
            <v>Renewables</v>
          </cell>
          <cell r="K3138" t="str">
            <v>Solar (Rooftop)</v>
          </cell>
          <cell r="L3138" t="str">
            <v>Solar</v>
          </cell>
          <cell r="M3138" t="str">
            <v>Dx</v>
          </cell>
          <cell r="N3138" t="str">
            <v>Milton</v>
          </cell>
          <cell r="O3138" t="str">
            <v>Halton</v>
          </cell>
          <cell r="P3138" t="str">
            <v>Southwest</v>
          </cell>
        </row>
        <row r="3139">
          <cell r="C3139" t="str">
            <v>Bentworth Park Yard Administration Building</v>
          </cell>
          <cell r="D3139" t="str">
            <v>City of Toronto</v>
          </cell>
          <cell r="E3139" t="str">
            <v>CO</v>
          </cell>
          <cell r="F3139">
            <v>43160</v>
          </cell>
          <cell r="G3139">
            <v>43126</v>
          </cell>
          <cell r="H3139">
            <v>50430</v>
          </cell>
          <cell r="I3139" t="str">
            <v>19 years, 11 months, 30 days</v>
          </cell>
          <cell r="J3139" t="str">
            <v>Renewables</v>
          </cell>
          <cell r="K3139" t="str">
            <v>Solar (Rooftop)</v>
          </cell>
          <cell r="L3139" t="str">
            <v>Solar</v>
          </cell>
          <cell r="M3139" t="str">
            <v>Dx</v>
          </cell>
          <cell r="N3139" t="str">
            <v>Toronto</v>
          </cell>
          <cell r="O3139" t="str">
            <v>Toronto</v>
          </cell>
          <cell r="P3139" t="str">
            <v>Toronto</v>
          </cell>
        </row>
        <row r="3140">
          <cell r="C3140" t="str">
            <v>5 - SPN497</v>
          </cell>
          <cell r="D3140" t="str">
            <v>SPN LP 14</v>
          </cell>
          <cell r="E3140" t="str">
            <v>CO</v>
          </cell>
          <cell r="F3140">
            <v>43174</v>
          </cell>
          <cell r="G3140">
            <v>43353</v>
          </cell>
          <cell r="H3140">
            <v>50478</v>
          </cell>
          <cell r="I3140" t="str">
            <v>19 years, 6 months, 4 days</v>
          </cell>
          <cell r="J3140" t="str">
            <v>Renewables</v>
          </cell>
          <cell r="K3140" t="str">
            <v>Solar (Rooftop)</v>
          </cell>
          <cell r="L3140" t="str">
            <v>Solar</v>
          </cell>
          <cell r="M3140" t="str">
            <v>Dx</v>
          </cell>
          <cell r="N3140" t="str">
            <v>Caledon</v>
          </cell>
          <cell r="O3140" t="str">
            <v>Peel</v>
          </cell>
          <cell r="P3140" t="str">
            <v>Southwest</v>
          </cell>
        </row>
        <row r="3141">
          <cell r="C3141" t="str">
            <v>DUFF095</v>
          </cell>
          <cell r="D3141" t="str">
            <v>SR&amp;G LP</v>
          </cell>
          <cell r="E3141" t="str">
            <v>CO</v>
          </cell>
          <cell r="F3141">
            <v>43181</v>
          </cell>
          <cell r="G3141">
            <v>43280</v>
          </cell>
          <cell r="H3141">
            <v>50485</v>
          </cell>
          <cell r="I3141" t="str">
            <v>19 years, 8 months, 20 days</v>
          </cell>
          <cell r="J3141" t="str">
            <v>Renewables</v>
          </cell>
          <cell r="K3141" t="str">
            <v>Solar (Rooftop)</v>
          </cell>
          <cell r="L3141" t="str">
            <v>Solar</v>
          </cell>
          <cell r="M3141" t="str">
            <v>Dx</v>
          </cell>
          <cell r="N3141" t="str">
            <v>Orangeville</v>
          </cell>
          <cell r="O3141" t="str">
            <v>Dufferin</v>
          </cell>
          <cell r="P3141" t="str">
            <v>Southwest</v>
          </cell>
        </row>
        <row r="3142">
          <cell r="C3142" t="str">
            <v>Huronia Road-DM019</v>
          </cell>
          <cell r="D3142" t="str">
            <v>SCCEC 4.0 LP</v>
          </cell>
          <cell r="E3142" t="str">
            <v>CO</v>
          </cell>
          <cell r="F3142">
            <v>43156</v>
          </cell>
          <cell r="G3142">
            <v>43048</v>
          </cell>
          <cell r="H3142">
            <v>50352</v>
          </cell>
          <cell r="I3142" t="str">
            <v>19 years, 11 months, 30 days</v>
          </cell>
          <cell r="J3142" t="str">
            <v>Renewables</v>
          </cell>
          <cell r="K3142" t="str">
            <v>Solar (Rooftop)</v>
          </cell>
          <cell r="L3142" t="str">
            <v>Solar</v>
          </cell>
          <cell r="M3142" t="str">
            <v>Dx</v>
          </cell>
          <cell r="N3142" t="str">
            <v>Barrie</v>
          </cell>
          <cell r="O3142" t="str">
            <v>Simcoe</v>
          </cell>
          <cell r="P3142" t="str">
            <v>Essa</v>
          </cell>
        </row>
        <row r="3143">
          <cell r="C3143" t="str">
            <v>71 Rexdale Solar PV</v>
          </cell>
          <cell r="D3143" t="str">
            <v>Toronto Hydro-Electric System Limited</v>
          </cell>
          <cell r="E3143" t="str">
            <v>CO</v>
          </cell>
          <cell r="F3143">
            <v>43174</v>
          </cell>
          <cell r="G3143">
            <v>43167</v>
          </cell>
          <cell r="H3143">
            <v>50471</v>
          </cell>
          <cell r="I3143" t="str">
            <v>19 years, 11 months, 27 days</v>
          </cell>
          <cell r="J3143" t="str">
            <v>Renewables</v>
          </cell>
          <cell r="K3143" t="str">
            <v>Solar (Rooftop)</v>
          </cell>
          <cell r="L3143" t="str">
            <v>Solar</v>
          </cell>
          <cell r="M3143" t="str">
            <v>Dx</v>
          </cell>
          <cell r="N3143" t="str">
            <v>Toronto</v>
          </cell>
          <cell r="O3143" t="str">
            <v>Toronto</v>
          </cell>
          <cell r="P3143" t="str">
            <v>Toronto</v>
          </cell>
        </row>
        <row r="3144">
          <cell r="C3144" t="str">
            <v>Whiteside, Glenn-GA028</v>
          </cell>
          <cell r="D3144" t="str">
            <v>SCCEC 4.0 LP</v>
          </cell>
          <cell r="E3144" t="str">
            <v>CO</v>
          </cell>
          <cell r="F3144">
            <v>43172</v>
          </cell>
          <cell r="G3144">
            <v>43039</v>
          </cell>
          <cell r="H3144">
            <v>50343</v>
          </cell>
          <cell r="I3144" t="str">
            <v>19 years, 11 months, 29 days</v>
          </cell>
          <cell r="J3144" t="str">
            <v>Renewables</v>
          </cell>
          <cell r="K3144" t="str">
            <v>Solar (Rooftop)</v>
          </cell>
          <cell r="L3144" t="str">
            <v>Solar</v>
          </cell>
          <cell r="M3144" t="str">
            <v>Dx</v>
          </cell>
          <cell r="N3144" t="str">
            <v>Alliston</v>
          </cell>
          <cell r="O3144" t="str">
            <v>Simcoe</v>
          </cell>
          <cell r="P3144" t="str">
            <v>Southwest</v>
          </cell>
        </row>
        <row r="3145">
          <cell r="C3145" t="str">
            <v>79-99 St. Regis Cr.N</v>
          </cell>
          <cell r="D3145" t="str">
            <v>Menkes Properties Corporation</v>
          </cell>
          <cell r="E3145" t="str">
            <v>CO</v>
          </cell>
          <cell r="F3145">
            <v>43147</v>
          </cell>
          <cell r="G3145">
            <v>43090</v>
          </cell>
          <cell r="H3145">
            <v>50394</v>
          </cell>
          <cell r="I3145" t="str">
            <v>19 years, 11 months, 29 days</v>
          </cell>
          <cell r="J3145" t="str">
            <v>Renewables</v>
          </cell>
          <cell r="K3145" t="str">
            <v>Solar (Rooftop)</v>
          </cell>
          <cell r="L3145" t="str">
            <v>Solar</v>
          </cell>
          <cell r="M3145" t="str">
            <v>Dx</v>
          </cell>
          <cell r="N3145" t="str">
            <v>Toronto</v>
          </cell>
          <cell r="O3145" t="str">
            <v>Toronto</v>
          </cell>
          <cell r="P3145" t="str">
            <v>Toronto</v>
          </cell>
        </row>
        <row r="3146">
          <cell r="C3146" t="str">
            <v>Minten Solar Roof</v>
          </cell>
          <cell r="D3146" t="str">
            <v>SunSaver 4 Limited</v>
          </cell>
          <cell r="E3146" t="str">
            <v>CO</v>
          </cell>
          <cell r="F3146">
            <v>43172</v>
          </cell>
          <cell r="G3146">
            <v>43312</v>
          </cell>
          <cell r="H3146">
            <v>50476</v>
          </cell>
          <cell r="I3146" t="str">
            <v>19 years, 7 months, 9 days</v>
          </cell>
          <cell r="J3146" t="str">
            <v>Renewables</v>
          </cell>
          <cell r="K3146" t="str">
            <v>Solar (Rooftop)</v>
          </cell>
          <cell r="L3146" t="str">
            <v>Solar</v>
          </cell>
          <cell r="M3146" t="str">
            <v>Dx</v>
          </cell>
          <cell r="N3146" t="str">
            <v>Watford</v>
          </cell>
          <cell r="O3146" t="str">
            <v>Lambton</v>
          </cell>
          <cell r="P3146" t="str">
            <v>West</v>
          </cell>
        </row>
        <row r="3147">
          <cell r="C3147" t="str">
            <v>Parkway Forest Community Centre</v>
          </cell>
          <cell r="D3147" t="str">
            <v>City of Toronto</v>
          </cell>
          <cell r="E3147" t="str">
            <v>CO</v>
          </cell>
          <cell r="F3147">
            <v>43133</v>
          </cell>
          <cell r="G3147">
            <v>43119</v>
          </cell>
          <cell r="H3147">
            <v>50423</v>
          </cell>
          <cell r="I3147" t="str">
            <v>19 years, 11 months, 30 days</v>
          </cell>
          <cell r="J3147" t="str">
            <v>Renewables</v>
          </cell>
          <cell r="K3147" t="str">
            <v>Solar (Rooftop)</v>
          </cell>
          <cell r="L3147" t="str">
            <v>Solar</v>
          </cell>
          <cell r="M3147" t="str">
            <v>Dx</v>
          </cell>
          <cell r="N3147" t="str">
            <v>Toronto</v>
          </cell>
          <cell r="O3147" t="str">
            <v>Toronto</v>
          </cell>
          <cell r="P3147" t="str">
            <v>Toronto</v>
          </cell>
        </row>
        <row r="3148">
          <cell r="C3148" t="str">
            <v>De Koning Home Farm</v>
          </cell>
          <cell r="D3148" t="str">
            <v>Martin and Dorine De Koning</v>
          </cell>
          <cell r="E3148" t="str">
            <v>CO</v>
          </cell>
          <cell r="F3148">
            <v>43186</v>
          </cell>
          <cell r="G3148">
            <v>43312</v>
          </cell>
          <cell r="H3148">
            <v>50490</v>
          </cell>
          <cell r="I3148" t="str">
            <v>19 years, 7 months, 23 days</v>
          </cell>
          <cell r="J3148" t="str">
            <v>Renewables</v>
          </cell>
          <cell r="K3148" t="str">
            <v>Solar (Rooftop)</v>
          </cell>
          <cell r="L3148" t="str">
            <v>Solar</v>
          </cell>
          <cell r="M3148" t="str">
            <v>Dx</v>
          </cell>
          <cell r="N3148" t="str">
            <v>Watford</v>
          </cell>
          <cell r="O3148" t="str">
            <v>Lambton</v>
          </cell>
          <cell r="P3148" t="str">
            <v>West</v>
          </cell>
        </row>
        <row r="3149">
          <cell r="C3149" t="str">
            <v>Hopkins, Jim &amp; Aubrey-JB040</v>
          </cell>
          <cell r="D3149" t="str">
            <v>HSSW Limited Partnership</v>
          </cell>
          <cell r="E3149" t="str">
            <v>CO</v>
          </cell>
          <cell r="F3149">
            <v>43735</v>
          </cell>
          <cell r="G3149">
            <v>43733</v>
          </cell>
          <cell r="H3149">
            <v>51037</v>
          </cell>
          <cell r="I3149" t="str">
            <v>19 years, 11 months, 30 days</v>
          </cell>
          <cell r="J3149" t="str">
            <v>Renewables</v>
          </cell>
          <cell r="K3149" t="str">
            <v>Solar (Ground Mounted)</v>
          </cell>
          <cell r="L3149" t="str">
            <v>Solar</v>
          </cell>
          <cell r="M3149" t="str">
            <v>Dx</v>
          </cell>
          <cell r="N3149" t="str">
            <v>Fenelon Falls</v>
          </cell>
          <cell r="O3149" t="str">
            <v>Kawartha Lakes</v>
          </cell>
          <cell r="P3149" t="str">
            <v>Essa</v>
          </cell>
        </row>
        <row r="3150">
          <cell r="C3150" t="str">
            <v>Brookview Middle School</v>
          </cell>
          <cell r="D3150" t="str">
            <v>Toronto District School Board</v>
          </cell>
          <cell r="E3150" t="str">
            <v>CO</v>
          </cell>
          <cell r="F3150">
            <v>43133</v>
          </cell>
          <cell r="G3150">
            <v>43313</v>
          </cell>
          <cell r="H3150">
            <v>50437</v>
          </cell>
          <cell r="I3150" t="str">
            <v>19 years, 6 months, 0 days</v>
          </cell>
          <cell r="J3150" t="str">
            <v>Renewables</v>
          </cell>
          <cell r="K3150" t="str">
            <v>Solar (Rooftop)</v>
          </cell>
          <cell r="L3150" t="str">
            <v>Solar</v>
          </cell>
          <cell r="M3150" t="str">
            <v>Dx</v>
          </cell>
          <cell r="N3150" t="str">
            <v>Toronto</v>
          </cell>
          <cell r="O3150" t="str">
            <v>Toronto</v>
          </cell>
          <cell r="P3150" t="str">
            <v>Toronto</v>
          </cell>
        </row>
        <row r="3151">
          <cell r="C3151" t="str">
            <v>Janssen Showroom</v>
          </cell>
          <cell r="D3151" t="str">
            <v>1834508 Ontario Ltd.</v>
          </cell>
          <cell r="E3151" t="str">
            <v>CO</v>
          </cell>
          <cell r="F3151">
            <v>43186</v>
          </cell>
          <cell r="G3151">
            <v>43192</v>
          </cell>
          <cell r="H3151">
            <v>50490</v>
          </cell>
          <cell r="I3151" t="str">
            <v>19 years, 11 months, 24 days</v>
          </cell>
          <cell r="J3151" t="str">
            <v>Renewables</v>
          </cell>
          <cell r="K3151" t="str">
            <v>Solar (Rooftop)</v>
          </cell>
          <cell r="L3151" t="str">
            <v>Solar</v>
          </cell>
          <cell r="M3151" t="str">
            <v>Dx</v>
          </cell>
          <cell r="N3151" t="str">
            <v>Lincoln</v>
          </cell>
          <cell r="O3151" t="str">
            <v>Niagara</v>
          </cell>
          <cell r="P3151" t="str">
            <v>Niagara</v>
          </cell>
        </row>
        <row r="3152">
          <cell r="C3152" t="str">
            <v>Sterrenburg - CH020</v>
          </cell>
          <cell r="D3152" t="str">
            <v>HSSW Limited Partnership</v>
          </cell>
          <cell r="E3152" t="str">
            <v>CO</v>
          </cell>
          <cell r="F3152">
            <v>43181</v>
          </cell>
          <cell r="G3152">
            <v>43180</v>
          </cell>
          <cell r="H3152">
            <v>50484</v>
          </cell>
          <cell r="I3152" t="str">
            <v>19 years, 11 months, 27 days</v>
          </cell>
          <cell r="J3152" t="str">
            <v>Renewables</v>
          </cell>
          <cell r="K3152" t="str">
            <v>Solar (Rooftop)</v>
          </cell>
          <cell r="L3152" t="str">
            <v>Solar</v>
          </cell>
          <cell r="M3152" t="str">
            <v>Dx</v>
          </cell>
          <cell r="N3152" t="str">
            <v>Stayner</v>
          </cell>
          <cell r="O3152" t="str">
            <v>Simcoe</v>
          </cell>
          <cell r="P3152" t="str">
            <v>Southwest</v>
          </cell>
        </row>
        <row r="3153">
          <cell r="C3153" t="str">
            <v>Wallace Emerson Community Centre &amp; Indoor Pool</v>
          </cell>
          <cell r="D3153" t="str">
            <v>City of Toronto</v>
          </cell>
          <cell r="E3153" t="str">
            <v>CO</v>
          </cell>
          <cell r="F3153">
            <v>43133</v>
          </cell>
          <cell r="G3153">
            <v>43143</v>
          </cell>
          <cell r="H3153">
            <v>50437</v>
          </cell>
          <cell r="I3153" t="str">
            <v>19 years, 11 months, 20 days</v>
          </cell>
          <cell r="J3153" t="str">
            <v>Renewables</v>
          </cell>
          <cell r="K3153" t="str">
            <v>Solar (Rooftop)</v>
          </cell>
          <cell r="L3153" t="str">
            <v>Solar</v>
          </cell>
          <cell r="M3153" t="str">
            <v>Dx</v>
          </cell>
          <cell r="N3153" t="str">
            <v>Toronto</v>
          </cell>
          <cell r="O3153" t="str">
            <v>Toronto</v>
          </cell>
          <cell r="P3153" t="str">
            <v>Toronto</v>
          </cell>
        </row>
        <row r="3154">
          <cell r="C3154" t="str">
            <v>SPN647</v>
          </cell>
          <cell r="D3154" t="str">
            <v>SPN LP 15</v>
          </cell>
          <cell r="E3154" t="str">
            <v>CO</v>
          </cell>
          <cell r="F3154">
            <v>43172</v>
          </cell>
          <cell r="G3154">
            <v>43251</v>
          </cell>
          <cell r="H3154">
            <v>50476</v>
          </cell>
          <cell r="I3154" t="str">
            <v>19 years, 9 months, 9 days</v>
          </cell>
          <cell r="J3154" t="str">
            <v>Renewables</v>
          </cell>
          <cell r="K3154" t="str">
            <v>Solar (Rooftop)</v>
          </cell>
          <cell r="L3154" t="str">
            <v>Solar</v>
          </cell>
          <cell r="M3154" t="str">
            <v>Dx</v>
          </cell>
          <cell r="N3154" t="str">
            <v>Cambridge</v>
          </cell>
          <cell r="O3154" t="str">
            <v>Waterloo</v>
          </cell>
          <cell r="P3154" t="str">
            <v>Southwest</v>
          </cell>
        </row>
        <row r="3155">
          <cell r="C3155" t="str">
            <v>Beverley Greenhouses</v>
          </cell>
          <cell r="D3155" t="str">
            <v>QS6 2012 LP</v>
          </cell>
          <cell r="E3155" t="str">
            <v>CO</v>
          </cell>
          <cell r="F3155">
            <v>43149</v>
          </cell>
          <cell r="G3155">
            <v>43272</v>
          </cell>
          <cell r="H3155">
            <v>50453</v>
          </cell>
          <cell r="I3155" t="str">
            <v>19 years, 7 months, 27 days</v>
          </cell>
          <cell r="J3155" t="str">
            <v>Renewables</v>
          </cell>
          <cell r="K3155" t="str">
            <v>Solar (Rooftop)</v>
          </cell>
          <cell r="L3155" t="str">
            <v>Solar</v>
          </cell>
          <cell r="M3155" t="str">
            <v>Dx</v>
          </cell>
          <cell r="N3155" t="str">
            <v>Hamilton</v>
          </cell>
          <cell r="O3155" t="str">
            <v>Hamilton</v>
          </cell>
          <cell r="P3155" t="str">
            <v>Southwest</v>
          </cell>
        </row>
        <row r="3156">
          <cell r="C3156" t="str">
            <v>HUC100</v>
          </cell>
          <cell r="D3156" t="str">
            <v>Factory Solar LP</v>
          </cell>
          <cell r="E3156" t="str">
            <v>CO</v>
          </cell>
          <cell r="F3156">
            <v>43165</v>
          </cell>
          <cell r="G3156">
            <v>43349</v>
          </cell>
          <cell r="H3156">
            <v>50469</v>
          </cell>
          <cell r="I3156" t="str">
            <v>19 years, 5 months, 27 days</v>
          </cell>
          <cell r="J3156" t="str">
            <v>Renewables</v>
          </cell>
          <cell r="K3156" t="str">
            <v>Solar (Rooftop)</v>
          </cell>
          <cell r="L3156" t="str">
            <v>Solar</v>
          </cell>
          <cell r="M3156" t="str">
            <v>Dx</v>
          </cell>
          <cell r="N3156" t="str">
            <v>London</v>
          </cell>
          <cell r="O3156" t="str">
            <v>Middlesex</v>
          </cell>
          <cell r="P3156" t="str">
            <v>West</v>
          </cell>
        </row>
        <row r="3157">
          <cell r="C3157" t="str">
            <v>3 - SPN465</v>
          </cell>
          <cell r="D3157" t="str">
            <v>SPN LP 14</v>
          </cell>
          <cell r="E3157" t="str">
            <v>CO</v>
          </cell>
          <cell r="F3157">
            <v>43181</v>
          </cell>
          <cell r="G3157">
            <v>43361</v>
          </cell>
          <cell r="H3157">
            <v>50485</v>
          </cell>
          <cell r="I3157" t="str">
            <v>19 years, 6 months, 3 days</v>
          </cell>
          <cell r="J3157" t="str">
            <v>Renewables</v>
          </cell>
          <cell r="K3157" t="str">
            <v>Solar (Rooftop)</v>
          </cell>
          <cell r="L3157" t="str">
            <v>Solar</v>
          </cell>
          <cell r="M3157" t="str">
            <v>Dx</v>
          </cell>
          <cell r="N3157" t="str">
            <v>Grimsby</v>
          </cell>
          <cell r="O3157" t="str">
            <v>Niagara</v>
          </cell>
          <cell r="P3157" t="str">
            <v>Niagara</v>
          </cell>
        </row>
        <row r="3158">
          <cell r="C3158" t="str">
            <v>Thomas L Wells Public School</v>
          </cell>
          <cell r="D3158" t="str">
            <v>Toronto District School Board</v>
          </cell>
          <cell r="E3158" t="str">
            <v>CO</v>
          </cell>
          <cell r="F3158">
            <v>43140</v>
          </cell>
          <cell r="G3158">
            <v>43321</v>
          </cell>
          <cell r="H3158">
            <v>50444</v>
          </cell>
          <cell r="I3158" t="str">
            <v>19 years, 5 months, 30 days</v>
          </cell>
          <cell r="J3158" t="str">
            <v>Renewables</v>
          </cell>
          <cell r="K3158" t="str">
            <v>Solar (Rooftop)</v>
          </cell>
          <cell r="L3158" t="str">
            <v>Solar</v>
          </cell>
          <cell r="M3158" t="str">
            <v>Dx</v>
          </cell>
          <cell r="N3158" t="str">
            <v>Toronto</v>
          </cell>
          <cell r="O3158" t="str">
            <v>Toronto</v>
          </cell>
          <cell r="P3158" t="str">
            <v>Toronto</v>
          </cell>
        </row>
        <row r="3159">
          <cell r="C3159" t="str">
            <v>Falk Farms 1239</v>
          </cell>
          <cell r="D3159" t="str">
            <v>1863540 Ontario Inc.</v>
          </cell>
          <cell r="E3159" t="str">
            <v>CO</v>
          </cell>
          <cell r="F3159">
            <v>43186</v>
          </cell>
          <cell r="G3159">
            <v>43182</v>
          </cell>
          <cell r="H3159">
            <v>50486</v>
          </cell>
          <cell r="I3159" t="str">
            <v>19 years, 11 months, 27 days</v>
          </cell>
          <cell r="J3159" t="str">
            <v>Renewables</v>
          </cell>
          <cell r="K3159" t="str">
            <v>Solar (Rooftop)</v>
          </cell>
          <cell r="L3159" t="str">
            <v>Solar</v>
          </cell>
          <cell r="M3159" t="str">
            <v>Dx</v>
          </cell>
          <cell r="N3159" t="str">
            <v>Niagara-on-the-Lake</v>
          </cell>
          <cell r="O3159" t="str">
            <v>Niagara</v>
          </cell>
          <cell r="P3159" t="str">
            <v>Niagara</v>
          </cell>
        </row>
        <row r="3160">
          <cell r="C3160" t="str">
            <v>HUC470</v>
          </cell>
          <cell r="D3160" t="str">
            <v>HIPCO-FIT4 Projects Corporation</v>
          </cell>
          <cell r="E3160" t="str">
            <v>CO</v>
          </cell>
          <cell r="F3160">
            <v>43159</v>
          </cell>
          <cell r="G3160">
            <v>43336</v>
          </cell>
          <cell r="H3160">
            <v>50463</v>
          </cell>
          <cell r="I3160" t="str">
            <v>19 years, 6 months, 3 days</v>
          </cell>
          <cell r="J3160" t="str">
            <v>Renewables</v>
          </cell>
          <cell r="K3160" t="str">
            <v>Solar (Rooftop)</v>
          </cell>
          <cell r="L3160" t="str">
            <v>Solar</v>
          </cell>
          <cell r="M3160" t="str">
            <v>Dx</v>
          </cell>
          <cell r="N3160" t="str">
            <v>Hamilton</v>
          </cell>
          <cell r="O3160" t="str">
            <v>Hamilton</v>
          </cell>
          <cell r="P3160" t="str">
            <v>Southwest</v>
          </cell>
        </row>
        <row r="3161">
          <cell r="C3161" t="str">
            <v>Palmerston Arena</v>
          </cell>
          <cell r="D3161" t="str">
            <v>The Corporation of the Town of Minto</v>
          </cell>
          <cell r="E3161" t="str">
            <v>CO</v>
          </cell>
          <cell r="F3161">
            <v>43154</v>
          </cell>
          <cell r="G3161">
            <v>43185</v>
          </cell>
          <cell r="H3161">
            <v>50458</v>
          </cell>
          <cell r="I3161" t="str">
            <v>19 years, 10 months, 27 days</v>
          </cell>
          <cell r="J3161" t="str">
            <v>Renewables</v>
          </cell>
          <cell r="K3161" t="str">
            <v>Solar (Rooftop)</v>
          </cell>
          <cell r="L3161" t="str">
            <v>Solar</v>
          </cell>
          <cell r="M3161" t="str">
            <v>Dx</v>
          </cell>
          <cell r="N3161" t="str">
            <v>Palmerston</v>
          </cell>
          <cell r="O3161" t="str">
            <v>Wellington</v>
          </cell>
          <cell r="P3161" t="str">
            <v>Southwest</v>
          </cell>
        </row>
        <row r="3162">
          <cell r="C3162" t="str">
            <v>1780 Napperton Drive</v>
          </cell>
          <cell r="D3162" t="str">
            <v>GSC RP 3 LP</v>
          </cell>
          <cell r="E3162" t="str">
            <v>CO</v>
          </cell>
          <cell r="F3162">
            <v>43147</v>
          </cell>
          <cell r="G3162">
            <v>43132</v>
          </cell>
          <cell r="H3162">
            <v>50436</v>
          </cell>
          <cell r="I3162" t="str">
            <v>19 years, 11 months, 30 days</v>
          </cell>
          <cell r="J3162" t="str">
            <v>Renewables</v>
          </cell>
          <cell r="K3162" t="str">
            <v>Solar (Rooftop)</v>
          </cell>
          <cell r="L3162" t="str">
            <v>Solar</v>
          </cell>
          <cell r="M3162" t="str">
            <v>Dx</v>
          </cell>
          <cell r="N3162" t="str">
            <v>Kerwood</v>
          </cell>
          <cell r="O3162" t="str">
            <v>Middlesex</v>
          </cell>
          <cell r="P3162" t="str">
            <v>West</v>
          </cell>
        </row>
        <row r="3163">
          <cell r="C3163" t="str">
            <v>Williams, Jim-GA032</v>
          </cell>
          <cell r="D3163" t="str">
            <v>SCCEC 4.0 LP</v>
          </cell>
          <cell r="E3163" t="str">
            <v>CO</v>
          </cell>
          <cell r="F3163">
            <v>43181</v>
          </cell>
          <cell r="G3163">
            <v>43028</v>
          </cell>
          <cell r="H3163">
            <v>50332</v>
          </cell>
          <cell r="I3163" t="str">
            <v>19 years, 11 months, 29 days</v>
          </cell>
          <cell r="J3163" t="str">
            <v>Renewables</v>
          </cell>
          <cell r="K3163" t="str">
            <v>Solar (Rooftop)</v>
          </cell>
          <cell r="L3163" t="str">
            <v>Solar</v>
          </cell>
          <cell r="M3163" t="str">
            <v>Dx</v>
          </cell>
          <cell r="N3163" t="str">
            <v>Bradford</v>
          </cell>
          <cell r="O3163" t="str">
            <v>Simcoe</v>
          </cell>
          <cell r="P3163" t="str">
            <v>Essa</v>
          </cell>
        </row>
        <row r="3164">
          <cell r="C3164" t="str">
            <v>Warehouse Ridgetop</v>
          </cell>
          <cell r="D3164" t="str">
            <v>Warehouse Properties Limited</v>
          </cell>
          <cell r="E3164" t="str">
            <v>CO</v>
          </cell>
          <cell r="F3164">
            <v>43147</v>
          </cell>
          <cell r="G3164">
            <v>42886</v>
          </cell>
          <cell r="H3164">
            <v>50190</v>
          </cell>
          <cell r="I3164" t="str">
            <v>19 years, 11 months, 29 days</v>
          </cell>
          <cell r="J3164" t="str">
            <v>Renewables</v>
          </cell>
          <cell r="K3164" t="str">
            <v>Solar (Rooftop)</v>
          </cell>
          <cell r="L3164" t="str">
            <v>Solar</v>
          </cell>
          <cell r="M3164" t="str">
            <v>Dx</v>
          </cell>
          <cell r="N3164" t="str">
            <v>Toronto</v>
          </cell>
          <cell r="O3164" t="str">
            <v>Toronto</v>
          </cell>
          <cell r="P3164" t="str">
            <v>Toronto</v>
          </cell>
        </row>
        <row r="3165">
          <cell r="C3165" t="str">
            <v>Wasaga Self Storage-GA022</v>
          </cell>
          <cell r="D3165" t="str">
            <v>SCCEC 4.0 LP</v>
          </cell>
          <cell r="E3165" t="str">
            <v>CO</v>
          </cell>
          <cell r="F3165">
            <v>43156</v>
          </cell>
          <cell r="G3165">
            <v>43171</v>
          </cell>
          <cell r="H3165">
            <v>50460</v>
          </cell>
          <cell r="I3165" t="str">
            <v>19 years, 11 months, 12 days</v>
          </cell>
          <cell r="J3165" t="str">
            <v>Renewables</v>
          </cell>
          <cell r="K3165" t="str">
            <v>Solar (Rooftop)</v>
          </cell>
          <cell r="L3165" t="str">
            <v>Solar</v>
          </cell>
          <cell r="M3165" t="str">
            <v>Dx</v>
          </cell>
          <cell r="N3165" t="str">
            <v>Stayner</v>
          </cell>
          <cell r="O3165" t="str">
            <v>Simcoe</v>
          </cell>
          <cell r="P3165" t="str">
            <v>Southwest</v>
          </cell>
        </row>
        <row r="3166">
          <cell r="C3166" t="str">
            <v>715 Milner Solar PV</v>
          </cell>
          <cell r="D3166" t="str">
            <v>Toronto Hydro-Electric System Limited</v>
          </cell>
          <cell r="E3166" t="str">
            <v>CO</v>
          </cell>
          <cell r="F3166">
            <v>43172</v>
          </cell>
          <cell r="G3166">
            <v>43172</v>
          </cell>
          <cell r="H3166">
            <v>50476</v>
          </cell>
          <cell r="I3166" t="str">
            <v>19 years, 11 months, 27 days</v>
          </cell>
          <cell r="J3166" t="str">
            <v>Renewables</v>
          </cell>
          <cell r="K3166" t="str">
            <v>Solar (Rooftop)</v>
          </cell>
          <cell r="L3166" t="str">
            <v>Solar</v>
          </cell>
          <cell r="M3166" t="str">
            <v>Dx</v>
          </cell>
          <cell r="N3166" t="str">
            <v>Toronto</v>
          </cell>
          <cell r="O3166" t="str">
            <v>Toronto</v>
          </cell>
          <cell r="P3166" t="str">
            <v>Toronto</v>
          </cell>
        </row>
        <row r="3167">
          <cell r="C3167" t="str">
            <v>4750 Christie</v>
          </cell>
          <cell r="D3167" t="str">
            <v>2356740 Ontario Inc.</v>
          </cell>
          <cell r="E3167" t="str">
            <v>CO</v>
          </cell>
          <cell r="F3167">
            <v>43186</v>
          </cell>
          <cell r="G3167">
            <v>43192</v>
          </cell>
          <cell r="H3167">
            <v>50490</v>
          </cell>
          <cell r="I3167" t="str">
            <v>19 years, 11 months, 24 days</v>
          </cell>
          <cell r="J3167" t="str">
            <v>Renewables</v>
          </cell>
          <cell r="K3167" t="str">
            <v>Solar (Rooftop)</v>
          </cell>
          <cell r="L3167" t="str">
            <v>Solar</v>
          </cell>
          <cell r="M3167" t="str">
            <v>Dx</v>
          </cell>
          <cell r="N3167" t="str">
            <v>Beamsville</v>
          </cell>
          <cell r="O3167" t="str">
            <v>Niagara</v>
          </cell>
          <cell r="P3167" t="str">
            <v>Niagara</v>
          </cell>
        </row>
        <row r="3168">
          <cell r="C3168" t="str">
            <v>601-DT-ANP053</v>
          </cell>
          <cell r="D3168" t="str">
            <v>2405402 Ontario Inc.</v>
          </cell>
          <cell r="E3168" t="str">
            <v>CO</v>
          </cell>
          <cell r="F3168">
            <v>43737</v>
          </cell>
          <cell r="G3168">
            <v>43697</v>
          </cell>
          <cell r="H3168">
            <v>51001</v>
          </cell>
          <cell r="I3168" t="str">
            <v>19 years, 11 months, 30 days</v>
          </cell>
          <cell r="J3168" t="str">
            <v>Renewables</v>
          </cell>
          <cell r="K3168" t="str">
            <v>Solar (Ground Mounted)</v>
          </cell>
          <cell r="L3168" t="str">
            <v>Solar</v>
          </cell>
          <cell r="M3168" t="str">
            <v>Dx</v>
          </cell>
          <cell r="N3168" t="str">
            <v>Kinburn</v>
          </cell>
          <cell r="O3168" t="str">
            <v>Ottawa</v>
          </cell>
          <cell r="P3168" t="str">
            <v>East</v>
          </cell>
        </row>
        <row r="3169">
          <cell r="C3169" t="str">
            <v>WATE016</v>
          </cell>
          <cell r="D3169" t="str">
            <v>SC&amp;G LP</v>
          </cell>
          <cell r="E3169" t="str">
            <v>CO</v>
          </cell>
          <cell r="F3169">
            <v>43204</v>
          </cell>
          <cell r="G3169">
            <v>43286</v>
          </cell>
          <cell r="H3169">
            <v>50508</v>
          </cell>
          <cell r="I3169" t="str">
            <v>19 years, 9 months, 8 days</v>
          </cell>
          <cell r="J3169" t="str">
            <v>Renewables</v>
          </cell>
          <cell r="K3169" t="str">
            <v>Solar (Rooftop)</v>
          </cell>
          <cell r="L3169" t="str">
            <v>Solar</v>
          </cell>
          <cell r="M3169" t="str">
            <v>Dx</v>
          </cell>
          <cell r="N3169" t="str">
            <v>Cambridge</v>
          </cell>
          <cell r="O3169" t="str">
            <v>Waterloo</v>
          </cell>
          <cell r="P3169" t="str">
            <v>Southwest</v>
          </cell>
        </row>
        <row r="3170">
          <cell r="C3170" t="str">
            <v>108 Thorold Rd</v>
          </cell>
          <cell r="D3170" t="str">
            <v>The Corporation of the City of Welland and Welland Hydro Energy Services Corp.</v>
          </cell>
          <cell r="E3170" t="str">
            <v>CO</v>
          </cell>
          <cell r="F3170">
            <v>43700</v>
          </cell>
          <cell r="G3170">
            <v>43242</v>
          </cell>
          <cell r="H3170">
            <v>50546</v>
          </cell>
          <cell r="I3170" t="str">
            <v>19 years, 11 months, 29 days</v>
          </cell>
          <cell r="J3170" t="str">
            <v>Renewables</v>
          </cell>
          <cell r="K3170" t="str">
            <v>Solar (Ground Mounted)</v>
          </cell>
          <cell r="L3170" t="str">
            <v>Solar</v>
          </cell>
          <cell r="M3170" t="str">
            <v>Dx</v>
          </cell>
          <cell r="N3170" t="str">
            <v>Welland</v>
          </cell>
          <cell r="O3170" t="str">
            <v>Niagara</v>
          </cell>
          <cell r="P3170" t="str">
            <v>Niagara</v>
          </cell>
        </row>
        <row r="3171">
          <cell r="C3171" t="str">
            <v>125 Harry walker</v>
          </cell>
          <cell r="D3171" t="str">
            <v>SIL-DOM HOLDINGS LTD.</v>
          </cell>
          <cell r="E3171" t="str">
            <v>CO</v>
          </cell>
          <cell r="F3171">
            <v>43147</v>
          </cell>
          <cell r="G3171">
            <v>43165</v>
          </cell>
          <cell r="H3171">
            <v>50451</v>
          </cell>
          <cell r="I3171" t="str">
            <v>19 years, 11 months, 9 days</v>
          </cell>
          <cell r="J3171" t="str">
            <v>Renewables</v>
          </cell>
          <cell r="K3171" t="str">
            <v>Solar (Rooftop)</v>
          </cell>
          <cell r="L3171" t="str">
            <v>Solar</v>
          </cell>
          <cell r="M3171" t="str">
            <v>Dx</v>
          </cell>
          <cell r="N3171" t="str">
            <v>Newmarket</v>
          </cell>
          <cell r="O3171" t="str">
            <v>York</v>
          </cell>
          <cell r="P3171" t="str">
            <v>Essa</v>
          </cell>
        </row>
        <row r="3172">
          <cell r="C3172" t="str">
            <v>3650 Eagle Street, Stevensville - Rooftop Solar</v>
          </cell>
          <cell r="D3172" t="str">
            <v>Appollo Union Limited Partnership I</v>
          </cell>
          <cell r="E3172" t="str">
            <v>CO</v>
          </cell>
          <cell r="F3172">
            <v>43147</v>
          </cell>
          <cell r="G3172">
            <v>43173</v>
          </cell>
          <cell r="H3172">
            <v>50451</v>
          </cell>
          <cell r="I3172" t="str">
            <v>19 years, 11 months, 1 days</v>
          </cell>
          <cell r="J3172" t="str">
            <v>Renewables</v>
          </cell>
          <cell r="K3172" t="str">
            <v>Solar (Rooftop)</v>
          </cell>
          <cell r="L3172" t="str">
            <v>Solar</v>
          </cell>
          <cell r="M3172" t="str">
            <v>Dx</v>
          </cell>
          <cell r="N3172" t="str">
            <v>Stevensville</v>
          </cell>
          <cell r="O3172" t="str">
            <v>Niagara</v>
          </cell>
          <cell r="P3172" t="str">
            <v>Niagara</v>
          </cell>
        </row>
        <row r="3173">
          <cell r="C3173" t="str">
            <v>John Dyck</v>
          </cell>
          <cell r="D3173" t="str">
            <v>Greater Niagara Renewable Energy Co-operative Inc.</v>
          </cell>
          <cell r="E3173" t="str">
            <v>CO</v>
          </cell>
          <cell r="F3173">
            <v>43174</v>
          </cell>
          <cell r="G3173">
            <v>43248</v>
          </cell>
          <cell r="H3173">
            <v>50478</v>
          </cell>
          <cell r="I3173" t="str">
            <v>19 years, 9 months, 14 days</v>
          </cell>
          <cell r="J3173" t="str">
            <v>Renewables</v>
          </cell>
          <cell r="K3173" t="str">
            <v>Solar (Rooftop)</v>
          </cell>
          <cell r="L3173" t="str">
            <v>Solar</v>
          </cell>
          <cell r="M3173" t="str">
            <v>Dx</v>
          </cell>
          <cell r="N3173" t="str">
            <v>Niagara-on-the-Lake</v>
          </cell>
          <cell r="O3173" t="str">
            <v>Niagara</v>
          </cell>
          <cell r="P3173" t="str">
            <v>Niagara</v>
          </cell>
        </row>
        <row r="3174">
          <cell r="C3174" t="str">
            <v>King Edward Junior and Senior Public School</v>
          </cell>
          <cell r="D3174" t="str">
            <v>Toronto District School Board</v>
          </cell>
          <cell r="E3174" t="str">
            <v>CO</v>
          </cell>
          <cell r="F3174">
            <v>43140</v>
          </cell>
          <cell r="G3174">
            <v>43319</v>
          </cell>
          <cell r="H3174">
            <v>50444</v>
          </cell>
          <cell r="I3174" t="str">
            <v>19 years, 6 months, 1 days</v>
          </cell>
          <cell r="J3174" t="str">
            <v>Renewables</v>
          </cell>
          <cell r="K3174" t="str">
            <v>Solar (Rooftop)</v>
          </cell>
          <cell r="L3174" t="str">
            <v>Solar</v>
          </cell>
          <cell r="M3174" t="str">
            <v>Dx</v>
          </cell>
          <cell r="N3174" t="str">
            <v>Toronto</v>
          </cell>
          <cell r="O3174" t="str">
            <v>Toronto</v>
          </cell>
          <cell r="P3174" t="str">
            <v>Toronto</v>
          </cell>
        </row>
        <row r="3175">
          <cell r="C3175" t="str">
            <v>8 Henegan Road - Rooftop Solar</v>
          </cell>
          <cell r="D3175" t="str">
            <v>Energy Services Niagara Inc.</v>
          </cell>
          <cell r="E3175" t="str">
            <v>CO</v>
          </cell>
          <cell r="F3175">
            <v>43149</v>
          </cell>
          <cell r="G3175">
            <v>43111</v>
          </cell>
          <cell r="H3175">
            <v>50415</v>
          </cell>
          <cell r="I3175" t="str">
            <v>19 years, 11 months, 30 days</v>
          </cell>
          <cell r="J3175" t="str">
            <v>Renewables</v>
          </cell>
          <cell r="K3175" t="str">
            <v>Solar (Rooftop)</v>
          </cell>
          <cell r="L3175" t="str">
            <v>Solar</v>
          </cell>
          <cell r="M3175" t="str">
            <v>Dx</v>
          </cell>
          <cell r="N3175" t="str">
            <v>Niagara-on-the-Lake</v>
          </cell>
          <cell r="O3175" t="str">
            <v>Niagara</v>
          </cell>
          <cell r="P3175" t="str">
            <v>Niagara</v>
          </cell>
        </row>
        <row r="3176">
          <cell r="C3176" t="str">
            <v>Scarborough Transfer Station</v>
          </cell>
          <cell r="D3176" t="str">
            <v>City of Toronto</v>
          </cell>
          <cell r="E3176" t="str">
            <v>CO</v>
          </cell>
          <cell r="F3176">
            <v>43154</v>
          </cell>
          <cell r="G3176">
            <v>43012</v>
          </cell>
          <cell r="H3176">
            <v>50316</v>
          </cell>
          <cell r="I3176" t="str">
            <v>19 years, 11 months, 29 days</v>
          </cell>
          <cell r="J3176" t="str">
            <v>Renewables</v>
          </cell>
          <cell r="K3176" t="str">
            <v>Solar (Rooftop)</v>
          </cell>
          <cell r="L3176" t="str">
            <v>Solar</v>
          </cell>
          <cell r="M3176" t="str">
            <v>Dx</v>
          </cell>
          <cell r="N3176" t="str">
            <v>Toronto</v>
          </cell>
          <cell r="O3176" t="str">
            <v>Toronto</v>
          </cell>
          <cell r="P3176" t="str">
            <v>Toronto</v>
          </cell>
        </row>
        <row r="3177">
          <cell r="C3177" t="str">
            <v>Sifton Solar 2b</v>
          </cell>
          <cell r="D3177" t="str">
            <v>Sifton Properties Limited</v>
          </cell>
          <cell r="E3177" t="str">
            <v>CO</v>
          </cell>
          <cell r="F3177">
            <v>43433</v>
          </cell>
          <cell r="G3177">
            <v>43328</v>
          </cell>
          <cell r="H3177">
            <v>50632</v>
          </cell>
          <cell r="I3177" t="str">
            <v>19 years, 11 months, 30 days</v>
          </cell>
          <cell r="J3177" t="str">
            <v>Renewables</v>
          </cell>
          <cell r="K3177" t="str">
            <v>Solar (Rooftop)</v>
          </cell>
          <cell r="L3177" t="str">
            <v>Solar</v>
          </cell>
          <cell r="M3177" t="str">
            <v>Dx</v>
          </cell>
          <cell r="N3177" t="str">
            <v>London</v>
          </cell>
          <cell r="O3177" t="str">
            <v>Middlesex</v>
          </cell>
          <cell r="P3177" t="str">
            <v>West</v>
          </cell>
        </row>
        <row r="3178">
          <cell r="C3178" t="str">
            <v>Cliffwood Public School</v>
          </cell>
          <cell r="D3178" t="str">
            <v>Toronto District School Board</v>
          </cell>
          <cell r="E3178" t="str">
            <v>CO</v>
          </cell>
          <cell r="F3178">
            <v>43135</v>
          </cell>
          <cell r="G3178">
            <v>43314</v>
          </cell>
          <cell r="H3178">
            <v>50439</v>
          </cell>
          <cell r="I3178" t="str">
            <v>19 years, 6 months, 1 days</v>
          </cell>
          <cell r="J3178" t="str">
            <v>Renewables</v>
          </cell>
          <cell r="K3178" t="str">
            <v>Solar (Rooftop)</v>
          </cell>
          <cell r="L3178" t="str">
            <v>Solar</v>
          </cell>
          <cell r="M3178" t="str">
            <v>Dx</v>
          </cell>
          <cell r="N3178" t="str">
            <v>Toronto</v>
          </cell>
          <cell r="O3178" t="str">
            <v>Toronto</v>
          </cell>
          <cell r="P3178" t="str">
            <v>Toronto</v>
          </cell>
        </row>
        <row r="3179">
          <cell r="C3179" t="str">
            <v>WATE021</v>
          </cell>
          <cell r="D3179" t="str">
            <v>SC&amp;G LP</v>
          </cell>
          <cell r="E3179" t="str">
            <v>CO</v>
          </cell>
          <cell r="F3179">
            <v>43179</v>
          </cell>
          <cell r="G3179">
            <v>43349</v>
          </cell>
          <cell r="H3179">
            <v>50483</v>
          </cell>
          <cell r="I3179" t="str">
            <v>19 years, 6 months, 13 days</v>
          </cell>
          <cell r="J3179" t="str">
            <v>Renewables</v>
          </cell>
          <cell r="K3179" t="str">
            <v>Solar (Rooftop)</v>
          </cell>
          <cell r="L3179" t="str">
            <v>Solar</v>
          </cell>
          <cell r="M3179" t="str">
            <v>Dx</v>
          </cell>
          <cell r="N3179" t="str">
            <v>New Hamburg</v>
          </cell>
          <cell r="O3179" t="str">
            <v>Waterloo</v>
          </cell>
          <cell r="P3179" t="str">
            <v>Southwest</v>
          </cell>
        </row>
        <row r="3180">
          <cell r="C3180" t="str">
            <v>WES 500 2015</v>
          </cell>
          <cell r="D3180" t="str">
            <v>1382839 Ontario Inc.</v>
          </cell>
          <cell r="E3180" t="str">
            <v>CO</v>
          </cell>
          <cell r="F3180">
            <v>43172</v>
          </cell>
          <cell r="G3180">
            <v>43298</v>
          </cell>
          <cell r="H3180">
            <v>50476</v>
          </cell>
          <cell r="I3180" t="str">
            <v>19 years, 7 months, 23 days</v>
          </cell>
          <cell r="J3180" t="str">
            <v>Renewables</v>
          </cell>
          <cell r="K3180" t="str">
            <v>Solar (Rooftop)</v>
          </cell>
          <cell r="L3180" t="str">
            <v>Solar</v>
          </cell>
          <cell r="M3180" t="str">
            <v>Dx</v>
          </cell>
          <cell r="N3180" t="str">
            <v>Toronto</v>
          </cell>
          <cell r="O3180" t="str">
            <v>Toronto</v>
          </cell>
          <cell r="P3180" t="str">
            <v>Toronto</v>
          </cell>
        </row>
        <row r="3181">
          <cell r="C3181" t="str">
            <v>Herbert Carnegie North York Centennial Centre</v>
          </cell>
          <cell r="D3181" t="str">
            <v>City of Toronto</v>
          </cell>
          <cell r="E3181" t="str">
            <v>CO</v>
          </cell>
          <cell r="F3181">
            <v>43133</v>
          </cell>
          <cell r="G3181">
            <v>43146</v>
          </cell>
          <cell r="H3181">
            <v>50437</v>
          </cell>
          <cell r="I3181" t="str">
            <v>19 years, 11 months, 17 days</v>
          </cell>
          <cell r="J3181" t="str">
            <v>Renewables</v>
          </cell>
          <cell r="K3181" t="str">
            <v>Solar (Rooftop)</v>
          </cell>
          <cell r="L3181" t="str">
            <v>Solar</v>
          </cell>
          <cell r="M3181" t="str">
            <v>Dx</v>
          </cell>
          <cell r="N3181" t="str">
            <v>Toronto</v>
          </cell>
          <cell r="O3181" t="str">
            <v>Toronto</v>
          </cell>
          <cell r="P3181" t="str">
            <v>Toronto</v>
          </cell>
        </row>
        <row r="3182">
          <cell r="C3182" t="str">
            <v>Autoline Toyota</v>
          </cell>
          <cell r="D3182" t="str">
            <v>1609652 Ontario Limited</v>
          </cell>
          <cell r="E3182" t="str">
            <v>CO</v>
          </cell>
          <cell r="F3182">
            <v>43174</v>
          </cell>
          <cell r="G3182">
            <v>43350</v>
          </cell>
          <cell r="H3182">
            <v>50478</v>
          </cell>
          <cell r="I3182" t="str">
            <v>19 years, 6 months, 7 days</v>
          </cell>
          <cell r="J3182" t="str">
            <v>Renewables</v>
          </cell>
          <cell r="K3182" t="str">
            <v>Solar (Rooftop)</v>
          </cell>
          <cell r="L3182" t="str">
            <v>Solar</v>
          </cell>
          <cell r="M3182" t="str">
            <v>Dx</v>
          </cell>
          <cell r="N3182" t="str">
            <v>Niagara Falls</v>
          </cell>
          <cell r="O3182" t="str">
            <v>Niagara</v>
          </cell>
          <cell r="P3182" t="str">
            <v>Niagara</v>
          </cell>
        </row>
        <row r="3183">
          <cell r="C3183" t="str">
            <v>Bretzler 2015</v>
          </cell>
          <cell r="D3183" t="str">
            <v>BRETZLER FARMS LTD.</v>
          </cell>
          <cell r="E3183" t="str">
            <v>CO</v>
          </cell>
          <cell r="F3183">
            <v>43728</v>
          </cell>
          <cell r="G3183">
            <v>43525</v>
          </cell>
          <cell r="H3183">
            <v>50829</v>
          </cell>
          <cell r="I3183" t="str">
            <v>19 years, 11 months, 27 days</v>
          </cell>
          <cell r="J3183" t="str">
            <v>Renewables</v>
          </cell>
          <cell r="K3183" t="str">
            <v>Bioenergy</v>
          </cell>
          <cell r="L3183" t="str">
            <v>Biogas (On-Farm)</v>
          </cell>
          <cell r="M3183" t="str">
            <v>Dx</v>
          </cell>
          <cell r="N3183" t="str">
            <v>Crysler</v>
          </cell>
          <cell r="O3183" t="str">
            <v>Stormont, Dundas and Glengarry</v>
          </cell>
          <cell r="P3183" t="str">
            <v>East</v>
          </cell>
        </row>
        <row r="3184">
          <cell r="C3184" t="str">
            <v>1 York Street</v>
          </cell>
          <cell r="D3184" t="str">
            <v>One York Street Inc.</v>
          </cell>
          <cell r="E3184" t="str">
            <v>CO</v>
          </cell>
          <cell r="F3184">
            <v>43356</v>
          </cell>
          <cell r="G3184">
            <v>42773</v>
          </cell>
          <cell r="H3184">
            <v>50077</v>
          </cell>
          <cell r="I3184" t="str">
            <v>19 years, 11 months, 30 days</v>
          </cell>
          <cell r="J3184" t="str">
            <v>Renewables</v>
          </cell>
          <cell r="K3184" t="str">
            <v>Solar (Rooftop)</v>
          </cell>
          <cell r="L3184" t="str">
            <v>Solar</v>
          </cell>
          <cell r="M3184" t="str">
            <v>Dx</v>
          </cell>
          <cell r="N3184" t="str">
            <v>Toronto</v>
          </cell>
          <cell r="O3184" t="str">
            <v>Toronto</v>
          </cell>
          <cell r="P3184" t="str">
            <v>Toronto</v>
          </cell>
        </row>
        <row r="3185">
          <cell r="C3185" t="str">
            <v>4758 Christie</v>
          </cell>
          <cell r="D3185" t="str">
            <v>2356740 Ontario Inc.</v>
          </cell>
          <cell r="E3185" t="str">
            <v>CO</v>
          </cell>
          <cell r="F3185">
            <v>43181</v>
          </cell>
          <cell r="G3185">
            <v>43207</v>
          </cell>
          <cell r="H3185">
            <v>50485</v>
          </cell>
          <cell r="I3185" t="str">
            <v>19 years, 11 months, 4 days</v>
          </cell>
          <cell r="J3185" t="str">
            <v>Renewables</v>
          </cell>
          <cell r="K3185" t="str">
            <v>Solar (Rooftop)</v>
          </cell>
          <cell r="L3185" t="str">
            <v>Solar</v>
          </cell>
          <cell r="M3185" t="str">
            <v>Dx</v>
          </cell>
          <cell r="N3185" t="str">
            <v>Beamsville</v>
          </cell>
          <cell r="O3185" t="str">
            <v>Niagara</v>
          </cell>
          <cell r="P3185" t="str">
            <v>Niagara</v>
          </cell>
        </row>
        <row r="3186">
          <cell r="C3186" t="str">
            <v>Agincourt Collegiate Institute</v>
          </cell>
          <cell r="D3186" t="str">
            <v>Toronto District School Board</v>
          </cell>
          <cell r="E3186" t="str">
            <v>CO</v>
          </cell>
          <cell r="F3186">
            <v>43133</v>
          </cell>
          <cell r="G3186">
            <v>43314</v>
          </cell>
          <cell r="H3186">
            <v>50437</v>
          </cell>
          <cell r="I3186" t="str">
            <v>19 years, 5 months, 30 days</v>
          </cell>
          <cell r="J3186" t="str">
            <v>Renewables</v>
          </cell>
          <cell r="K3186" t="str">
            <v>Solar (Rooftop)</v>
          </cell>
          <cell r="L3186" t="str">
            <v>Solar</v>
          </cell>
          <cell r="M3186" t="str">
            <v>Dx</v>
          </cell>
          <cell r="N3186" t="str">
            <v>Toronto</v>
          </cell>
          <cell r="O3186" t="str">
            <v>Toronto</v>
          </cell>
          <cell r="P3186" t="str">
            <v>Toronto</v>
          </cell>
        </row>
        <row r="3187">
          <cell r="C3187" t="str">
            <v>Blacksmith Public School</v>
          </cell>
          <cell r="D3187" t="str">
            <v>Toronto District School Board</v>
          </cell>
          <cell r="E3187" t="str">
            <v>CO</v>
          </cell>
          <cell r="F3187">
            <v>43140</v>
          </cell>
          <cell r="G3187">
            <v>43270</v>
          </cell>
          <cell r="H3187">
            <v>50444</v>
          </cell>
          <cell r="I3187" t="str">
            <v>19 years, 7 months, 20 days</v>
          </cell>
          <cell r="J3187" t="str">
            <v>Renewables</v>
          </cell>
          <cell r="K3187" t="str">
            <v>Solar (Rooftop)</v>
          </cell>
          <cell r="L3187" t="str">
            <v>Solar</v>
          </cell>
          <cell r="M3187" t="str">
            <v>Dx</v>
          </cell>
          <cell r="N3187" t="str">
            <v>Toronto</v>
          </cell>
          <cell r="O3187" t="str">
            <v>Toronto</v>
          </cell>
          <cell r="P3187" t="str">
            <v>Toronto</v>
          </cell>
        </row>
        <row r="3188">
          <cell r="C3188" t="str">
            <v>Albion Library</v>
          </cell>
          <cell r="D3188" t="str">
            <v>City of Toronto</v>
          </cell>
          <cell r="E3188" t="str">
            <v>CO</v>
          </cell>
          <cell r="F3188">
            <v>43377</v>
          </cell>
          <cell r="G3188">
            <v>43257</v>
          </cell>
          <cell r="H3188">
            <v>50561</v>
          </cell>
          <cell r="I3188" t="str">
            <v>19 years, 11 months, 30 days</v>
          </cell>
          <cell r="J3188" t="str">
            <v>Renewables</v>
          </cell>
          <cell r="K3188" t="str">
            <v>Solar (Rooftop)</v>
          </cell>
          <cell r="L3188" t="str">
            <v>Solar</v>
          </cell>
          <cell r="M3188" t="str">
            <v>Dx</v>
          </cell>
          <cell r="N3188" t="str">
            <v>Toronto</v>
          </cell>
          <cell r="O3188" t="str">
            <v>Toronto</v>
          </cell>
          <cell r="P3188" t="str">
            <v>Toronto</v>
          </cell>
        </row>
        <row r="3189">
          <cell r="C3189" t="str">
            <v>Jackson Trails</v>
          </cell>
          <cell r="D3189" t="str">
            <v>Capital Region Renewable Energy Co-operative Corporation</v>
          </cell>
          <cell r="E3189" t="str">
            <v>CO</v>
          </cell>
          <cell r="F3189">
            <v>43165</v>
          </cell>
          <cell r="G3189">
            <v>43180</v>
          </cell>
          <cell r="H3189">
            <v>50469</v>
          </cell>
          <cell r="I3189" t="str">
            <v>19 years, 11 months, 12 days</v>
          </cell>
          <cell r="J3189" t="str">
            <v>Renewables</v>
          </cell>
          <cell r="K3189" t="str">
            <v>Solar (Rooftop)</v>
          </cell>
          <cell r="L3189" t="str">
            <v>Solar</v>
          </cell>
          <cell r="M3189" t="str">
            <v>Dx</v>
          </cell>
          <cell r="N3189" t="str">
            <v>Ottawa</v>
          </cell>
          <cell r="O3189" t="str">
            <v>Ottawa</v>
          </cell>
          <cell r="P3189" t="str">
            <v>Ottawa</v>
          </cell>
        </row>
        <row r="3190">
          <cell r="C3190" t="str">
            <v>IKEA Burlington</v>
          </cell>
          <cell r="D3190" t="str">
            <v>IKEA Properties Ltd.</v>
          </cell>
          <cell r="E3190" t="str">
            <v>CO</v>
          </cell>
          <cell r="F3190">
            <v>43159</v>
          </cell>
          <cell r="G3190">
            <v>43159</v>
          </cell>
          <cell r="H3190">
            <v>50463</v>
          </cell>
          <cell r="I3190" t="str">
            <v>19 years, 11 months, 30 days</v>
          </cell>
          <cell r="J3190" t="str">
            <v>Renewables</v>
          </cell>
          <cell r="K3190" t="str">
            <v>Solar (Rooftop)</v>
          </cell>
          <cell r="L3190" t="str">
            <v>Solar</v>
          </cell>
          <cell r="M3190" t="str">
            <v>Dx</v>
          </cell>
          <cell r="N3190" t="str">
            <v>Burlington</v>
          </cell>
          <cell r="O3190" t="str">
            <v>Halton</v>
          </cell>
          <cell r="P3190" t="str">
            <v>Southwest</v>
          </cell>
        </row>
        <row r="3191">
          <cell r="C3191" t="str">
            <v>WATE017</v>
          </cell>
          <cell r="D3191" t="str">
            <v>SC&amp;G LP</v>
          </cell>
          <cell r="E3191" t="str">
            <v>CO</v>
          </cell>
          <cell r="F3191">
            <v>43204</v>
          </cell>
          <cell r="G3191">
            <v>43327</v>
          </cell>
          <cell r="H3191">
            <v>50508</v>
          </cell>
          <cell r="I3191" t="str">
            <v>19 years, 7 months, 29 days</v>
          </cell>
          <cell r="J3191" t="str">
            <v>Renewables</v>
          </cell>
          <cell r="K3191" t="str">
            <v>Solar (Rooftop)</v>
          </cell>
          <cell r="L3191" t="str">
            <v>Solar</v>
          </cell>
          <cell r="M3191" t="str">
            <v>Dx</v>
          </cell>
          <cell r="N3191" t="str">
            <v>Cambridge</v>
          </cell>
          <cell r="O3191" t="str">
            <v>Waterloo</v>
          </cell>
          <cell r="P3191" t="str">
            <v>Southwest</v>
          </cell>
        </row>
        <row r="3192">
          <cell r="C3192" t="str">
            <v>Stan Wadlow Park - East York Memorial Arena</v>
          </cell>
          <cell r="D3192" t="str">
            <v>City of Toronto</v>
          </cell>
          <cell r="E3192" t="str">
            <v>CO</v>
          </cell>
          <cell r="F3192">
            <v>43133</v>
          </cell>
          <cell r="G3192">
            <v>43129</v>
          </cell>
          <cell r="H3192">
            <v>50433</v>
          </cell>
          <cell r="I3192" t="str">
            <v>19 years, 11 months, 30 days</v>
          </cell>
          <cell r="J3192" t="str">
            <v>Renewables</v>
          </cell>
          <cell r="K3192" t="str">
            <v>Solar (Rooftop)</v>
          </cell>
          <cell r="L3192" t="str">
            <v>Solar</v>
          </cell>
          <cell r="M3192" t="str">
            <v>Dx</v>
          </cell>
          <cell r="N3192" t="str">
            <v>Toronto</v>
          </cell>
          <cell r="O3192" t="str">
            <v>Toronto</v>
          </cell>
          <cell r="P3192" t="str">
            <v>Toronto</v>
          </cell>
        </row>
        <row r="3193">
          <cell r="C3193" t="str">
            <v>Toronto Police Services Training Facility &amp; D22 Su</v>
          </cell>
          <cell r="D3193" t="str">
            <v>City of Toronto</v>
          </cell>
          <cell r="E3193" t="str">
            <v>CO</v>
          </cell>
          <cell r="F3193">
            <v>43133</v>
          </cell>
          <cell r="G3193">
            <v>43000</v>
          </cell>
          <cell r="H3193">
            <v>50304</v>
          </cell>
          <cell r="I3193" t="str">
            <v>19 years, 11 months, 30 days</v>
          </cell>
          <cell r="J3193" t="str">
            <v>Renewables</v>
          </cell>
          <cell r="K3193" t="str">
            <v>Solar (Rooftop)</v>
          </cell>
          <cell r="L3193" t="str">
            <v>Solar</v>
          </cell>
          <cell r="M3193" t="str">
            <v>Dx</v>
          </cell>
          <cell r="N3193" t="str">
            <v>Toronto</v>
          </cell>
          <cell r="O3193" t="str">
            <v>Toronto</v>
          </cell>
          <cell r="P3193" t="str">
            <v>Toronto</v>
          </cell>
        </row>
        <row r="3194">
          <cell r="C3194" t="str">
            <v>Alexander Stirling Public school</v>
          </cell>
          <cell r="D3194" t="str">
            <v>Toronto District School Board</v>
          </cell>
          <cell r="E3194" t="str">
            <v>CO</v>
          </cell>
          <cell r="F3194">
            <v>43135</v>
          </cell>
          <cell r="G3194">
            <v>43315</v>
          </cell>
          <cell r="H3194">
            <v>50439</v>
          </cell>
          <cell r="I3194" t="str">
            <v>19 years, 6 months, 0 days</v>
          </cell>
          <cell r="J3194" t="str">
            <v>Renewables</v>
          </cell>
          <cell r="K3194" t="str">
            <v>Solar (Rooftop)</v>
          </cell>
          <cell r="L3194" t="str">
            <v>Solar</v>
          </cell>
          <cell r="M3194" t="str">
            <v>Dx</v>
          </cell>
          <cell r="N3194" t="str">
            <v>Toronto</v>
          </cell>
          <cell r="O3194" t="str">
            <v>Toronto</v>
          </cell>
          <cell r="P3194" t="str">
            <v>Toronto</v>
          </cell>
        </row>
        <row r="3195">
          <cell r="C3195" t="str">
            <v>R H King Academy</v>
          </cell>
          <cell r="D3195" t="str">
            <v>Toronto District School Board</v>
          </cell>
          <cell r="E3195" t="str">
            <v>CO</v>
          </cell>
          <cell r="F3195">
            <v>43194</v>
          </cell>
          <cell r="G3195">
            <v>43367</v>
          </cell>
          <cell r="H3195">
            <v>50498</v>
          </cell>
          <cell r="I3195" t="str">
            <v>19 years, 6 months, 10 days</v>
          </cell>
          <cell r="J3195" t="str">
            <v>Renewables</v>
          </cell>
          <cell r="K3195" t="str">
            <v>Solar (Rooftop)</v>
          </cell>
          <cell r="L3195" t="str">
            <v>Solar</v>
          </cell>
          <cell r="M3195" t="str">
            <v>Dx</v>
          </cell>
          <cell r="N3195" t="str">
            <v>Toronto</v>
          </cell>
          <cell r="O3195" t="str">
            <v>Toronto</v>
          </cell>
          <cell r="P3195" t="str">
            <v>Toronto</v>
          </cell>
        </row>
        <row r="3196">
          <cell r="C3196" t="str">
            <v>Vradenburg Junior Public School</v>
          </cell>
          <cell r="D3196" t="str">
            <v>Toronto District School Board</v>
          </cell>
          <cell r="E3196" t="str">
            <v>CO</v>
          </cell>
          <cell r="F3196">
            <v>43135</v>
          </cell>
          <cell r="G3196">
            <v>43319</v>
          </cell>
          <cell r="H3196">
            <v>50439</v>
          </cell>
          <cell r="I3196" t="str">
            <v>19 years, 5 months, 27 days</v>
          </cell>
          <cell r="J3196" t="str">
            <v>Renewables</v>
          </cell>
          <cell r="K3196" t="str">
            <v>Solar (Rooftop)</v>
          </cell>
          <cell r="L3196" t="str">
            <v>Solar</v>
          </cell>
          <cell r="M3196" t="str">
            <v>Dx</v>
          </cell>
          <cell r="N3196" t="str">
            <v>Toronto</v>
          </cell>
          <cell r="O3196" t="str">
            <v>Toronto</v>
          </cell>
          <cell r="P3196" t="str">
            <v>Toronto</v>
          </cell>
        </row>
        <row r="3197">
          <cell r="C3197" t="str">
            <v>SIMC053</v>
          </cell>
          <cell r="D3197" t="str">
            <v>42 Commerce Park Inc.</v>
          </cell>
          <cell r="E3197" t="str">
            <v>CO</v>
          </cell>
          <cell r="F3197">
            <v>43172</v>
          </cell>
          <cell r="G3197">
            <v>43350</v>
          </cell>
          <cell r="H3197">
            <v>50476</v>
          </cell>
          <cell r="I3197" t="str">
            <v>19 years, 6 months, 5 days</v>
          </cell>
          <cell r="J3197" t="str">
            <v>Renewables</v>
          </cell>
          <cell r="K3197" t="str">
            <v>Solar (Rooftop)</v>
          </cell>
          <cell r="L3197" t="str">
            <v>Solar</v>
          </cell>
          <cell r="M3197" t="str">
            <v>Dx</v>
          </cell>
          <cell r="N3197" t="str">
            <v>Barrie</v>
          </cell>
          <cell r="O3197" t="str">
            <v>Simcoe</v>
          </cell>
          <cell r="P3197" t="str">
            <v>Essa</v>
          </cell>
        </row>
        <row r="3198">
          <cell r="C3198" t="str">
            <v>Albion Community Centre &amp; Pool &amp; Fit Centre</v>
          </cell>
          <cell r="D3198" t="str">
            <v>City of Toronto</v>
          </cell>
          <cell r="E3198" t="str">
            <v>CO</v>
          </cell>
          <cell r="F3198">
            <v>43133</v>
          </cell>
          <cell r="G3198">
            <v>43066</v>
          </cell>
          <cell r="H3198">
            <v>50370</v>
          </cell>
          <cell r="I3198" t="str">
            <v>19 years, 11 months, 30 days</v>
          </cell>
          <cell r="J3198" t="str">
            <v>Renewables</v>
          </cell>
          <cell r="K3198" t="str">
            <v>Solar (Rooftop)</v>
          </cell>
          <cell r="L3198" t="str">
            <v>Solar</v>
          </cell>
          <cell r="M3198" t="str">
            <v>Dx</v>
          </cell>
          <cell r="N3198" t="str">
            <v>Toronto</v>
          </cell>
          <cell r="O3198" t="str">
            <v>Toronto</v>
          </cell>
          <cell r="P3198" t="str">
            <v>Toronto</v>
          </cell>
        </row>
        <row r="3199">
          <cell r="C3199" t="str">
            <v>Greenholm Power 2</v>
          </cell>
          <cell r="D3199" t="str">
            <v>Greenholm Power Limited</v>
          </cell>
          <cell r="E3199" t="str">
            <v>CO</v>
          </cell>
          <cell r="F3199">
            <v>43695</v>
          </cell>
          <cell r="G3199">
            <v>43313</v>
          </cell>
          <cell r="H3199">
            <v>50617</v>
          </cell>
          <cell r="I3199" t="str">
            <v>19 years, 11 months, 30 days</v>
          </cell>
          <cell r="J3199" t="str">
            <v>Renewables</v>
          </cell>
          <cell r="K3199" t="str">
            <v>Bioenergy</v>
          </cell>
          <cell r="L3199" t="str">
            <v>Biogas (On-Farm)</v>
          </cell>
          <cell r="M3199" t="str">
            <v>Dx</v>
          </cell>
          <cell r="N3199" t="str">
            <v>Embro</v>
          </cell>
          <cell r="O3199" t="str">
            <v>Oxford</v>
          </cell>
          <cell r="P3199" t="str">
            <v>Southwest</v>
          </cell>
        </row>
        <row r="3200">
          <cell r="C3200" t="str">
            <v>Cassie Campbell Rec Centre Rooftop Solar (PV)</v>
          </cell>
          <cell r="D3200" t="str">
            <v>The Corporation of the City of Brampton</v>
          </cell>
          <cell r="E3200" t="str">
            <v>CO</v>
          </cell>
          <cell r="F3200">
            <v>43156</v>
          </cell>
          <cell r="G3200">
            <v>43333</v>
          </cell>
          <cell r="H3200">
            <v>50460</v>
          </cell>
          <cell r="I3200" t="str">
            <v>19 years, 6 months, 3 days</v>
          </cell>
          <cell r="J3200" t="str">
            <v>Renewables</v>
          </cell>
          <cell r="K3200" t="str">
            <v>Solar (Rooftop)</v>
          </cell>
          <cell r="L3200" t="str">
            <v>Solar</v>
          </cell>
          <cell r="M3200" t="str">
            <v>Dx</v>
          </cell>
          <cell r="N3200" t="str">
            <v>Brampton</v>
          </cell>
          <cell r="O3200" t="str">
            <v>Peel</v>
          </cell>
          <cell r="P3200" t="str">
            <v>Toronto</v>
          </cell>
        </row>
        <row r="3201">
          <cell r="C3201" t="str">
            <v>Braeburn Junior School</v>
          </cell>
          <cell r="D3201" t="str">
            <v>Toronto District School Board</v>
          </cell>
          <cell r="E3201" t="str">
            <v>CO</v>
          </cell>
          <cell r="F3201">
            <v>43194</v>
          </cell>
          <cell r="G3201">
            <v>43368</v>
          </cell>
          <cell r="H3201">
            <v>50498</v>
          </cell>
          <cell r="I3201" t="str">
            <v>19 years, 6 months, 9 days</v>
          </cell>
          <cell r="J3201" t="str">
            <v>Renewables</v>
          </cell>
          <cell r="K3201" t="str">
            <v>Solar (Rooftop)</v>
          </cell>
          <cell r="L3201" t="str">
            <v>Solar</v>
          </cell>
          <cell r="M3201" t="str">
            <v>Dx</v>
          </cell>
          <cell r="N3201" t="str">
            <v>Toronto</v>
          </cell>
          <cell r="O3201" t="str">
            <v>Toronto</v>
          </cell>
          <cell r="P3201" t="str">
            <v>Toronto</v>
          </cell>
        </row>
        <row r="3202">
          <cell r="C3202" t="str">
            <v>2794 Fenton</v>
          </cell>
          <cell r="D3202" t="str">
            <v>Ottawa Renewable Energy Co-operative Inc.</v>
          </cell>
          <cell r="E3202" t="str">
            <v>CO</v>
          </cell>
          <cell r="F3202">
            <v>43174</v>
          </cell>
          <cell r="G3202">
            <v>42916</v>
          </cell>
          <cell r="H3202">
            <v>50220</v>
          </cell>
          <cell r="I3202" t="str">
            <v>19 years, 11 months, 30 days</v>
          </cell>
          <cell r="J3202" t="str">
            <v>Renewables</v>
          </cell>
          <cell r="K3202" t="str">
            <v>Solar (Rooftop)</v>
          </cell>
          <cell r="L3202" t="str">
            <v>Solar</v>
          </cell>
          <cell r="M3202" t="str">
            <v>Dx</v>
          </cell>
          <cell r="N3202" t="str">
            <v>Ottawa</v>
          </cell>
          <cell r="O3202" t="str">
            <v>Ottawa</v>
          </cell>
          <cell r="P3202" t="str">
            <v>Ottawa</v>
          </cell>
        </row>
        <row r="3203">
          <cell r="C3203" t="str">
            <v>Trigon</v>
          </cell>
          <cell r="D3203" t="str">
            <v>Oxford Community Solar One LP</v>
          </cell>
          <cell r="E3203" t="str">
            <v>CO</v>
          </cell>
          <cell r="F3203">
            <v>43186</v>
          </cell>
          <cell r="G3203">
            <v>43301</v>
          </cell>
          <cell r="H3203">
            <v>50490</v>
          </cell>
          <cell r="I3203" t="str">
            <v>19 years, 8 months, 6 days</v>
          </cell>
          <cell r="J3203" t="str">
            <v>Renewables</v>
          </cell>
          <cell r="K3203" t="str">
            <v>Solar (Rooftop)</v>
          </cell>
          <cell r="L3203" t="str">
            <v>Solar</v>
          </cell>
          <cell r="M3203" t="str">
            <v>Dx</v>
          </cell>
          <cell r="N3203" t="str">
            <v>Woodstock</v>
          </cell>
          <cell r="O3203" t="str">
            <v>Oxford</v>
          </cell>
          <cell r="P3203" t="str">
            <v>Southwest</v>
          </cell>
        </row>
        <row r="3204">
          <cell r="C3204" t="str">
            <v>Joseph Brant Senior Public School</v>
          </cell>
          <cell r="D3204" t="str">
            <v>Toronto District School Board</v>
          </cell>
          <cell r="E3204" t="str">
            <v>CO</v>
          </cell>
          <cell r="F3204">
            <v>43140</v>
          </cell>
          <cell r="G3204">
            <v>43321</v>
          </cell>
          <cell r="H3204">
            <v>50444</v>
          </cell>
          <cell r="I3204" t="str">
            <v>19 years, 5 months, 30 days</v>
          </cell>
          <cell r="J3204" t="str">
            <v>Renewables</v>
          </cell>
          <cell r="K3204" t="str">
            <v>Solar (Rooftop)</v>
          </cell>
          <cell r="L3204" t="str">
            <v>Solar</v>
          </cell>
          <cell r="M3204" t="str">
            <v>Dx</v>
          </cell>
          <cell r="N3204" t="str">
            <v>Toronto</v>
          </cell>
          <cell r="O3204" t="str">
            <v>Toronto</v>
          </cell>
          <cell r="P3204" t="str">
            <v>Toronto</v>
          </cell>
        </row>
        <row r="3205">
          <cell r="C3205" t="str">
            <v>GREENBANK STORAGE SOLAR</v>
          </cell>
          <cell r="D3205" t="str">
            <v>Dymon Storage (Ottawa) Corporation</v>
          </cell>
          <cell r="E3205" t="str">
            <v>CO</v>
          </cell>
          <cell r="F3205">
            <v>43377</v>
          </cell>
          <cell r="G3205">
            <v>43377</v>
          </cell>
          <cell r="H3205">
            <v>50681</v>
          </cell>
          <cell r="I3205" t="str">
            <v>19 years, 11 months, 29 days</v>
          </cell>
          <cell r="J3205" t="str">
            <v>Renewables</v>
          </cell>
          <cell r="K3205" t="str">
            <v>Solar (Rooftop)</v>
          </cell>
          <cell r="L3205" t="str">
            <v>Solar</v>
          </cell>
          <cell r="M3205" t="str">
            <v>Dx</v>
          </cell>
          <cell r="N3205" t="str">
            <v>Ottawa</v>
          </cell>
          <cell r="O3205" t="str">
            <v>Ottawa</v>
          </cell>
          <cell r="P3205" t="str">
            <v>Ottawa</v>
          </cell>
        </row>
        <row r="3206">
          <cell r="C3206" t="str">
            <v>5 - SPN366</v>
          </cell>
          <cell r="D3206" t="str">
            <v>SPN LP 10</v>
          </cell>
          <cell r="E3206" t="str">
            <v>CO</v>
          </cell>
          <cell r="F3206">
            <v>43181</v>
          </cell>
          <cell r="G3206">
            <v>43362</v>
          </cell>
          <cell r="H3206">
            <v>50485</v>
          </cell>
          <cell r="I3206" t="str">
            <v>19 years, 6 months, 2 days</v>
          </cell>
          <cell r="J3206" t="str">
            <v>Renewables</v>
          </cell>
          <cell r="K3206" t="str">
            <v>Solar (Rooftop)</v>
          </cell>
          <cell r="L3206" t="str">
            <v>Solar</v>
          </cell>
          <cell r="M3206" t="str">
            <v>Dx</v>
          </cell>
          <cell r="N3206" t="str">
            <v>Brantford</v>
          </cell>
          <cell r="O3206" t="str">
            <v>Brant</v>
          </cell>
          <cell r="P3206" t="str">
            <v>Southwest</v>
          </cell>
        </row>
        <row r="3207">
          <cell r="C3207" t="str">
            <v>3332 Harvester</v>
          </cell>
          <cell r="D3207" t="str">
            <v>Impetus Solar LP</v>
          </cell>
          <cell r="E3207" t="str">
            <v>CO</v>
          </cell>
          <cell r="F3207">
            <v>43133</v>
          </cell>
          <cell r="G3207">
            <v>43287</v>
          </cell>
          <cell r="H3207">
            <v>50437</v>
          </cell>
          <cell r="I3207" t="str">
            <v>19 years, 6 months, 26 days</v>
          </cell>
          <cell r="J3207" t="str">
            <v>Renewables</v>
          </cell>
          <cell r="K3207" t="str">
            <v>Solar (Rooftop)</v>
          </cell>
          <cell r="L3207" t="str">
            <v>Solar</v>
          </cell>
          <cell r="M3207" t="str">
            <v>Dx</v>
          </cell>
          <cell r="N3207" t="str">
            <v>Burlington</v>
          </cell>
          <cell r="O3207" t="str">
            <v>Halton</v>
          </cell>
          <cell r="P3207" t="str">
            <v>Southwest</v>
          </cell>
        </row>
        <row r="3208">
          <cell r="C3208" t="str">
            <v>Warden Hilltop Community Centre</v>
          </cell>
          <cell r="D3208" t="str">
            <v>City of Toronto</v>
          </cell>
          <cell r="E3208" t="str">
            <v>CO</v>
          </cell>
          <cell r="F3208">
            <v>43133</v>
          </cell>
          <cell r="G3208">
            <v>42975</v>
          </cell>
          <cell r="H3208">
            <v>50279</v>
          </cell>
          <cell r="I3208" t="str">
            <v>19 years, 11 months, 30 days</v>
          </cell>
          <cell r="J3208" t="str">
            <v>Renewables</v>
          </cell>
          <cell r="K3208" t="str">
            <v>Solar (Rooftop)</v>
          </cell>
          <cell r="L3208" t="str">
            <v>Solar</v>
          </cell>
          <cell r="M3208" t="str">
            <v>Dx</v>
          </cell>
          <cell r="N3208" t="str">
            <v>Toronto</v>
          </cell>
          <cell r="O3208" t="str">
            <v>Toronto</v>
          </cell>
          <cell r="P3208" t="str">
            <v>Toronto</v>
          </cell>
        </row>
        <row r="3209">
          <cell r="C3209" t="str">
            <v>Albert Campbell Collegiate Institute</v>
          </cell>
          <cell r="D3209" t="str">
            <v>Toronto District School Board</v>
          </cell>
          <cell r="E3209" t="str">
            <v>CO</v>
          </cell>
          <cell r="F3209">
            <v>43135</v>
          </cell>
          <cell r="G3209">
            <v>43315</v>
          </cell>
          <cell r="H3209">
            <v>50439</v>
          </cell>
          <cell r="I3209" t="str">
            <v>19 years, 6 months, 0 days</v>
          </cell>
          <cell r="J3209" t="str">
            <v>Renewables</v>
          </cell>
          <cell r="K3209" t="str">
            <v>Solar (Rooftop)</v>
          </cell>
          <cell r="L3209" t="str">
            <v>Solar</v>
          </cell>
          <cell r="M3209" t="str">
            <v>Dx</v>
          </cell>
          <cell r="N3209" t="str">
            <v>Toronto</v>
          </cell>
          <cell r="O3209" t="str">
            <v>Toronto</v>
          </cell>
          <cell r="P3209" t="str">
            <v>Toronto</v>
          </cell>
        </row>
        <row r="3210">
          <cell r="C3210" t="str">
            <v>Cifford Arena</v>
          </cell>
          <cell r="D3210" t="str">
            <v>The Corporation of the Town of Minto</v>
          </cell>
          <cell r="E3210" t="str">
            <v>CO</v>
          </cell>
          <cell r="F3210">
            <v>43159</v>
          </cell>
          <cell r="G3210">
            <v>43091</v>
          </cell>
          <cell r="H3210">
            <v>50395</v>
          </cell>
          <cell r="I3210" t="str">
            <v>19 years, 11 months, 29 days</v>
          </cell>
          <cell r="J3210" t="str">
            <v>Renewables</v>
          </cell>
          <cell r="K3210" t="str">
            <v>Solar (Rooftop)</v>
          </cell>
          <cell r="L3210" t="str">
            <v>Solar</v>
          </cell>
          <cell r="M3210" t="str">
            <v>Dx</v>
          </cell>
          <cell r="N3210" t="str">
            <v>Clifford</v>
          </cell>
          <cell r="O3210" t="str">
            <v>Huron</v>
          </cell>
          <cell r="P3210" t="str">
            <v>Southwest</v>
          </cell>
        </row>
        <row r="3211">
          <cell r="C3211" t="str">
            <v>Walkley Storage Solar</v>
          </cell>
          <cell r="D3211" t="str">
            <v>Dymon Storage (Ottawa) Corporation</v>
          </cell>
          <cell r="E3211" t="str">
            <v>CO</v>
          </cell>
          <cell r="F3211">
            <v>43142</v>
          </cell>
          <cell r="G3211">
            <v>43308</v>
          </cell>
          <cell r="H3211">
            <v>50446</v>
          </cell>
          <cell r="I3211" t="str">
            <v>19 years, 6 months, 14 days</v>
          </cell>
          <cell r="J3211" t="str">
            <v>Renewables</v>
          </cell>
          <cell r="K3211" t="str">
            <v>Solar (Rooftop)</v>
          </cell>
          <cell r="L3211" t="str">
            <v>Solar</v>
          </cell>
          <cell r="M3211" t="str">
            <v>Dx</v>
          </cell>
          <cell r="N3211" t="str">
            <v>Ottawa</v>
          </cell>
          <cell r="O3211" t="str">
            <v>Ottawa</v>
          </cell>
          <cell r="P3211" t="str">
            <v>Ottawa</v>
          </cell>
        </row>
        <row r="3212">
          <cell r="C3212" t="str">
            <v>Earl Grey Senior Public School</v>
          </cell>
          <cell r="D3212" t="str">
            <v>Toronto District School Board</v>
          </cell>
          <cell r="E3212" t="str">
            <v>CO</v>
          </cell>
          <cell r="F3212">
            <v>43135</v>
          </cell>
          <cell r="G3212">
            <v>43314</v>
          </cell>
          <cell r="H3212">
            <v>50439</v>
          </cell>
          <cell r="I3212" t="str">
            <v>19 years, 6 months, 1 days</v>
          </cell>
          <cell r="J3212" t="str">
            <v>Renewables</v>
          </cell>
          <cell r="K3212" t="str">
            <v>Solar (Rooftop)</v>
          </cell>
          <cell r="L3212" t="str">
            <v>Solar</v>
          </cell>
          <cell r="M3212" t="str">
            <v>Dx</v>
          </cell>
          <cell r="N3212" t="str">
            <v>Toronto</v>
          </cell>
          <cell r="O3212" t="str">
            <v>Toronto</v>
          </cell>
          <cell r="P3212" t="str">
            <v>Toronto</v>
          </cell>
        </row>
        <row r="3213">
          <cell r="C3213" t="str">
            <v>Leader Solar II</v>
          </cell>
          <cell r="D3213" t="str">
            <v>Leader Resources Services Corp.</v>
          </cell>
          <cell r="E3213" t="str">
            <v>CO</v>
          </cell>
          <cell r="F3213">
            <v>43167</v>
          </cell>
          <cell r="G3213">
            <v>43091</v>
          </cell>
          <cell r="H3213">
            <v>50395</v>
          </cell>
          <cell r="I3213" t="str">
            <v>19 years, 11 months, 29 days</v>
          </cell>
          <cell r="J3213" t="str">
            <v>Renewables</v>
          </cell>
          <cell r="K3213" t="str">
            <v>Solar (Rooftop)</v>
          </cell>
          <cell r="L3213" t="str">
            <v>Solar</v>
          </cell>
          <cell r="M3213" t="str">
            <v>Dx</v>
          </cell>
          <cell r="N3213" t="str">
            <v>Kincardine</v>
          </cell>
          <cell r="O3213" t="str">
            <v>Bruce</v>
          </cell>
          <cell r="P3213" t="str">
            <v>Bruce</v>
          </cell>
        </row>
        <row r="3214">
          <cell r="C3214" t="str">
            <v>21 Union St Sundridge</v>
          </cell>
          <cell r="D3214" t="str">
            <v>Saturn Solar 4 LP</v>
          </cell>
          <cell r="E3214" t="str">
            <v>CO</v>
          </cell>
          <cell r="F3214">
            <v>43728</v>
          </cell>
          <cell r="G3214">
            <v>43602</v>
          </cell>
          <cell r="H3214">
            <v>50906</v>
          </cell>
          <cell r="I3214" t="str">
            <v>19 years, 11 months, 29 days</v>
          </cell>
          <cell r="J3214" t="str">
            <v>Renewables</v>
          </cell>
          <cell r="K3214" t="str">
            <v>Solar (Ground Mounted)</v>
          </cell>
          <cell r="L3214" t="str">
            <v>Solar</v>
          </cell>
          <cell r="M3214" t="str">
            <v>Dx</v>
          </cell>
          <cell r="N3214" t="str">
            <v>Sundridge</v>
          </cell>
          <cell r="O3214" t="str">
            <v>Parry Sound</v>
          </cell>
          <cell r="P3214" t="str">
            <v>Essa</v>
          </cell>
        </row>
        <row r="3215">
          <cell r="C3215" t="str">
            <v>TD RES HALTON HILLS</v>
          </cell>
          <cell r="D3215" t="str">
            <v>Greenlife Energy Inc.</v>
          </cell>
          <cell r="E3215" t="str">
            <v>CO</v>
          </cell>
          <cell r="F3215">
            <v>43149</v>
          </cell>
          <cell r="G3215">
            <v>43258</v>
          </cell>
          <cell r="H3215">
            <v>50453</v>
          </cell>
          <cell r="I3215" t="str">
            <v>19 years, 8 months, 10 days</v>
          </cell>
          <cell r="J3215" t="str">
            <v>Renewables</v>
          </cell>
          <cell r="K3215" t="str">
            <v>Solar (Rooftop)</v>
          </cell>
          <cell r="L3215" t="str">
            <v>Solar</v>
          </cell>
          <cell r="M3215" t="str">
            <v>Dx</v>
          </cell>
          <cell r="N3215" t="str">
            <v>Limehouse</v>
          </cell>
          <cell r="O3215" t="str">
            <v>Halton</v>
          </cell>
          <cell r="P3215" t="str">
            <v>Toronto</v>
          </cell>
        </row>
        <row r="3216">
          <cell r="C3216" t="str">
            <v>Marc Garneau Collegiate Institute</v>
          </cell>
          <cell r="D3216" t="str">
            <v>Toronto District School Board</v>
          </cell>
          <cell r="E3216" t="str">
            <v>CO</v>
          </cell>
          <cell r="F3216">
            <v>43140</v>
          </cell>
          <cell r="G3216">
            <v>43313</v>
          </cell>
          <cell r="H3216">
            <v>50444</v>
          </cell>
          <cell r="I3216" t="str">
            <v>19 years, 6 months, 7 days</v>
          </cell>
          <cell r="J3216" t="str">
            <v>Renewables</v>
          </cell>
          <cell r="K3216" t="str">
            <v>Solar (Rooftop)</v>
          </cell>
          <cell r="L3216" t="str">
            <v>Solar</v>
          </cell>
          <cell r="M3216" t="str">
            <v>Dx</v>
          </cell>
          <cell r="N3216" t="str">
            <v>Toronto</v>
          </cell>
          <cell r="O3216" t="str">
            <v>Toronto</v>
          </cell>
          <cell r="P3216" t="str">
            <v>Toronto</v>
          </cell>
        </row>
        <row r="3217">
          <cell r="C3217" t="str">
            <v>Fern Avenue Junior and Senior Public School</v>
          </cell>
          <cell r="D3217" t="str">
            <v>Toronto District School Board</v>
          </cell>
          <cell r="E3217" t="str">
            <v>CO</v>
          </cell>
          <cell r="F3217">
            <v>43135</v>
          </cell>
          <cell r="G3217">
            <v>43315</v>
          </cell>
          <cell r="H3217">
            <v>50439</v>
          </cell>
          <cell r="I3217" t="str">
            <v>19 years, 6 months, 0 days</v>
          </cell>
          <cell r="J3217" t="str">
            <v>Renewables</v>
          </cell>
          <cell r="K3217" t="str">
            <v>Solar (Rooftop)</v>
          </cell>
          <cell r="L3217" t="str">
            <v>Solar</v>
          </cell>
          <cell r="M3217" t="str">
            <v>Dx</v>
          </cell>
          <cell r="N3217" t="str">
            <v>Toronto</v>
          </cell>
          <cell r="O3217" t="str">
            <v>Toronto</v>
          </cell>
          <cell r="P3217" t="str">
            <v>Toronto</v>
          </cell>
        </row>
        <row r="3218">
          <cell r="C3218" t="str">
            <v>HUC185</v>
          </cell>
          <cell r="D3218" t="str">
            <v>HIPCO-FIT4 Projects Corporation</v>
          </cell>
          <cell r="E3218" t="str">
            <v>CO</v>
          </cell>
          <cell r="F3218">
            <v>43149</v>
          </cell>
          <cell r="G3218">
            <v>43328</v>
          </cell>
          <cell r="H3218">
            <v>50453</v>
          </cell>
          <cell r="I3218" t="str">
            <v>19 years, 6 months, 1 days</v>
          </cell>
          <cell r="J3218" t="str">
            <v>Renewables</v>
          </cell>
          <cell r="K3218" t="str">
            <v>Solar (Rooftop)</v>
          </cell>
          <cell r="L3218" t="str">
            <v>Solar</v>
          </cell>
          <cell r="M3218" t="str">
            <v>Dx</v>
          </cell>
          <cell r="N3218" t="str">
            <v>Hamilton</v>
          </cell>
          <cell r="O3218" t="str">
            <v>Hamilton</v>
          </cell>
          <cell r="P3218" t="str">
            <v>Niagara</v>
          </cell>
        </row>
        <row r="3219">
          <cell r="C3219" t="str">
            <v>Angela James Arena</v>
          </cell>
          <cell r="D3219" t="str">
            <v>City of Toronto</v>
          </cell>
          <cell r="E3219" t="str">
            <v>CO</v>
          </cell>
          <cell r="F3219">
            <v>43156</v>
          </cell>
          <cell r="G3219">
            <v>43160</v>
          </cell>
          <cell r="H3219">
            <v>50460</v>
          </cell>
          <cell r="I3219" t="str">
            <v>19 years, 11 months, 23 days</v>
          </cell>
          <cell r="J3219" t="str">
            <v>Renewables</v>
          </cell>
          <cell r="K3219" t="str">
            <v>Solar (Rooftop)</v>
          </cell>
          <cell r="L3219" t="str">
            <v>Solar</v>
          </cell>
          <cell r="M3219" t="str">
            <v>Dx</v>
          </cell>
          <cell r="N3219" t="str">
            <v>Toronto</v>
          </cell>
          <cell r="O3219" t="str">
            <v>Toronto</v>
          </cell>
          <cell r="P3219" t="str">
            <v>Toronto</v>
          </cell>
        </row>
        <row r="3220">
          <cell r="C3220" t="str">
            <v>McGregor Park Arena</v>
          </cell>
          <cell r="D3220" t="str">
            <v>City of Toronto</v>
          </cell>
          <cell r="E3220" t="str">
            <v>CO</v>
          </cell>
          <cell r="F3220">
            <v>43133</v>
          </cell>
          <cell r="G3220">
            <v>43082</v>
          </cell>
          <cell r="H3220">
            <v>50386</v>
          </cell>
          <cell r="I3220" t="str">
            <v>19 years, 11 months, 29 days</v>
          </cell>
          <cell r="J3220" t="str">
            <v>Renewables</v>
          </cell>
          <cell r="K3220" t="str">
            <v>Solar (Rooftop)</v>
          </cell>
          <cell r="L3220" t="str">
            <v>Solar</v>
          </cell>
          <cell r="M3220" t="str">
            <v>Dx</v>
          </cell>
          <cell r="N3220" t="str">
            <v>Toronto</v>
          </cell>
          <cell r="O3220" t="str">
            <v>Toronto</v>
          </cell>
          <cell r="P3220" t="str">
            <v>Toronto</v>
          </cell>
        </row>
        <row r="3221">
          <cell r="C3221" t="str">
            <v>8 - SPN537</v>
          </cell>
          <cell r="D3221" t="str">
            <v>SPN LP 10</v>
          </cell>
          <cell r="E3221" t="str">
            <v>CO</v>
          </cell>
          <cell r="F3221">
            <v>43181</v>
          </cell>
          <cell r="G3221">
            <v>43363</v>
          </cell>
          <cell r="H3221">
            <v>50485</v>
          </cell>
          <cell r="I3221" t="str">
            <v>19 years, 6 months, 1 days</v>
          </cell>
          <cell r="J3221" t="str">
            <v>Renewables</v>
          </cell>
          <cell r="K3221" t="str">
            <v>Solar (Rooftop)</v>
          </cell>
          <cell r="L3221" t="str">
            <v>Solar</v>
          </cell>
          <cell r="M3221" t="str">
            <v>Dx</v>
          </cell>
          <cell r="N3221" t="str">
            <v>Wallaceburg</v>
          </cell>
          <cell r="O3221" t="str">
            <v>Chatham-Kent</v>
          </cell>
          <cell r="P3221" t="str">
            <v>West</v>
          </cell>
        </row>
        <row r="3222">
          <cell r="C3222" t="str">
            <v>Court Holdings 4708 ontario st</v>
          </cell>
          <cell r="D3222" t="str">
            <v>2356740 Ontario Inc.</v>
          </cell>
          <cell r="E3222" t="str">
            <v>CO</v>
          </cell>
          <cell r="F3222">
            <v>43179</v>
          </cell>
          <cell r="G3222">
            <v>43207</v>
          </cell>
          <cell r="H3222">
            <v>50483</v>
          </cell>
          <cell r="I3222" t="str">
            <v>19 years, 11 months, 2 days</v>
          </cell>
          <cell r="J3222" t="str">
            <v>Renewables</v>
          </cell>
          <cell r="K3222" t="str">
            <v>Solar (Rooftop)</v>
          </cell>
          <cell r="L3222" t="str">
            <v>Solar</v>
          </cell>
          <cell r="M3222" t="str">
            <v>Dx</v>
          </cell>
          <cell r="N3222" t="str">
            <v>Beamsville</v>
          </cell>
          <cell r="O3222" t="str">
            <v>Niagara</v>
          </cell>
          <cell r="P3222" t="str">
            <v>Niagara</v>
          </cell>
        </row>
        <row r="3223">
          <cell r="C3223" t="str">
            <v>950 East Main St.</v>
          </cell>
          <cell r="D3223" t="str">
            <v>The Corporation of the City of Welland and Welland Hydro Energy Services Corp.</v>
          </cell>
          <cell r="E3223" t="str">
            <v>CO</v>
          </cell>
          <cell r="F3223">
            <v>43716</v>
          </cell>
          <cell r="G3223">
            <v>43251</v>
          </cell>
          <cell r="H3223">
            <v>50555</v>
          </cell>
          <cell r="I3223" t="str">
            <v>19 years, 11 months, 29 days</v>
          </cell>
          <cell r="J3223" t="str">
            <v>Renewables</v>
          </cell>
          <cell r="K3223" t="str">
            <v>Solar (Ground Mounted)</v>
          </cell>
          <cell r="L3223" t="str">
            <v>Solar</v>
          </cell>
          <cell r="M3223" t="str">
            <v>Dx</v>
          </cell>
          <cell r="N3223" t="str">
            <v>Welland</v>
          </cell>
          <cell r="O3223" t="str">
            <v>Niagara</v>
          </cell>
          <cell r="P3223" t="str">
            <v>Niagara</v>
          </cell>
        </row>
        <row r="3224">
          <cell r="C3224" t="str">
            <v>OMG Solar Park North</v>
          </cell>
          <cell r="D3224" t="str">
            <v>Oxford Community Solar One LP</v>
          </cell>
          <cell r="E3224" t="str">
            <v>CO</v>
          </cell>
          <cell r="F3224">
            <v>43728</v>
          </cell>
          <cell r="G3224">
            <v>43644</v>
          </cell>
          <cell r="H3224">
            <v>50948</v>
          </cell>
          <cell r="I3224" t="str">
            <v>19 years, 11 months, 30 days</v>
          </cell>
          <cell r="J3224" t="str">
            <v>Renewables</v>
          </cell>
          <cell r="K3224" t="str">
            <v>Solar (Ground Mounted)</v>
          </cell>
          <cell r="L3224" t="str">
            <v>Solar</v>
          </cell>
          <cell r="M3224" t="str">
            <v>Dx</v>
          </cell>
          <cell r="N3224" t="str">
            <v>Woodstock</v>
          </cell>
          <cell r="O3224" t="str">
            <v>Oxford</v>
          </cell>
          <cell r="P3224" t="str">
            <v>Southwest</v>
          </cell>
        </row>
        <row r="3225">
          <cell r="C3225" t="str">
            <v>Stanton Farms Biogas (Twelve Mile Road North)</v>
          </cell>
          <cell r="D3225" t="str">
            <v>Stanton Bros. Limited</v>
          </cell>
          <cell r="E3225" t="str">
            <v>CO</v>
          </cell>
          <cell r="F3225">
            <v>43728</v>
          </cell>
          <cell r="G3225">
            <v>43365</v>
          </cell>
          <cell r="H3225">
            <v>50669</v>
          </cell>
          <cell r="I3225" t="str">
            <v>19 years, 11 months, 30 days</v>
          </cell>
          <cell r="J3225" t="str">
            <v>Renewables</v>
          </cell>
          <cell r="K3225" t="str">
            <v>Bioenergy</v>
          </cell>
          <cell r="L3225" t="str">
            <v>Biogas (On-Farm)</v>
          </cell>
          <cell r="M3225" t="str">
            <v>Dx</v>
          </cell>
          <cell r="N3225" t="str">
            <v>Ilderton</v>
          </cell>
          <cell r="O3225" t="str">
            <v>Middlesex</v>
          </cell>
          <cell r="P3225" t="str">
            <v>West</v>
          </cell>
        </row>
        <row r="3226">
          <cell r="C3226" t="str">
            <v>McGriskin Centre</v>
          </cell>
          <cell r="D3226" t="str">
            <v>Toronto District School Board</v>
          </cell>
          <cell r="E3226" t="str">
            <v>CO</v>
          </cell>
          <cell r="F3226">
            <v>43140</v>
          </cell>
          <cell r="G3226">
            <v>43321</v>
          </cell>
          <cell r="H3226">
            <v>50444</v>
          </cell>
          <cell r="I3226" t="str">
            <v>19 years, 5 months, 30 days</v>
          </cell>
          <cell r="J3226" t="str">
            <v>Renewables</v>
          </cell>
          <cell r="K3226" t="str">
            <v>Solar (Rooftop)</v>
          </cell>
          <cell r="L3226" t="str">
            <v>Solar</v>
          </cell>
          <cell r="M3226" t="str">
            <v>Dx</v>
          </cell>
          <cell r="N3226" t="str">
            <v>Toronto</v>
          </cell>
          <cell r="O3226" t="str">
            <v>Toronto</v>
          </cell>
          <cell r="P3226" t="str">
            <v>Toronto</v>
          </cell>
        </row>
        <row r="3227">
          <cell r="C3227" t="str">
            <v>Shaughnessy Public School</v>
          </cell>
          <cell r="D3227" t="str">
            <v>Toronto District School Board</v>
          </cell>
          <cell r="E3227" t="str">
            <v>CO</v>
          </cell>
          <cell r="F3227">
            <v>43194</v>
          </cell>
          <cell r="G3227">
            <v>43231</v>
          </cell>
          <cell r="H3227">
            <v>50498</v>
          </cell>
          <cell r="I3227" t="str">
            <v>19 years, 10 months, 23 days</v>
          </cell>
          <cell r="J3227" t="str">
            <v>Renewables</v>
          </cell>
          <cell r="K3227" t="str">
            <v>Solar (Rooftop)</v>
          </cell>
          <cell r="L3227" t="str">
            <v>Solar</v>
          </cell>
          <cell r="M3227" t="str">
            <v>Dx</v>
          </cell>
          <cell r="N3227" t="str">
            <v>Toronto</v>
          </cell>
          <cell r="O3227" t="str">
            <v>Toronto</v>
          </cell>
          <cell r="P3227" t="str">
            <v>Toronto</v>
          </cell>
        </row>
        <row r="3228">
          <cell r="C3228" t="str">
            <v>IKEA Ottawa</v>
          </cell>
          <cell r="D3228" t="str">
            <v>IKEA Properties Ltd.</v>
          </cell>
          <cell r="E3228" t="str">
            <v>CO</v>
          </cell>
          <cell r="F3228">
            <v>43156</v>
          </cell>
          <cell r="G3228">
            <v>43152</v>
          </cell>
          <cell r="H3228">
            <v>50456</v>
          </cell>
          <cell r="I3228" t="str">
            <v>19 years, 11 months, 30 days</v>
          </cell>
          <cell r="J3228" t="str">
            <v>Renewables</v>
          </cell>
          <cell r="K3228" t="str">
            <v>Solar (Rooftop)</v>
          </cell>
          <cell r="L3228" t="str">
            <v>Solar</v>
          </cell>
          <cell r="M3228" t="str">
            <v>Dx</v>
          </cell>
          <cell r="N3228" t="str">
            <v>Ottawa</v>
          </cell>
          <cell r="O3228" t="str">
            <v>Ottawa</v>
          </cell>
          <cell r="P3228" t="str">
            <v>Ottawa</v>
          </cell>
        </row>
        <row r="3229">
          <cell r="C3229" t="str">
            <v>A. Y. Jackson Secondary School</v>
          </cell>
          <cell r="D3229" t="str">
            <v>Toronto District School Board</v>
          </cell>
          <cell r="E3229" t="str">
            <v>CO</v>
          </cell>
          <cell r="F3229">
            <v>43133</v>
          </cell>
          <cell r="G3229">
            <v>43307</v>
          </cell>
          <cell r="H3229">
            <v>50437</v>
          </cell>
          <cell r="I3229" t="str">
            <v>19 years, 6 months, 6 days</v>
          </cell>
          <cell r="J3229" t="str">
            <v>Renewables</v>
          </cell>
          <cell r="K3229" t="str">
            <v>Solar (Rooftop)</v>
          </cell>
          <cell r="L3229" t="str">
            <v>Solar</v>
          </cell>
          <cell r="M3229" t="str">
            <v>Dx</v>
          </cell>
          <cell r="N3229" t="str">
            <v>Toronto</v>
          </cell>
          <cell r="O3229" t="str">
            <v>Toronto</v>
          </cell>
          <cell r="P3229" t="str">
            <v>Toronto</v>
          </cell>
        </row>
        <row r="3230">
          <cell r="C3230" t="str">
            <v>Police Cranfield Garage</v>
          </cell>
          <cell r="D3230" t="str">
            <v>City of Toronto</v>
          </cell>
          <cell r="E3230" t="str">
            <v>CO</v>
          </cell>
          <cell r="F3230">
            <v>43133</v>
          </cell>
          <cell r="G3230">
            <v>42948</v>
          </cell>
          <cell r="H3230">
            <v>50252</v>
          </cell>
          <cell r="I3230" t="str">
            <v>19 years, 11 months, 30 days</v>
          </cell>
          <cell r="J3230" t="str">
            <v>Renewables</v>
          </cell>
          <cell r="K3230" t="str">
            <v>Solar (Rooftop)</v>
          </cell>
          <cell r="L3230" t="str">
            <v>Solar</v>
          </cell>
          <cell r="M3230" t="str">
            <v>Dx</v>
          </cell>
          <cell r="N3230" t="str">
            <v>Toronto</v>
          </cell>
          <cell r="O3230" t="str">
            <v>Toronto</v>
          </cell>
          <cell r="P3230" t="str">
            <v>Toronto</v>
          </cell>
        </row>
        <row r="3231">
          <cell r="C3231" t="str">
            <v>Charles Gordon Senior Public School</v>
          </cell>
          <cell r="D3231" t="str">
            <v>Toronto District School Board</v>
          </cell>
          <cell r="E3231" t="str">
            <v>CO</v>
          </cell>
          <cell r="F3231">
            <v>43133</v>
          </cell>
          <cell r="G3231">
            <v>43291</v>
          </cell>
          <cell r="H3231">
            <v>50437</v>
          </cell>
          <cell r="I3231" t="str">
            <v>19 years, 6 months, 22 days</v>
          </cell>
          <cell r="J3231" t="str">
            <v>Renewables</v>
          </cell>
          <cell r="K3231" t="str">
            <v>Solar (Rooftop)</v>
          </cell>
          <cell r="L3231" t="str">
            <v>Solar</v>
          </cell>
          <cell r="M3231" t="str">
            <v>Dx</v>
          </cell>
          <cell r="N3231" t="str">
            <v>Toronto</v>
          </cell>
          <cell r="O3231" t="str">
            <v>Toronto</v>
          </cell>
          <cell r="P3231" t="str">
            <v>Toronto</v>
          </cell>
        </row>
        <row r="3232">
          <cell r="C3232" t="str">
            <v>Vandenhurk Solar 2 - CH021</v>
          </cell>
          <cell r="D3232" t="str">
            <v>HSSW Limited Partnership</v>
          </cell>
          <cell r="E3232" t="str">
            <v>CO</v>
          </cell>
          <cell r="F3232">
            <v>43186</v>
          </cell>
          <cell r="G3232">
            <v>43180</v>
          </cell>
          <cell r="H3232">
            <v>50484</v>
          </cell>
          <cell r="I3232" t="str">
            <v>19 years, 11 months, 27 days</v>
          </cell>
          <cell r="J3232" t="str">
            <v>Renewables</v>
          </cell>
          <cell r="K3232" t="str">
            <v>Solar (Rooftop)</v>
          </cell>
          <cell r="L3232" t="str">
            <v>Solar</v>
          </cell>
          <cell r="M3232" t="str">
            <v>Dx</v>
          </cell>
          <cell r="N3232" t="str">
            <v>New Lowell</v>
          </cell>
          <cell r="O3232" t="str">
            <v>Simcoe</v>
          </cell>
          <cell r="P3232" t="str">
            <v>Southwest</v>
          </cell>
        </row>
        <row r="3233">
          <cell r="C3233" t="str">
            <v>Banting and Best Public School</v>
          </cell>
          <cell r="D3233" t="str">
            <v>Toronto District School Board</v>
          </cell>
          <cell r="E3233" t="str">
            <v>CO</v>
          </cell>
          <cell r="F3233">
            <v>43140</v>
          </cell>
          <cell r="G3233">
            <v>43320</v>
          </cell>
          <cell r="H3233">
            <v>50444</v>
          </cell>
          <cell r="I3233" t="str">
            <v>19 years, 6 months, 0 days</v>
          </cell>
          <cell r="J3233" t="str">
            <v>Renewables</v>
          </cell>
          <cell r="K3233" t="str">
            <v>Solar (Rooftop)</v>
          </cell>
          <cell r="L3233" t="str">
            <v>Solar</v>
          </cell>
          <cell r="M3233" t="str">
            <v>Dx</v>
          </cell>
          <cell r="N3233" t="str">
            <v>Toronto</v>
          </cell>
          <cell r="O3233" t="str">
            <v>Toronto</v>
          </cell>
          <cell r="P3233" t="str">
            <v>Toronto</v>
          </cell>
        </row>
        <row r="3234">
          <cell r="C3234" t="str">
            <v>155 Shields Ct, Markham - Rooftop Solar</v>
          </cell>
          <cell r="D3234" t="str">
            <v>Appollo Union Limited Partnership I</v>
          </cell>
          <cell r="E3234" t="str">
            <v>CO</v>
          </cell>
          <cell r="F3234">
            <v>43147</v>
          </cell>
          <cell r="G3234">
            <v>43146</v>
          </cell>
          <cell r="H3234">
            <v>50450</v>
          </cell>
          <cell r="I3234" t="str">
            <v>19 years, 11 months, 30 days</v>
          </cell>
          <cell r="J3234" t="str">
            <v>Renewables</v>
          </cell>
          <cell r="K3234" t="str">
            <v>Solar (Rooftop)</v>
          </cell>
          <cell r="L3234" t="str">
            <v>Solar</v>
          </cell>
          <cell r="M3234" t="str">
            <v>Dx</v>
          </cell>
          <cell r="N3234" t="str">
            <v>Markham</v>
          </cell>
          <cell r="O3234" t="str">
            <v>York</v>
          </cell>
          <cell r="P3234" t="str">
            <v>Toronto</v>
          </cell>
        </row>
        <row r="3235">
          <cell r="C3235" t="str">
            <v>2196 Gerber Road, Wellesley - Rooftop Solar</v>
          </cell>
          <cell r="D3235" t="str">
            <v>Appollo Union Limited Partnership I</v>
          </cell>
          <cell r="E3235" t="str">
            <v>CO</v>
          </cell>
          <cell r="F3235">
            <v>43147</v>
          </cell>
          <cell r="G3235">
            <v>43143</v>
          </cell>
          <cell r="H3235">
            <v>50447</v>
          </cell>
          <cell r="I3235" t="str">
            <v>19 years, 11 months, 30 days</v>
          </cell>
          <cell r="J3235" t="str">
            <v>Renewables</v>
          </cell>
          <cell r="K3235" t="str">
            <v>Solar (Rooftop)</v>
          </cell>
          <cell r="L3235" t="str">
            <v>Solar</v>
          </cell>
          <cell r="M3235" t="str">
            <v>Dx</v>
          </cell>
          <cell r="N3235" t="str">
            <v>Wellesley</v>
          </cell>
          <cell r="O3235" t="str">
            <v>Waterloo</v>
          </cell>
          <cell r="P3235" t="str">
            <v>Southwest</v>
          </cell>
        </row>
        <row r="3236">
          <cell r="C3236" t="str">
            <v>6041 Highway 15(2), Kingston</v>
          </cell>
          <cell r="D3236" t="str">
            <v>2531789 Ontario Inc.</v>
          </cell>
          <cell r="E3236" t="str">
            <v>CO</v>
          </cell>
          <cell r="F3236">
            <v>44181</v>
          </cell>
          <cell r="G3236">
            <v>44202</v>
          </cell>
          <cell r="H3236">
            <v>51485</v>
          </cell>
          <cell r="I3236" t="str">
            <v>19 years, 11 months, 9 days</v>
          </cell>
          <cell r="J3236" t="str">
            <v>Renewables</v>
          </cell>
          <cell r="K3236" t="str">
            <v>Solar (Ground Mounted)</v>
          </cell>
          <cell r="L3236" t="str">
            <v>Solar</v>
          </cell>
          <cell r="M3236" t="str">
            <v>Dx</v>
          </cell>
          <cell r="N3236" t="str">
            <v>Seeleys Bay</v>
          </cell>
          <cell r="O3236" t="str">
            <v>Leeds and Grenville</v>
          </cell>
          <cell r="P3236" t="str">
            <v>East</v>
          </cell>
        </row>
        <row r="3237">
          <cell r="C3237" t="str">
            <v>Carleton Corner Farms Biogas 3</v>
          </cell>
          <cell r="D3237" t="str">
            <v>Carleton Corner Farms Ltd.</v>
          </cell>
          <cell r="E3237" t="str">
            <v>CO</v>
          </cell>
          <cell r="F3237">
            <v>44123</v>
          </cell>
          <cell r="G3237">
            <v>43560</v>
          </cell>
          <cell r="H3237">
            <v>50864</v>
          </cell>
          <cell r="I3237" t="str">
            <v>19 years, 11 months, 30 days</v>
          </cell>
          <cell r="J3237" t="str">
            <v>Renewables</v>
          </cell>
          <cell r="K3237" t="str">
            <v>Bioenergy</v>
          </cell>
          <cell r="L3237" t="str">
            <v>Biogas (On-Farm)</v>
          </cell>
          <cell r="M3237" t="str">
            <v>Dx</v>
          </cell>
          <cell r="N3237" t="str">
            <v>Russell</v>
          </cell>
          <cell r="O3237" t="str">
            <v>Prescott and Russell</v>
          </cell>
          <cell r="P3237" t="str">
            <v>Ottawa</v>
          </cell>
        </row>
        <row r="3238">
          <cell r="C3238" t="str">
            <v>11 Beacon Lane</v>
          </cell>
          <cell r="D3238" t="str">
            <v>2531789 Ontario Inc.</v>
          </cell>
          <cell r="E3238" t="str">
            <v>CO</v>
          </cell>
          <cell r="F3238">
            <v>44183</v>
          </cell>
          <cell r="G3238">
            <v>44201</v>
          </cell>
          <cell r="H3238">
            <v>51487</v>
          </cell>
          <cell r="I3238" t="str">
            <v>19 years, 11 months, 12 days</v>
          </cell>
          <cell r="J3238" t="str">
            <v>Renewables</v>
          </cell>
          <cell r="K3238" t="str">
            <v>Solar (Ground Mounted)</v>
          </cell>
          <cell r="L3238" t="str">
            <v>Solar</v>
          </cell>
          <cell r="M3238" t="str">
            <v>Dx</v>
          </cell>
          <cell r="N3238" t="str">
            <v>Parry Sound</v>
          </cell>
          <cell r="O3238" t="str">
            <v>Parry Sound</v>
          </cell>
          <cell r="P3238" t="str">
            <v>Essa</v>
          </cell>
        </row>
        <row r="3239">
          <cell r="C3239" t="str">
            <v>6041 Highway 15, Kingston(1)</v>
          </cell>
          <cell r="D3239" t="str">
            <v>2531789 Ontario Inc.</v>
          </cell>
          <cell r="E3239" t="str">
            <v>CO</v>
          </cell>
          <cell r="F3239">
            <v>44181</v>
          </cell>
          <cell r="G3239">
            <v>44202</v>
          </cell>
          <cell r="H3239">
            <v>51485</v>
          </cell>
          <cell r="I3239" t="str">
            <v>19 years, 11 months, 9 days</v>
          </cell>
          <cell r="J3239" t="str">
            <v>Renewables</v>
          </cell>
          <cell r="K3239" t="str">
            <v>Solar (Ground Mounted)</v>
          </cell>
          <cell r="L3239" t="str">
            <v>Solar</v>
          </cell>
          <cell r="M3239" t="str">
            <v>Dx</v>
          </cell>
          <cell r="N3239" t="str">
            <v>Seeleys Bay</v>
          </cell>
          <cell r="O3239" t="str">
            <v>Leeds and Grenville</v>
          </cell>
          <cell r="P3239" t="str">
            <v>East</v>
          </cell>
        </row>
        <row r="3240">
          <cell r="C3240" t="str">
            <v>Regina SPARQ Block 1</v>
          </cell>
          <cell r="D3240" t="str">
            <v>Ottawa Community Housing Corporation / La Societe de Logement Communautaire d'Ottawa</v>
          </cell>
          <cell r="E3240" t="str">
            <v>CO</v>
          </cell>
          <cell r="F3240">
            <v>43574</v>
          </cell>
          <cell r="G3240">
            <v>43217</v>
          </cell>
          <cell r="H3240">
            <v>50521</v>
          </cell>
          <cell r="I3240" t="str">
            <v>19 years, 11 months, 30 days</v>
          </cell>
          <cell r="J3240" t="str">
            <v>Renewables</v>
          </cell>
          <cell r="K3240" t="str">
            <v>Solar (Rooftop)</v>
          </cell>
          <cell r="L3240" t="str">
            <v>Solar</v>
          </cell>
          <cell r="M3240" t="str">
            <v>Dx</v>
          </cell>
          <cell r="N3240" t="str">
            <v>Ottawa</v>
          </cell>
          <cell r="O3240" t="str">
            <v>Ottawa</v>
          </cell>
          <cell r="P3240" t="str">
            <v>Ottawa</v>
          </cell>
        </row>
        <row r="3241">
          <cell r="C3241" t="str">
            <v>5313 DG-1097 HIGHWAY 6</v>
          </cell>
          <cell r="D3241" t="str">
            <v>Northern Development Solar 2016 Inc.</v>
          </cell>
          <cell r="E3241" t="str">
            <v>CO</v>
          </cell>
          <cell r="F3241">
            <v>44107</v>
          </cell>
          <cell r="G3241">
            <v>44104</v>
          </cell>
          <cell r="H3241">
            <v>51408</v>
          </cell>
          <cell r="I3241" t="str">
            <v>19 years, 11 months, 30 days</v>
          </cell>
          <cell r="J3241" t="str">
            <v>Renewables</v>
          </cell>
          <cell r="K3241" t="str">
            <v>Solar (Ground Mounted)</v>
          </cell>
          <cell r="L3241" t="str">
            <v>Solar</v>
          </cell>
          <cell r="M3241" t="str">
            <v>Dx</v>
          </cell>
          <cell r="N3241" t="str">
            <v>Wiarton</v>
          </cell>
          <cell r="O3241" t="str">
            <v>Bruce</v>
          </cell>
          <cell r="P3241" t="str">
            <v>Southwest</v>
          </cell>
        </row>
        <row r="3242">
          <cell r="C3242" t="str">
            <v>5206 TC-Pt Lt 4 Con 3 (2)</v>
          </cell>
          <cell r="D3242" t="str">
            <v>2405799 Ontario Inc.</v>
          </cell>
          <cell r="E3242" t="str">
            <v>CO</v>
          </cell>
          <cell r="F3242">
            <v>44151</v>
          </cell>
          <cell r="G3242">
            <v>44162</v>
          </cell>
          <cell r="H3242">
            <v>51455</v>
          </cell>
          <cell r="I3242" t="str">
            <v>19 years, 11 months, 19 days</v>
          </cell>
          <cell r="J3242" t="str">
            <v>Renewables</v>
          </cell>
          <cell r="K3242" t="str">
            <v>Solar (Ground Mounted)</v>
          </cell>
          <cell r="L3242" t="str">
            <v>Solar</v>
          </cell>
          <cell r="M3242" t="str">
            <v>Dx</v>
          </cell>
          <cell r="N3242" t="str">
            <v>Godfrey</v>
          </cell>
          <cell r="O3242" t="str">
            <v>Frontenac</v>
          </cell>
          <cell r="P3242" t="str">
            <v>East</v>
          </cell>
        </row>
        <row r="3243">
          <cell r="C3243" t="str">
            <v>Regina SPARQ Block 2</v>
          </cell>
          <cell r="D3243" t="str">
            <v>Ottawa Community Housing Corporation / La Societe de Logement Communautaire d'Ottawa</v>
          </cell>
          <cell r="E3243" t="str">
            <v>CO</v>
          </cell>
          <cell r="F3243">
            <v>43574</v>
          </cell>
          <cell r="G3243">
            <v>43217</v>
          </cell>
          <cell r="H3243">
            <v>50521</v>
          </cell>
          <cell r="I3243" t="str">
            <v>19 years, 11 months, 30 days</v>
          </cell>
          <cell r="J3243" t="str">
            <v>Renewables</v>
          </cell>
          <cell r="K3243" t="str">
            <v>Solar (Rooftop)</v>
          </cell>
          <cell r="L3243" t="str">
            <v>Solar</v>
          </cell>
          <cell r="M3243" t="str">
            <v>Dx</v>
          </cell>
          <cell r="N3243" t="str">
            <v>Ottawa</v>
          </cell>
          <cell r="O3243" t="str">
            <v>Ottawa</v>
          </cell>
          <cell r="P3243" t="str">
            <v>Ottawa</v>
          </cell>
        </row>
        <row r="3244">
          <cell r="C3244" t="str">
            <v>SD 75</v>
          </cell>
          <cell r="D3244" t="str">
            <v>Wahgoshig Solar FIT5 LP</v>
          </cell>
          <cell r="E3244" t="str">
            <v>CO</v>
          </cell>
          <cell r="F3244">
            <v>44121</v>
          </cell>
          <cell r="G3244">
            <v>44105</v>
          </cell>
          <cell r="H3244">
            <v>51410</v>
          </cell>
          <cell r="I3244" t="str">
            <v>20 years, 0 months, 0 days</v>
          </cell>
          <cell r="J3244" t="str">
            <v>Renewables</v>
          </cell>
          <cell r="K3244" t="str">
            <v>Solar (Ground Mounted)</v>
          </cell>
          <cell r="L3244" t="str">
            <v>Solar</v>
          </cell>
          <cell r="M3244" t="str">
            <v>Dx</v>
          </cell>
          <cell r="N3244" t="str">
            <v>Parry Sound</v>
          </cell>
          <cell r="O3244" t="str">
            <v>Parry Sound</v>
          </cell>
          <cell r="P3244" t="str">
            <v>Essa</v>
          </cell>
        </row>
        <row r="3245">
          <cell r="C3245" t="str">
            <v>COR - Evolv I - 420WGW</v>
          </cell>
          <cell r="D3245" t="str">
            <v>2237467 Ontario Inc.</v>
          </cell>
          <cell r="E3245" t="str">
            <v>CO</v>
          </cell>
          <cell r="F3245">
            <v>43810</v>
          </cell>
          <cell r="G3245">
            <v>43448</v>
          </cell>
          <cell r="H3245">
            <v>50752</v>
          </cell>
          <cell r="I3245" t="str">
            <v>19 years, 11 months, 29 days</v>
          </cell>
          <cell r="J3245" t="str">
            <v>Renewables</v>
          </cell>
          <cell r="K3245" t="str">
            <v>Solar (Rooftop)</v>
          </cell>
          <cell r="L3245" t="str">
            <v>Solar</v>
          </cell>
          <cell r="M3245" t="str">
            <v>Dx</v>
          </cell>
          <cell r="N3245" t="str">
            <v>Waterloo</v>
          </cell>
          <cell r="O3245" t="str">
            <v>Waterloo</v>
          </cell>
          <cell r="P3245" t="str">
            <v>Southwest</v>
          </cell>
        </row>
        <row r="3246">
          <cell r="C3246" t="str">
            <v>zB3 ARAR 57</v>
          </cell>
          <cell r="D3246" t="str">
            <v>2503072 Ontario Inc.</v>
          </cell>
          <cell r="E3246" t="str">
            <v>CO</v>
          </cell>
          <cell r="F3246">
            <v>44114</v>
          </cell>
          <cell r="G3246">
            <v>43889</v>
          </cell>
          <cell r="H3246">
            <v>51194</v>
          </cell>
          <cell r="I3246" t="str">
            <v>20 years, 0 months, 0 days</v>
          </cell>
          <cell r="J3246" t="str">
            <v>Renewables</v>
          </cell>
          <cell r="K3246" t="str">
            <v>Solar (Ground Mounted)</v>
          </cell>
          <cell r="L3246" t="str">
            <v>Solar</v>
          </cell>
          <cell r="M3246" t="str">
            <v>Dx</v>
          </cell>
          <cell r="N3246" t="str">
            <v>Orangeville</v>
          </cell>
          <cell r="O3246" t="str">
            <v>Dufferin</v>
          </cell>
          <cell r="P3246" t="str">
            <v>Southwest</v>
          </cell>
        </row>
        <row r="3247">
          <cell r="C3247" t="str">
            <v>zB5 MSMN 30</v>
          </cell>
          <cell r="D3247" t="str">
            <v>2405799 Ontario Inc.</v>
          </cell>
          <cell r="E3247" t="str">
            <v>CO</v>
          </cell>
          <cell r="F3247">
            <v>44151</v>
          </cell>
          <cell r="G3247">
            <v>44148</v>
          </cell>
          <cell r="H3247">
            <v>51453</v>
          </cell>
          <cell r="I3247" t="str">
            <v>20 years, 0 months, 0 days</v>
          </cell>
          <cell r="J3247" t="str">
            <v>Renewables</v>
          </cell>
          <cell r="K3247" t="str">
            <v>Solar (Ground Mounted)</v>
          </cell>
          <cell r="L3247" t="str">
            <v>Solar</v>
          </cell>
          <cell r="M3247" t="str">
            <v>Dx</v>
          </cell>
          <cell r="N3247" t="str">
            <v>Woodville</v>
          </cell>
          <cell r="O3247" t="str">
            <v>Kawartha Lakes</v>
          </cell>
          <cell r="P3247" t="str">
            <v>Essa</v>
          </cell>
        </row>
        <row r="3248">
          <cell r="C3248" t="str">
            <v>1030 Elias St</v>
          </cell>
          <cell r="D3248" t="str">
            <v>2531789 Ontario Inc.</v>
          </cell>
          <cell r="E3248" t="str">
            <v>CO</v>
          </cell>
          <cell r="F3248">
            <v>43565</v>
          </cell>
          <cell r="G3248">
            <v>43565</v>
          </cell>
          <cell r="H3248">
            <v>50869</v>
          </cell>
          <cell r="I3248" t="str">
            <v>19 years, 11 months, 30 days</v>
          </cell>
          <cell r="J3248" t="str">
            <v>Renewables</v>
          </cell>
          <cell r="K3248" t="str">
            <v>Solar (Rooftop)</v>
          </cell>
          <cell r="L3248" t="str">
            <v>Solar</v>
          </cell>
          <cell r="M3248" t="str">
            <v>Dx</v>
          </cell>
          <cell r="N3248" t="str">
            <v>London</v>
          </cell>
          <cell r="O3248" t="str">
            <v>Middlesex</v>
          </cell>
          <cell r="P3248" t="str">
            <v>West</v>
          </cell>
        </row>
        <row r="3249">
          <cell r="C3249" t="str">
            <v>zB4 BE 11</v>
          </cell>
          <cell r="D3249" t="str">
            <v>2503072 Ontario Inc.</v>
          </cell>
          <cell r="E3249" t="str">
            <v>CO</v>
          </cell>
          <cell r="F3249">
            <v>44114</v>
          </cell>
          <cell r="G3249">
            <v>43867</v>
          </cell>
          <cell r="H3249">
            <v>51172</v>
          </cell>
          <cell r="I3249" t="str">
            <v>20 years, 0 months, 0 days</v>
          </cell>
          <cell r="J3249" t="str">
            <v>Renewables</v>
          </cell>
          <cell r="K3249" t="str">
            <v>Solar (Ground Mounted)</v>
          </cell>
          <cell r="L3249" t="str">
            <v>Solar</v>
          </cell>
          <cell r="M3249" t="str">
            <v>Dx</v>
          </cell>
          <cell r="N3249" t="str">
            <v>Picton</v>
          </cell>
          <cell r="O3249" t="str">
            <v>Prince Edward</v>
          </cell>
          <cell r="P3249" t="str">
            <v>East</v>
          </cell>
        </row>
        <row r="3250">
          <cell r="C3250" t="str">
            <v>zC1 MCML 82</v>
          </cell>
          <cell r="D3250" t="str">
            <v>2503072 Ontario Inc.</v>
          </cell>
          <cell r="E3250" t="str">
            <v>CO</v>
          </cell>
          <cell r="F3250">
            <v>44114</v>
          </cell>
          <cell r="G3250">
            <v>43867</v>
          </cell>
          <cell r="H3250">
            <v>51172</v>
          </cell>
          <cell r="I3250" t="str">
            <v>20 years, 0 months, 0 days</v>
          </cell>
          <cell r="J3250" t="str">
            <v>Renewables</v>
          </cell>
          <cell r="K3250" t="str">
            <v>Solar (Ground Mounted)</v>
          </cell>
          <cell r="L3250" t="str">
            <v>Solar</v>
          </cell>
          <cell r="M3250" t="str">
            <v>Dx</v>
          </cell>
          <cell r="N3250" t="str">
            <v>Picton</v>
          </cell>
          <cell r="O3250" t="str">
            <v>Prince Edward</v>
          </cell>
          <cell r="P3250" t="str">
            <v>East</v>
          </cell>
        </row>
        <row r="3251">
          <cell r="C3251" t="str">
            <v>zC1 MCML 81</v>
          </cell>
          <cell r="D3251" t="str">
            <v>2503225 Ontario Inc.</v>
          </cell>
          <cell r="E3251" t="str">
            <v>CO</v>
          </cell>
          <cell r="F3251">
            <v>44114</v>
          </cell>
          <cell r="G3251">
            <v>43867</v>
          </cell>
          <cell r="H3251">
            <v>51172</v>
          </cell>
          <cell r="I3251" t="str">
            <v>20 years, 0 months, 0 days</v>
          </cell>
          <cell r="J3251" t="str">
            <v>Renewables</v>
          </cell>
          <cell r="K3251" t="str">
            <v>Solar (Ground Mounted)</v>
          </cell>
          <cell r="L3251" t="str">
            <v>Solar</v>
          </cell>
          <cell r="M3251" t="str">
            <v>Dx</v>
          </cell>
          <cell r="N3251" t="str">
            <v>Picton</v>
          </cell>
          <cell r="O3251" t="str">
            <v>Prince Edward</v>
          </cell>
          <cell r="P3251" t="str">
            <v>East</v>
          </cell>
        </row>
        <row r="3252">
          <cell r="C3252" t="str">
            <v>37 Black Road</v>
          </cell>
          <cell r="D3252" t="str">
            <v>2531789 Ontario Inc.</v>
          </cell>
          <cell r="E3252" t="str">
            <v>CO</v>
          </cell>
          <cell r="F3252">
            <v>44183</v>
          </cell>
          <cell r="G3252">
            <v>44201</v>
          </cell>
          <cell r="H3252">
            <v>51487</v>
          </cell>
          <cell r="I3252" t="str">
            <v>19 years, 11 months, 12 days</v>
          </cell>
          <cell r="J3252" t="str">
            <v>Renewables</v>
          </cell>
          <cell r="K3252" t="str">
            <v>Solar (Ground Mounted)</v>
          </cell>
          <cell r="L3252" t="str">
            <v>Solar</v>
          </cell>
          <cell r="M3252" t="str">
            <v>Dx</v>
          </cell>
          <cell r="N3252" t="str">
            <v>Parry Sound</v>
          </cell>
          <cell r="O3252" t="str">
            <v>Parry Sound</v>
          </cell>
          <cell r="P3252" t="str">
            <v>Essa</v>
          </cell>
        </row>
        <row r="3253">
          <cell r="C3253" t="str">
            <v>548 DH-650 Upper Dwyer</v>
          </cell>
          <cell r="D3253" t="str">
            <v>2503072 Ontario Inc.</v>
          </cell>
          <cell r="E3253" t="str">
            <v>CO</v>
          </cell>
          <cell r="F3253">
            <v>44114</v>
          </cell>
          <cell r="G3253">
            <v>43889</v>
          </cell>
          <cell r="H3253">
            <v>51194</v>
          </cell>
          <cell r="I3253" t="str">
            <v>20 years, 0 months, 0 days</v>
          </cell>
          <cell r="J3253" t="str">
            <v>Renewables</v>
          </cell>
          <cell r="K3253" t="str">
            <v>Solar (Ground Mounted)</v>
          </cell>
          <cell r="L3253" t="str">
            <v>Solar</v>
          </cell>
          <cell r="M3253" t="str">
            <v>Dx</v>
          </cell>
          <cell r="N3253" t="str">
            <v>Almonte</v>
          </cell>
          <cell r="O3253" t="str">
            <v>Lanark</v>
          </cell>
          <cell r="P3253" t="str">
            <v>Ottawa</v>
          </cell>
        </row>
        <row r="3254">
          <cell r="C3254" t="str">
            <v>905 Con2</v>
          </cell>
          <cell r="D3254" t="str">
            <v>Kai Uwe Wiens</v>
          </cell>
          <cell r="E3254" t="str">
            <v>CO</v>
          </cell>
          <cell r="F3254">
            <v>43572</v>
          </cell>
          <cell r="G3254">
            <v>43437</v>
          </cell>
          <cell r="H3254">
            <v>50741</v>
          </cell>
          <cell r="I3254" t="str">
            <v>19 years, 11 months, 29 days</v>
          </cell>
          <cell r="J3254" t="str">
            <v>Renewables</v>
          </cell>
          <cell r="K3254" t="str">
            <v>Solar (Rooftop)</v>
          </cell>
          <cell r="L3254" t="str">
            <v>Solar</v>
          </cell>
          <cell r="M3254" t="str">
            <v>Dx</v>
          </cell>
          <cell r="N3254" t="str">
            <v>Niagara-on-the-Lake</v>
          </cell>
          <cell r="O3254" t="str">
            <v>Niagara</v>
          </cell>
          <cell r="P3254" t="str">
            <v>Niagara</v>
          </cell>
        </row>
        <row r="3255">
          <cell r="C3255" t="str">
            <v>BTBA 85</v>
          </cell>
          <cell r="D3255" t="str">
            <v>Wahgoshig Solar FIT5 LP</v>
          </cell>
          <cell r="E3255" t="str">
            <v>CO</v>
          </cell>
          <cell r="F3255">
            <v>44121</v>
          </cell>
          <cell r="G3255">
            <v>44092</v>
          </cell>
          <cell r="H3255">
            <v>51397</v>
          </cell>
          <cell r="I3255" t="str">
            <v>20 years, 0 months, 0 days</v>
          </cell>
          <cell r="J3255" t="str">
            <v>Renewables</v>
          </cell>
          <cell r="K3255" t="str">
            <v>Solar (Ground Mounted)</v>
          </cell>
          <cell r="L3255" t="str">
            <v>Solar</v>
          </cell>
          <cell r="M3255" t="str">
            <v>Dx</v>
          </cell>
          <cell r="N3255" t="str">
            <v>Drumbo</v>
          </cell>
          <cell r="O3255" t="str">
            <v>Oxford</v>
          </cell>
          <cell r="P3255" t="str">
            <v>Southwest</v>
          </cell>
        </row>
        <row r="3256">
          <cell r="C3256" t="str">
            <v>BPSL 69</v>
          </cell>
          <cell r="D3256" t="str">
            <v>Wahgoshig Solar FIT5 LP</v>
          </cell>
          <cell r="E3256" t="str">
            <v>CO</v>
          </cell>
          <cell r="F3256">
            <v>44121</v>
          </cell>
          <cell r="G3256">
            <v>44112</v>
          </cell>
          <cell r="H3256">
            <v>51417</v>
          </cell>
          <cell r="I3256" t="str">
            <v>20 years, 0 months, 0 days</v>
          </cell>
          <cell r="J3256" t="str">
            <v>Renewables</v>
          </cell>
          <cell r="K3256" t="str">
            <v>Solar (Ground Mounted)</v>
          </cell>
          <cell r="L3256" t="str">
            <v>Solar</v>
          </cell>
          <cell r="M3256" t="str">
            <v>Dx</v>
          </cell>
          <cell r="N3256" t="str">
            <v>Nobel</v>
          </cell>
          <cell r="O3256" t="str">
            <v>Parry Sound</v>
          </cell>
          <cell r="P3256" t="str">
            <v>Essa</v>
          </cell>
        </row>
        <row r="3257">
          <cell r="C3257" t="str">
            <v>PWPJ 65</v>
          </cell>
          <cell r="D3257" t="str">
            <v>Wahgoshig Solar FIT5 LP</v>
          </cell>
          <cell r="E3257" t="str">
            <v>CO</v>
          </cell>
          <cell r="F3257">
            <v>44121</v>
          </cell>
          <cell r="G3257">
            <v>44111</v>
          </cell>
          <cell r="H3257">
            <v>51416</v>
          </cell>
          <cell r="I3257" t="str">
            <v>20 years, 0 months, 0 days</v>
          </cell>
          <cell r="J3257" t="str">
            <v>Renewables</v>
          </cell>
          <cell r="K3257" t="str">
            <v>Solar (Ground Mounted)</v>
          </cell>
          <cell r="L3257" t="str">
            <v>Solar</v>
          </cell>
          <cell r="M3257" t="str">
            <v>Dx</v>
          </cell>
          <cell r="N3257" t="str">
            <v>Tara</v>
          </cell>
          <cell r="O3257" t="str">
            <v>Bruce</v>
          </cell>
          <cell r="P3257" t="str">
            <v>Southwest</v>
          </cell>
        </row>
        <row r="3258">
          <cell r="C3258" t="str">
            <v>zC3 MEMSMSMC 05</v>
          </cell>
          <cell r="D3258" t="str">
            <v>2503225 Ontario Inc.</v>
          </cell>
          <cell r="E3258" t="str">
            <v>CO</v>
          </cell>
          <cell r="F3258">
            <v>44184</v>
          </cell>
          <cell r="G3258">
            <v>44180</v>
          </cell>
          <cell r="H3258">
            <v>51485</v>
          </cell>
          <cell r="I3258" t="str">
            <v>20 years, 0 months, 0 days</v>
          </cell>
          <cell r="J3258" t="str">
            <v>Renewables</v>
          </cell>
          <cell r="K3258" t="str">
            <v>Solar (Ground Mounted)</v>
          </cell>
          <cell r="L3258" t="str">
            <v>Solar</v>
          </cell>
          <cell r="M3258" t="str">
            <v>Dx</v>
          </cell>
          <cell r="N3258" t="str">
            <v>Picton</v>
          </cell>
          <cell r="O3258" t="str">
            <v>Prince Edward</v>
          </cell>
          <cell r="P3258" t="str">
            <v>East</v>
          </cell>
        </row>
        <row r="3259">
          <cell r="C3259" t="str">
            <v>Gardiner Farm 250 kW Biogas 2</v>
          </cell>
          <cell r="D3259" t="str">
            <v>Ben Gardiner Farms Inc.</v>
          </cell>
          <cell r="E3259" t="str">
            <v>CO</v>
          </cell>
          <cell r="F3259">
            <v>44107</v>
          </cell>
          <cell r="G3259">
            <v>43845</v>
          </cell>
          <cell r="H3259">
            <v>51149</v>
          </cell>
          <cell r="I3259" t="str">
            <v>19 years, 11 months, 30 days</v>
          </cell>
          <cell r="J3259" t="str">
            <v>Renewables</v>
          </cell>
          <cell r="K3259" t="str">
            <v>Bioenergy</v>
          </cell>
          <cell r="L3259" t="str">
            <v>Biogas (On-Farm)</v>
          </cell>
          <cell r="M3259" t="str">
            <v>Dx</v>
          </cell>
          <cell r="N3259" t="str">
            <v>Kirkton</v>
          </cell>
          <cell r="O3259" t="str">
            <v>Perth</v>
          </cell>
          <cell r="P3259" t="str">
            <v>Southwest</v>
          </cell>
        </row>
        <row r="3260">
          <cell r="C3260" t="str">
            <v>2 Leeds Road</v>
          </cell>
          <cell r="D3260" t="str">
            <v>2531789 Ontario Inc.</v>
          </cell>
          <cell r="E3260" t="str">
            <v>CO</v>
          </cell>
          <cell r="F3260">
            <v>44183</v>
          </cell>
          <cell r="G3260">
            <v>44201</v>
          </cell>
          <cell r="H3260">
            <v>51487</v>
          </cell>
          <cell r="I3260" t="str">
            <v>19 years, 11 months, 12 days</v>
          </cell>
          <cell r="J3260" t="str">
            <v>Renewables</v>
          </cell>
          <cell r="K3260" t="str">
            <v>Solar (Ground Mounted)</v>
          </cell>
          <cell r="L3260" t="str">
            <v>Solar</v>
          </cell>
          <cell r="M3260" t="str">
            <v>Dx</v>
          </cell>
          <cell r="N3260" t="str">
            <v>Parry Sound</v>
          </cell>
          <cell r="O3260" t="str">
            <v>Parry Sound</v>
          </cell>
          <cell r="P3260" t="str">
            <v>Essa</v>
          </cell>
        </row>
        <row r="3261">
          <cell r="C3261" t="str">
            <v>SR 63</v>
          </cell>
          <cell r="D3261" t="str">
            <v>2503225 Ontario Inc.</v>
          </cell>
          <cell r="E3261" t="str">
            <v>CO</v>
          </cell>
          <cell r="F3261">
            <v>44109</v>
          </cell>
          <cell r="G3261">
            <v>44008</v>
          </cell>
          <cell r="H3261">
            <v>51313</v>
          </cell>
          <cell r="I3261" t="str">
            <v>20 years, 0 months, 0 days</v>
          </cell>
          <cell r="J3261" t="str">
            <v>Renewables</v>
          </cell>
          <cell r="K3261" t="str">
            <v>Solar (Ground Mounted)</v>
          </cell>
          <cell r="L3261" t="str">
            <v>Solar</v>
          </cell>
          <cell r="M3261" t="str">
            <v>Dx</v>
          </cell>
          <cell r="N3261" t="str">
            <v>Parry Sound</v>
          </cell>
          <cell r="O3261" t="str">
            <v>Parry Sound</v>
          </cell>
          <cell r="P3261" t="str">
            <v>Essa</v>
          </cell>
        </row>
        <row r="3262">
          <cell r="C3262" t="str">
            <v>275 Finchdene Square, Scarborough</v>
          </cell>
          <cell r="D3262" t="str">
            <v>2531789 Ontario Inc.</v>
          </cell>
          <cell r="E3262" t="str">
            <v>CO</v>
          </cell>
          <cell r="F3262">
            <v>43609</v>
          </cell>
          <cell r="G3262">
            <v>43622</v>
          </cell>
          <cell r="H3262">
            <v>50913</v>
          </cell>
          <cell r="I3262" t="str">
            <v>19 years, 11 months, 17 days</v>
          </cell>
          <cell r="J3262" t="str">
            <v>Renewables</v>
          </cell>
          <cell r="K3262" t="str">
            <v>Solar (Rooftop)</v>
          </cell>
          <cell r="L3262" t="str">
            <v>Solar</v>
          </cell>
          <cell r="M3262" t="str">
            <v>Dx</v>
          </cell>
          <cell r="N3262" t="str">
            <v>Toronto</v>
          </cell>
          <cell r="O3262" t="str">
            <v>Toronto</v>
          </cell>
          <cell r="P3262" t="str">
            <v>Toronto</v>
          </cell>
        </row>
        <row r="3263">
          <cell r="C3263" t="str">
            <v>Grand Renewable Energy Park</v>
          </cell>
          <cell r="D3263" t="str">
            <v>Grand Renewable Solar LP</v>
          </cell>
          <cell r="E3263" t="str">
            <v>CO</v>
          </cell>
          <cell r="F3263">
            <v>41729</v>
          </cell>
          <cell r="G3263">
            <v>42094</v>
          </cell>
          <cell r="H3263">
            <v>49398</v>
          </cell>
          <cell r="I3263" t="str">
            <v>19 years, 11 months, 27 days</v>
          </cell>
          <cell r="J3263" t="str">
            <v>Renewables</v>
          </cell>
          <cell r="K3263" t="str">
            <v>Solar (Ground Mounted)</v>
          </cell>
          <cell r="L3263" t="str">
            <v>Solar</v>
          </cell>
          <cell r="M3263" t="str">
            <v>Tx</v>
          </cell>
          <cell r="N3263" t="str">
            <v>Cayuga</v>
          </cell>
          <cell r="O3263" t="str">
            <v>Haldimand</v>
          </cell>
          <cell r="P3263" t="str">
            <v>Southwest</v>
          </cell>
        </row>
        <row r="3264">
          <cell r="C3264" t="str">
            <v>South Kent Wind Project</v>
          </cell>
          <cell r="D3264" t="str">
            <v>South Kent Wind LP</v>
          </cell>
          <cell r="E3264" t="str">
            <v>CO</v>
          </cell>
          <cell r="F3264">
            <v>41884</v>
          </cell>
          <cell r="G3264">
            <v>41726</v>
          </cell>
          <cell r="H3264">
            <v>49030</v>
          </cell>
          <cell r="I3264" t="str">
            <v>19 years, 11 months, 27 days</v>
          </cell>
          <cell r="J3264" t="str">
            <v>Renewables</v>
          </cell>
          <cell r="K3264" t="str">
            <v>Wind (On-Shore)</v>
          </cell>
          <cell r="L3264" t="str">
            <v>Wind</v>
          </cell>
          <cell r="M3264" t="str">
            <v>Tx</v>
          </cell>
          <cell r="N3264" t="str">
            <v>Blenheim</v>
          </cell>
          <cell r="O3264" t="str">
            <v>Chatham-Kent</v>
          </cell>
          <cell r="P3264" t="str">
            <v>West</v>
          </cell>
        </row>
        <row r="3265">
          <cell r="C3265" t="str">
            <v>Armow Wind Project</v>
          </cell>
          <cell r="D3265" t="str">
            <v>Sp Armow Wind Ontario LP</v>
          </cell>
          <cell r="E3265" t="str">
            <v>CO</v>
          </cell>
          <cell r="F3265">
            <v>42345</v>
          </cell>
          <cell r="G3265">
            <v>42345</v>
          </cell>
          <cell r="H3265">
            <v>49649</v>
          </cell>
          <cell r="I3265" t="str">
            <v>19 years, 11 months, 29 days</v>
          </cell>
          <cell r="J3265" t="str">
            <v>Renewables</v>
          </cell>
          <cell r="K3265" t="str">
            <v>Wind (On-Shore)</v>
          </cell>
          <cell r="L3265" t="str">
            <v>Wind</v>
          </cell>
          <cell r="M3265" t="str">
            <v>Tx</v>
          </cell>
          <cell r="N3265" t="str">
            <v>Kincardine</v>
          </cell>
          <cell r="O3265" t="str">
            <v>Bruce</v>
          </cell>
          <cell r="P3265" t="str">
            <v>Southwest</v>
          </cell>
        </row>
        <row r="3266">
          <cell r="C3266" t="str">
            <v>Kingston Solar Project</v>
          </cell>
          <cell r="D3266" t="str">
            <v>Kingston Solar LP</v>
          </cell>
          <cell r="E3266" t="str">
            <v>CO</v>
          </cell>
          <cell r="F3266">
            <v>42292</v>
          </cell>
          <cell r="G3266">
            <v>42272</v>
          </cell>
          <cell r="H3266">
            <v>49576</v>
          </cell>
          <cell r="I3266" t="str">
            <v>19 years, 11 months, 30 days</v>
          </cell>
          <cell r="J3266" t="str">
            <v>Renewables</v>
          </cell>
          <cell r="K3266" t="str">
            <v>Solar (Ground Mounted)</v>
          </cell>
          <cell r="L3266" t="str">
            <v>Solar</v>
          </cell>
          <cell r="M3266" t="str">
            <v>Tx</v>
          </cell>
          <cell r="N3266" t="str">
            <v>Odessa</v>
          </cell>
          <cell r="O3266" t="str">
            <v>Lennox and Addington</v>
          </cell>
          <cell r="P3266" t="str">
            <v>East</v>
          </cell>
        </row>
        <row r="3267">
          <cell r="C3267" t="str">
            <v>Grand Renewable Energy Park</v>
          </cell>
          <cell r="D3267" t="str">
            <v>Grand Renewable Wind LP</v>
          </cell>
          <cell r="E3267" t="str">
            <v>CO</v>
          </cell>
          <cell r="F3267">
            <v>41907</v>
          </cell>
          <cell r="G3267">
            <v>41982</v>
          </cell>
          <cell r="H3267">
            <v>49286</v>
          </cell>
          <cell r="I3267" t="str">
            <v>19 years, 11 months, 29 days</v>
          </cell>
          <cell r="J3267" t="str">
            <v>Renewables</v>
          </cell>
          <cell r="K3267" t="str">
            <v>Wind (On-Shore)</v>
          </cell>
          <cell r="L3267" t="str">
            <v>Wind</v>
          </cell>
          <cell r="M3267" t="str">
            <v>Tx</v>
          </cell>
          <cell r="N3267" t="str">
            <v>Cayuga</v>
          </cell>
          <cell r="O3267" t="str">
            <v>Haldimand</v>
          </cell>
          <cell r="P3267" t="str">
            <v>Southwest</v>
          </cell>
        </row>
        <row r="3268">
          <cell r="C3268" t="str">
            <v>K2</v>
          </cell>
          <cell r="D3268" t="str">
            <v>K2 Wind Ontario Limited Partnership</v>
          </cell>
          <cell r="E3268" t="str">
            <v>CO</v>
          </cell>
          <cell r="F3268">
            <v>42188</v>
          </cell>
          <cell r="G3268">
            <v>42153</v>
          </cell>
          <cell r="H3268">
            <v>49457</v>
          </cell>
          <cell r="I3268" t="str">
            <v>19 years, 11 months, 29 days</v>
          </cell>
          <cell r="J3268" t="str">
            <v>Renewables</v>
          </cell>
          <cell r="K3268" t="str">
            <v>Wind (On-Shore)</v>
          </cell>
          <cell r="L3268" t="str">
            <v>Wind</v>
          </cell>
          <cell r="M3268" t="str">
            <v>Tx</v>
          </cell>
          <cell r="N3268" t="str">
            <v>Dungannon</v>
          </cell>
          <cell r="O3268" t="str">
            <v>Huron</v>
          </cell>
          <cell r="P3268" t="str">
            <v>Bruce</v>
          </cell>
        </row>
        <row r="3269">
          <cell r="C3269" t="str">
            <v>Belle River Wind</v>
          </cell>
          <cell r="D3269" t="str">
            <v>SP Belle River Wind LP</v>
          </cell>
          <cell r="E3269" t="str">
            <v>CO</v>
          </cell>
          <cell r="F3269">
            <v>42735</v>
          </cell>
          <cell r="G3269">
            <v>42979</v>
          </cell>
          <cell r="H3269">
            <v>50039</v>
          </cell>
          <cell r="I3269" t="str">
            <v>19 years, 3 months, 29 days</v>
          </cell>
          <cell r="J3269" t="str">
            <v>Renewables</v>
          </cell>
          <cell r="K3269" t="str">
            <v>Wind (On-Shore)</v>
          </cell>
          <cell r="L3269" t="str">
            <v>Wind</v>
          </cell>
          <cell r="M3269" t="str">
            <v>Tx</v>
          </cell>
          <cell r="N3269" t="str">
            <v>South Woodslee</v>
          </cell>
          <cell r="O3269" t="str">
            <v>Essex</v>
          </cell>
          <cell r="P3269" t="str">
            <v>West</v>
          </cell>
        </row>
        <row r="3270">
          <cell r="C3270" t="str">
            <v>North Kent Wind 1 LP</v>
          </cell>
          <cell r="D3270" t="str">
            <v>North Kent Wind 1 LP</v>
          </cell>
          <cell r="E3270" t="str">
            <v>CO</v>
          </cell>
          <cell r="F3270">
            <v>42735</v>
          </cell>
          <cell r="G3270">
            <v>43153</v>
          </cell>
          <cell r="H3270">
            <v>50457</v>
          </cell>
          <cell r="I3270" t="str">
            <v>19 years, 11 months, 30 days</v>
          </cell>
          <cell r="J3270" t="str">
            <v>Renewables</v>
          </cell>
          <cell r="K3270" t="str">
            <v>Wind (On-Shore)</v>
          </cell>
          <cell r="L3270" t="str">
            <v>Wind</v>
          </cell>
          <cell r="M3270" t="str">
            <v>Tx</v>
          </cell>
          <cell r="N3270" t="str">
            <v>Dresden</v>
          </cell>
          <cell r="O3270" t="str">
            <v>Chatham-Kent</v>
          </cell>
          <cell r="P3270" t="str">
            <v>West</v>
          </cell>
        </row>
        <row r="3271">
          <cell r="C3271" t="str">
            <v>Windsor Solar</v>
          </cell>
          <cell r="D3271" t="str">
            <v>Windsor Solar LP</v>
          </cell>
          <cell r="E3271" t="str">
            <v>CO</v>
          </cell>
          <cell r="F3271">
            <v>42735</v>
          </cell>
          <cell r="G3271">
            <v>42688</v>
          </cell>
          <cell r="H3271">
            <v>49992</v>
          </cell>
          <cell r="I3271" t="str">
            <v>19 years, 11 months, 30 days</v>
          </cell>
          <cell r="J3271" t="str">
            <v>Renewables</v>
          </cell>
          <cell r="K3271" t="str">
            <v>Solar (Ground Mounted)</v>
          </cell>
          <cell r="L3271" t="str">
            <v>Solar</v>
          </cell>
          <cell r="M3271" t="str">
            <v>Tx</v>
          </cell>
          <cell r="N3271" t="str">
            <v>Windsor</v>
          </cell>
          <cell r="O3271" t="str">
            <v>Essex</v>
          </cell>
          <cell r="P3271" t="str">
            <v>West</v>
          </cell>
        </row>
        <row r="3272">
          <cell r="C3272" t="str">
            <v>Southgate Solar</v>
          </cell>
          <cell r="D3272" t="str">
            <v>Southgate Solar LP</v>
          </cell>
          <cell r="E3272" t="str">
            <v>CO</v>
          </cell>
          <cell r="F3272">
            <v>42735</v>
          </cell>
          <cell r="G3272">
            <v>42726</v>
          </cell>
          <cell r="H3272">
            <v>50030</v>
          </cell>
          <cell r="I3272" t="str">
            <v>19 years, 11 months, 29 days</v>
          </cell>
          <cell r="J3272" t="str">
            <v>Renewables</v>
          </cell>
          <cell r="K3272" t="str">
            <v>Solar (Ground Mounted)</v>
          </cell>
          <cell r="L3272" t="str">
            <v>Solar</v>
          </cell>
          <cell r="M3272" t="str">
            <v>Tx</v>
          </cell>
          <cell r="N3272" t="str">
            <v>Holstein</v>
          </cell>
          <cell r="O3272" t="str">
            <v>Grey</v>
          </cell>
          <cell r="P3272" t="str">
            <v>Southwest</v>
          </cell>
        </row>
        <row r="3273">
          <cell r="C3273" t="str">
            <v>London Street Generating Station</v>
          </cell>
          <cell r="D3273" t="str">
            <v>Peterborough Utilities Inc.</v>
          </cell>
          <cell r="E3273" t="str">
            <v>CO</v>
          </cell>
          <cell r="F3273">
            <v>40179</v>
          </cell>
          <cell r="G3273">
            <v>40179</v>
          </cell>
          <cell r="H3273">
            <v>47484</v>
          </cell>
          <cell r="I3273" t="str">
            <v>20 years, 0 months, 0 days</v>
          </cell>
          <cell r="J3273" t="str">
            <v>Renewables</v>
          </cell>
          <cell r="K3273" t="str">
            <v>Run-of-River</v>
          </cell>
          <cell r="L3273" t="str">
            <v>Waterpower</v>
          </cell>
          <cell r="M3273" t="str">
            <v>Dx</v>
          </cell>
          <cell r="N3273" t="str">
            <v>Peterborough</v>
          </cell>
          <cell r="O3273" t="str">
            <v>Peterborough</v>
          </cell>
          <cell r="P3273" t="str">
            <v>East</v>
          </cell>
        </row>
        <row r="3274">
          <cell r="C3274" t="str">
            <v>West Nipissing Power Generation Ltd</v>
          </cell>
          <cell r="D3274" t="str">
            <v>West Nipissing Power Generation</v>
          </cell>
          <cell r="E3274" t="str">
            <v>CO</v>
          </cell>
          <cell r="F3274">
            <v>40238</v>
          </cell>
          <cell r="G3274">
            <v>40238</v>
          </cell>
          <cell r="H3274">
            <v>47543</v>
          </cell>
          <cell r="I3274" t="str">
            <v>20 years, 0 months, 0 days</v>
          </cell>
          <cell r="J3274" t="str">
            <v>Renewables</v>
          </cell>
          <cell r="K3274" t="str">
            <v>Run-of-River</v>
          </cell>
          <cell r="L3274" t="str">
            <v>Waterpower</v>
          </cell>
          <cell r="M3274" t="str">
            <v>Dx</v>
          </cell>
          <cell r="N3274" t="str">
            <v>Sturgeon Falls</v>
          </cell>
          <cell r="O3274" t="str">
            <v>Nipissing</v>
          </cell>
          <cell r="P3274" t="str">
            <v>Northeast</v>
          </cell>
        </row>
        <row r="3275">
          <cell r="C3275" t="str">
            <v>Wheelfast Canada - Scone Generator</v>
          </cell>
          <cell r="D3275" t="str">
            <v>Turner Power Company</v>
          </cell>
          <cell r="E3275" t="str">
            <v>CO</v>
          </cell>
          <cell r="F3275">
            <v>40179</v>
          </cell>
          <cell r="G3275">
            <v>40179</v>
          </cell>
          <cell r="H3275">
            <v>47484</v>
          </cell>
          <cell r="I3275" t="str">
            <v>20 years, 0 months, 0 days</v>
          </cell>
          <cell r="J3275" t="str">
            <v>Renewables</v>
          </cell>
          <cell r="K3275" t="str">
            <v>Run-of-River</v>
          </cell>
          <cell r="L3275" t="str">
            <v>Waterpower</v>
          </cell>
          <cell r="M3275" t="str">
            <v>Dx</v>
          </cell>
          <cell r="N3275" t="str">
            <v>Chesley</v>
          </cell>
          <cell r="O3275" t="str">
            <v>Bruce</v>
          </cell>
          <cell r="P3275" t="str">
            <v>Southwest</v>
          </cell>
        </row>
        <row r="3276">
          <cell r="C3276" t="str">
            <v>Matthias Generating Station</v>
          </cell>
          <cell r="D3276" t="str">
            <v>Orillia Power Generation Corporation</v>
          </cell>
          <cell r="E3276" t="str">
            <v>CO</v>
          </cell>
          <cell r="F3276">
            <v>40179</v>
          </cell>
          <cell r="G3276">
            <v>40179</v>
          </cell>
          <cell r="H3276">
            <v>47484</v>
          </cell>
          <cell r="I3276" t="str">
            <v>20 years, 0 months, 0 days</v>
          </cell>
          <cell r="J3276" t="str">
            <v>Renewables</v>
          </cell>
          <cell r="K3276" t="str">
            <v>Run-of-River</v>
          </cell>
          <cell r="L3276" t="str">
            <v>Waterpower</v>
          </cell>
          <cell r="M3276" t="str">
            <v>Dx</v>
          </cell>
          <cell r="N3276" t="str">
            <v>Bracebridge</v>
          </cell>
          <cell r="O3276" t="str">
            <v>Muskoka</v>
          </cell>
          <cell r="P3276" t="str">
            <v>Essa</v>
          </cell>
        </row>
        <row r="3277">
          <cell r="C3277" t="str">
            <v>Swift Rapids Generating Station</v>
          </cell>
          <cell r="D3277" t="str">
            <v>Orillia Power Generation Corporation</v>
          </cell>
          <cell r="E3277" t="str">
            <v>CO</v>
          </cell>
          <cell r="F3277">
            <v>40179</v>
          </cell>
          <cell r="G3277">
            <v>40179</v>
          </cell>
          <cell r="H3277">
            <v>47484</v>
          </cell>
          <cell r="I3277" t="str">
            <v>20 years, 0 months, 0 days</v>
          </cell>
          <cell r="J3277" t="str">
            <v>Renewables</v>
          </cell>
          <cell r="K3277" t="str">
            <v>Run-of-River</v>
          </cell>
          <cell r="L3277" t="str">
            <v>Waterpower</v>
          </cell>
          <cell r="M3277" t="str">
            <v>Dx</v>
          </cell>
          <cell r="N3277" t="str">
            <v>Coldwater</v>
          </cell>
          <cell r="O3277" t="str">
            <v>Simcoe</v>
          </cell>
          <cell r="P3277" t="str">
            <v>Essa</v>
          </cell>
        </row>
        <row r="3278">
          <cell r="C3278" t="str">
            <v>Campbellford-Seymour Electric Generation Inc. - Plant No. 1 GS</v>
          </cell>
          <cell r="D3278" t="str">
            <v>Campbellford-Seymour Electric Generation Inc.</v>
          </cell>
          <cell r="E3278" t="str">
            <v>CO</v>
          </cell>
          <cell r="F3278">
            <v>40179</v>
          </cell>
          <cell r="G3278">
            <v>40179</v>
          </cell>
          <cell r="H3278">
            <v>47484</v>
          </cell>
          <cell r="I3278" t="str">
            <v>20 years, 0 months, 0 days</v>
          </cell>
          <cell r="J3278" t="str">
            <v>Renewables</v>
          </cell>
          <cell r="K3278" t="str">
            <v>Run-of-River</v>
          </cell>
          <cell r="L3278" t="str">
            <v>Waterpower</v>
          </cell>
          <cell r="M3278" t="str">
            <v>Dx</v>
          </cell>
          <cell r="N3278" t="str">
            <v>Campbellford</v>
          </cell>
          <cell r="O3278" t="str">
            <v>Northumberland</v>
          </cell>
          <cell r="P3278" t="str">
            <v>East</v>
          </cell>
        </row>
        <row r="3279">
          <cell r="C3279" t="str">
            <v>Kagawong Generating Station</v>
          </cell>
          <cell r="D3279" t="str">
            <v>OEC Kagawong Inc.</v>
          </cell>
          <cell r="E3279" t="str">
            <v>CO</v>
          </cell>
          <cell r="F3279">
            <v>40179</v>
          </cell>
          <cell r="G3279">
            <v>40179</v>
          </cell>
          <cell r="H3279">
            <v>47484</v>
          </cell>
          <cell r="I3279" t="str">
            <v>20 years, 0 months, 0 days</v>
          </cell>
          <cell r="J3279" t="str">
            <v>Renewables</v>
          </cell>
          <cell r="K3279" t="str">
            <v>Run-of-River</v>
          </cell>
          <cell r="L3279" t="str">
            <v>Waterpower</v>
          </cell>
          <cell r="M3279" t="str">
            <v>Dx</v>
          </cell>
          <cell r="N3279" t="str">
            <v>Kagawong</v>
          </cell>
          <cell r="O3279" t="str">
            <v>Manitoulin</v>
          </cell>
          <cell r="P3279" t="str">
            <v>Northeast</v>
          </cell>
        </row>
        <row r="3280">
          <cell r="C3280" t="str">
            <v>Heywood Generating Station</v>
          </cell>
          <cell r="D3280" t="str">
            <v>St. Catharines Hydro Generation Inc.</v>
          </cell>
          <cell r="E3280" t="str">
            <v>CO</v>
          </cell>
          <cell r="F3280">
            <v>40179</v>
          </cell>
          <cell r="G3280">
            <v>40179</v>
          </cell>
          <cell r="H3280">
            <v>47484</v>
          </cell>
          <cell r="I3280" t="str">
            <v>20 years, 0 months, 0 days</v>
          </cell>
          <cell r="J3280" t="str">
            <v>Renewables</v>
          </cell>
          <cell r="K3280" t="str">
            <v>Run-of-River</v>
          </cell>
          <cell r="L3280" t="str">
            <v>Waterpower</v>
          </cell>
          <cell r="M3280" t="str">
            <v>Dx</v>
          </cell>
          <cell r="N3280" t="str">
            <v>St. Catharines</v>
          </cell>
          <cell r="O3280" t="str">
            <v>Niagara</v>
          </cell>
          <cell r="P3280" t="str">
            <v>Niagara</v>
          </cell>
        </row>
        <row r="3281">
          <cell r="C3281" t="str">
            <v>1149377 Ontario Limited</v>
          </cell>
          <cell r="D3281" t="str">
            <v>1149377 Ontario Limited</v>
          </cell>
          <cell r="E3281" t="str">
            <v>CO</v>
          </cell>
          <cell r="F3281">
            <v>40179</v>
          </cell>
          <cell r="G3281">
            <v>40179</v>
          </cell>
          <cell r="H3281">
            <v>47484</v>
          </cell>
          <cell r="I3281" t="str">
            <v>20 years, 0 months, 0 days</v>
          </cell>
          <cell r="J3281" t="str">
            <v>Renewables</v>
          </cell>
          <cell r="K3281" t="str">
            <v>Run-of-River</v>
          </cell>
          <cell r="L3281" t="str">
            <v>Waterpower</v>
          </cell>
          <cell r="M3281" t="str">
            <v>Dx</v>
          </cell>
          <cell r="N3281" t="str">
            <v>Blind River</v>
          </cell>
          <cell r="O3281" t="str">
            <v>Algoma</v>
          </cell>
          <cell r="P3281" t="str">
            <v>Northeast</v>
          </cell>
        </row>
        <row r="3282">
          <cell r="C3282" t="str">
            <v>635294 Ontario Inc.</v>
          </cell>
          <cell r="D3282" t="str">
            <v>635294 Ontario Inc.</v>
          </cell>
          <cell r="E3282" t="str">
            <v>CO</v>
          </cell>
          <cell r="F3282">
            <v>40210</v>
          </cell>
          <cell r="G3282">
            <v>40210</v>
          </cell>
          <cell r="H3282">
            <v>47515</v>
          </cell>
          <cell r="I3282" t="str">
            <v>20 years, 0 months, 0 days</v>
          </cell>
          <cell r="J3282" t="str">
            <v>Renewables</v>
          </cell>
          <cell r="K3282" t="str">
            <v>Run-of-River</v>
          </cell>
          <cell r="L3282" t="str">
            <v>Waterpower</v>
          </cell>
          <cell r="M3282" t="str">
            <v>Dx</v>
          </cell>
          <cell r="N3282" t="str">
            <v>Ramore</v>
          </cell>
          <cell r="O3282" t="str">
            <v>Cochrane</v>
          </cell>
          <cell r="P3282" t="str">
            <v>Northeast</v>
          </cell>
        </row>
        <row r="3283">
          <cell r="C3283" t="str">
            <v>Parry Sound PowerGen Corporation - Cascade Street G.S.</v>
          </cell>
          <cell r="D3283" t="str">
            <v>Bracebridge Generation Ltd.</v>
          </cell>
          <cell r="E3283" t="str">
            <v>CO</v>
          </cell>
          <cell r="F3283">
            <v>40238</v>
          </cell>
          <cell r="G3283">
            <v>40238</v>
          </cell>
          <cell r="H3283">
            <v>47543</v>
          </cell>
          <cell r="I3283" t="str">
            <v>20 years, 0 months, 0 days</v>
          </cell>
          <cell r="J3283" t="str">
            <v>Renewables</v>
          </cell>
          <cell r="K3283" t="str">
            <v>Run-of-River</v>
          </cell>
          <cell r="L3283" t="str">
            <v>Waterpower</v>
          </cell>
          <cell r="M3283" t="str">
            <v>Dx</v>
          </cell>
          <cell r="N3283" t="str">
            <v>Parry Sound</v>
          </cell>
          <cell r="O3283" t="str">
            <v>Parry Sound</v>
          </cell>
          <cell r="P3283" t="str">
            <v>Essa</v>
          </cell>
        </row>
        <row r="3284">
          <cell r="C3284" t="str">
            <v>Chaudière No. 2 Generating Station</v>
          </cell>
          <cell r="D3284" t="str">
            <v>Energy Ottawa Inc.</v>
          </cell>
          <cell r="E3284" t="str">
            <v>CO</v>
          </cell>
          <cell r="F3284">
            <v>40269</v>
          </cell>
          <cell r="G3284">
            <v>40269</v>
          </cell>
          <cell r="H3284">
            <v>47574</v>
          </cell>
          <cell r="I3284" t="str">
            <v>20 years, 0 months, 0 days</v>
          </cell>
          <cell r="J3284" t="str">
            <v>Renewables</v>
          </cell>
          <cell r="K3284" t="str">
            <v>Run-of-River</v>
          </cell>
          <cell r="L3284" t="str">
            <v>Waterpower</v>
          </cell>
          <cell r="M3284" t="str">
            <v>Dx</v>
          </cell>
          <cell r="N3284" t="str">
            <v>Ottawa</v>
          </cell>
          <cell r="O3284" t="str">
            <v>Ottawa</v>
          </cell>
          <cell r="P3284" t="str">
            <v>Ottawa</v>
          </cell>
        </row>
        <row r="3285">
          <cell r="C3285" t="str">
            <v>Chaudière No. 4 Generating Station</v>
          </cell>
          <cell r="D3285" t="str">
            <v>Energy Ottawa Inc.</v>
          </cell>
          <cell r="E3285" t="str">
            <v>CO</v>
          </cell>
          <cell r="F3285">
            <v>40269</v>
          </cell>
          <cell r="G3285">
            <v>40269</v>
          </cell>
          <cell r="H3285">
            <v>47574</v>
          </cell>
          <cell r="I3285" t="str">
            <v>20 years, 0 months, 0 days</v>
          </cell>
          <cell r="J3285" t="str">
            <v>Renewables</v>
          </cell>
          <cell r="K3285" t="str">
            <v>Run-of-River</v>
          </cell>
          <cell r="L3285" t="str">
            <v>Waterpower</v>
          </cell>
          <cell r="M3285" t="str">
            <v>Dx</v>
          </cell>
          <cell r="N3285" t="str">
            <v>Ottawa</v>
          </cell>
          <cell r="O3285" t="str">
            <v>Ottawa</v>
          </cell>
          <cell r="P3285" t="str">
            <v>Ottawa</v>
          </cell>
        </row>
        <row r="3286">
          <cell r="C3286" t="str">
            <v>Bracebridge Falls Generating Station</v>
          </cell>
          <cell r="D3286" t="str">
            <v>Bracebridge Generation Ltd.</v>
          </cell>
          <cell r="E3286" t="str">
            <v>CO</v>
          </cell>
          <cell r="F3286">
            <v>40299</v>
          </cell>
          <cell r="G3286">
            <v>40299</v>
          </cell>
          <cell r="H3286">
            <v>47604</v>
          </cell>
          <cell r="I3286" t="str">
            <v>20 years, 0 months, 0 days</v>
          </cell>
          <cell r="J3286" t="str">
            <v>Renewables</v>
          </cell>
          <cell r="K3286" t="str">
            <v>Run-of-River</v>
          </cell>
          <cell r="L3286" t="str">
            <v>Waterpower</v>
          </cell>
          <cell r="M3286" t="str">
            <v>Dx</v>
          </cell>
          <cell r="N3286" t="str">
            <v>Bracebridge</v>
          </cell>
          <cell r="O3286" t="str">
            <v>Muskoka</v>
          </cell>
          <cell r="P3286" t="str">
            <v>Essa</v>
          </cell>
        </row>
        <row r="3287">
          <cell r="C3287" t="str">
            <v>Wilson's Falls Generating Station</v>
          </cell>
          <cell r="D3287" t="str">
            <v>Bracebridge Generation Ltd.</v>
          </cell>
          <cell r="E3287" t="str">
            <v>CO</v>
          </cell>
          <cell r="F3287">
            <v>40299</v>
          </cell>
          <cell r="G3287">
            <v>40299</v>
          </cell>
          <cell r="H3287">
            <v>47604</v>
          </cell>
          <cell r="I3287" t="str">
            <v>20 years, 0 months, 0 days</v>
          </cell>
          <cell r="J3287" t="str">
            <v>Renewables</v>
          </cell>
          <cell r="K3287" t="str">
            <v>Run-of-River</v>
          </cell>
          <cell r="L3287" t="str">
            <v>Waterpower</v>
          </cell>
          <cell r="M3287" t="str">
            <v>Dx</v>
          </cell>
          <cell r="N3287" t="str">
            <v>Bracebridge</v>
          </cell>
          <cell r="O3287" t="str">
            <v>Muskoka</v>
          </cell>
          <cell r="P3287" t="str">
            <v>Essa</v>
          </cell>
        </row>
        <row r="3288">
          <cell r="C3288" t="str">
            <v>Burk's Falls G.S.</v>
          </cell>
          <cell r="D3288" t="str">
            <v>Bracebridge Generation Ltd.</v>
          </cell>
          <cell r="E3288" t="str">
            <v>CO</v>
          </cell>
          <cell r="F3288">
            <v>40299</v>
          </cell>
          <cell r="G3288">
            <v>40299</v>
          </cell>
          <cell r="H3288">
            <v>47604</v>
          </cell>
          <cell r="I3288" t="str">
            <v>20 years, 0 months, 0 days</v>
          </cell>
          <cell r="J3288" t="str">
            <v>Renewables</v>
          </cell>
          <cell r="K3288" t="str">
            <v>Run-of-River</v>
          </cell>
          <cell r="L3288" t="str">
            <v>Waterpower</v>
          </cell>
          <cell r="M3288" t="str">
            <v>Dx</v>
          </cell>
          <cell r="N3288" t="str">
            <v>Burks Falls</v>
          </cell>
          <cell r="O3288" t="str">
            <v>Parry Sound</v>
          </cell>
          <cell r="P3288" t="str">
            <v>Essa</v>
          </cell>
        </row>
        <row r="3289">
          <cell r="C3289" t="str">
            <v>Stewart GS</v>
          </cell>
          <cell r="D3289" t="str">
            <v>Misty Rapids Power Inc.</v>
          </cell>
          <cell r="E3289" t="str">
            <v>CO</v>
          </cell>
          <cell r="F3289">
            <v>40334</v>
          </cell>
          <cell r="G3289">
            <v>40334</v>
          </cell>
          <cell r="H3289">
            <v>47639</v>
          </cell>
          <cell r="I3289" t="str">
            <v>20 years, 0 months, 0 days</v>
          </cell>
          <cell r="J3289" t="str">
            <v>Renewables</v>
          </cell>
          <cell r="K3289" t="str">
            <v>Run-of-River</v>
          </cell>
          <cell r="L3289" t="str">
            <v>Waterpower</v>
          </cell>
          <cell r="M3289" t="str">
            <v>Dx</v>
          </cell>
          <cell r="N3289" t="str">
            <v>Arnprior</v>
          </cell>
          <cell r="O3289" t="str">
            <v>Renfrew</v>
          </cell>
          <cell r="P3289" t="str">
            <v>East</v>
          </cell>
        </row>
        <row r="3290">
          <cell r="C3290" t="str">
            <v>Barrie Small Hydro Limited</v>
          </cell>
          <cell r="D3290" t="str">
            <v>Barrie Small Hydro Limited</v>
          </cell>
          <cell r="E3290" t="str">
            <v>CO</v>
          </cell>
          <cell r="F3290">
            <v>40376</v>
          </cell>
          <cell r="G3290">
            <v>40376</v>
          </cell>
          <cell r="H3290">
            <v>47681</v>
          </cell>
          <cell r="I3290" t="str">
            <v>20 years, 0 months, 0 days</v>
          </cell>
          <cell r="J3290" t="str">
            <v>Renewables</v>
          </cell>
          <cell r="K3290" t="str">
            <v>Run-of-River</v>
          </cell>
          <cell r="L3290" t="str">
            <v>Waterpower</v>
          </cell>
          <cell r="M3290" t="str">
            <v>Dx</v>
          </cell>
          <cell r="N3290" t="str">
            <v>Arnprior</v>
          </cell>
          <cell r="O3290" t="str">
            <v>Renfrew</v>
          </cell>
          <cell r="P3290" t="str">
            <v>East</v>
          </cell>
        </row>
        <row r="3291">
          <cell r="C3291" t="str">
            <v>Rideau Falls</v>
          </cell>
          <cell r="D3291" t="str">
            <v>EO Generation Limited Partnership</v>
          </cell>
          <cell r="E3291" t="str">
            <v>CO</v>
          </cell>
          <cell r="F3291">
            <v>40299</v>
          </cell>
          <cell r="G3291">
            <v>40299</v>
          </cell>
          <cell r="H3291">
            <v>47604</v>
          </cell>
          <cell r="I3291" t="str">
            <v>20 years, 0 months, 0 days</v>
          </cell>
          <cell r="J3291" t="str">
            <v>Renewables</v>
          </cell>
          <cell r="K3291" t="str">
            <v>Run-of-River</v>
          </cell>
          <cell r="L3291" t="str">
            <v>Waterpower</v>
          </cell>
          <cell r="M3291" t="str">
            <v>Dx</v>
          </cell>
          <cell r="N3291" t="str">
            <v>Ottawa</v>
          </cell>
          <cell r="O3291" t="str">
            <v>Ottawa</v>
          </cell>
          <cell r="P3291" t="str">
            <v>Ottawa</v>
          </cell>
        </row>
        <row r="3292">
          <cell r="C3292" t="str">
            <v>Washburn</v>
          </cell>
          <cell r="D3292" t="str">
            <v>EO Generation Limited Partnership</v>
          </cell>
          <cell r="E3292" t="str">
            <v>CO</v>
          </cell>
          <cell r="F3292">
            <v>40299</v>
          </cell>
          <cell r="G3292">
            <v>40299</v>
          </cell>
          <cell r="H3292">
            <v>47604</v>
          </cell>
          <cell r="I3292" t="str">
            <v>20 years, 0 months, 0 days</v>
          </cell>
          <cell r="J3292" t="str">
            <v>Renewables</v>
          </cell>
          <cell r="K3292" t="str">
            <v>Run-of-River</v>
          </cell>
          <cell r="L3292" t="str">
            <v>Waterpower</v>
          </cell>
          <cell r="M3292" t="str">
            <v>Dx</v>
          </cell>
          <cell r="N3292" t="str">
            <v>Kingston</v>
          </cell>
          <cell r="O3292" t="str">
            <v>Frontenac</v>
          </cell>
          <cell r="P3292" t="str">
            <v>East</v>
          </cell>
        </row>
        <row r="3293">
          <cell r="C3293" t="str">
            <v>Gananoque</v>
          </cell>
          <cell r="D3293" t="str">
            <v>EO Generation Limited Partnership</v>
          </cell>
          <cell r="E3293" t="str">
            <v>CO</v>
          </cell>
          <cell r="F3293">
            <v>40299</v>
          </cell>
          <cell r="G3293">
            <v>40299</v>
          </cell>
          <cell r="H3293">
            <v>47604</v>
          </cell>
          <cell r="I3293" t="str">
            <v>20 years, 0 months, 0 days</v>
          </cell>
          <cell r="J3293" t="str">
            <v>Renewables</v>
          </cell>
          <cell r="K3293" t="str">
            <v>Run-of-River</v>
          </cell>
          <cell r="L3293" t="str">
            <v>Waterpower</v>
          </cell>
          <cell r="M3293" t="str">
            <v>Dx</v>
          </cell>
          <cell r="N3293" t="str">
            <v>Gananoque</v>
          </cell>
          <cell r="O3293" t="str">
            <v>Leeds and Grenville</v>
          </cell>
          <cell r="P3293" t="str">
            <v>East</v>
          </cell>
        </row>
        <row r="3294">
          <cell r="C3294" t="str">
            <v>Kingston Mills</v>
          </cell>
          <cell r="D3294" t="str">
            <v>EO Generation Limited Partnership</v>
          </cell>
          <cell r="E3294" t="str">
            <v>CO</v>
          </cell>
          <cell r="F3294">
            <v>40299</v>
          </cell>
          <cell r="G3294">
            <v>40299</v>
          </cell>
          <cell r="H3294">
            <v>47604</v>
          </cell>
          <cell r="I3294" t="str">
            <v>20 years, 0 months, 0 days</v>
          </cell>
          <cell r="J3294" t="str">
            <v>Renewables</v>
          </cell>
          <cell r="K3294" t="str">
            <v>Run-of-River</v>
          </cell>
          <cell r="L3294" t="str">
            <v>Waterpower</v>
          </cell>
          <cell r="M3294" t="str">
            <v>Dx</v>
          </cell>
          <cell r="N3294" t="str">
            <v>Glenburnie</v>
          </cell>
          <cell r="O3294" t="str">
            <v>Frontenac</v>
          </cell>
          <cell r="P3294" t="str">
            <v>East</v>
          </cell>
        </row>
        <row r="3295">
          <cell r="C3295" t="str">
            <v>Brewers Mills</v>
          </cell>
          <cell r="D3295" t="str">
            <v>EO Generation Limited Partnership</v>
          </cell>
          <cell r="E3295" t="str">
            <v>CO</v>
          </cell>
          <cell r="F3295">
            <v>40299</v>
          </cell>
          <cell r="G3295">
            <v>40299</v>
          </cell>
          <cell r="H3295">
            <v>47604</v>
          </cell>
          <cell r="I3295" t="str">
            <v>20 years, 0 months, 0 days</v>
          </cell>
          <cell r="J3295" t="str">
            <v>Renewables</v>
          </cell>
          <cell r="K3295" t="str">
            <v>Run-of-River</v>
          </cell>
          <cell r="L3295" t="str">
            <v>Waterpower</v>
          </cell>
          <cell r="M3295" t="str">
            <v>Dx</v>
          </cell>
          <cell r="N3295" t="str">
            <v>Seeleys Bay</v>
          </cell>
          <cell r="O3295" t="str">
            <v>Leeds and Grenville</v>
          </cell>
          <cell r="P3295" t="str">
            <v>East</v>
          </cell>
        </row>
        <row r="3296">
          <cell r="C3296" t="str">
            <v>Jones Falls</v>
          </cell>
          <cell r="D3296" t="str">
            <v>EO Generation Limited Partnership</v>
          </cell>
          <cell r="E3296" t="str">
            <v>CO</v>
          </cell>
          <cell r="F3296">
            <v>40299</v>
          </cell>
          <cell r="G3296">
            <v>40299</v>
          </cell>
          <cell r="H3296">
            <v>47604</v>
          </cell>
          <cell r="I3296" t="str">
            <v>20 years, 0 months, 0 days</v>
          </cell>
          <cell r="J3296" t="str">
            <v>Renewables</v>
          </cell>
          <cell r="K3296" t="str">
            <v>Run-of-River</v>
          </cell>
          <cell r="L3296" t="str">
            <v>Waterpower</v>
          </cell>
          <cell r="M3296" t="str">
            <v>Dx</v>
          </cell>
          <cell r="N3296" t="str">
            <v>Elgin</v>
          </cell>
          <cell r="O3296" t="str">
            <v>Leeds and Grenville</v>
          </cell>
          <cell r="P3296" t="str">
            <v>East</v>
          </cell>
        </row>
        <row r="3297">
          <cell r="C3297" t="str">
            <v>Domtar, Espanola Mill</v>
          </cell>
          <cell r="D3297" t="str">
            <v>Bioveld North Inc.</v>
          </cell>
          <cell r="E3297" t="str">
            <v>CO</v>
          </cell>
          <cell r="F3297">
            <v>40909</v>
          </cell>
          <cell r="G3297">
            <v>40909</v>
          </cell>
          <cell r="H3297">
            <v>48214</v>
          </cell>
          <cell r="I3297" t="str">
            <v>20 years, 0 months, 0 days</v>
          </cell>
          <cell r="J3297" t="str">
            <v>Renewables</v>
          </cell>
          <cell r="K3297" t="str">
            <v>Run-of-River</v>
          </cell>
          <cell r="L3297" t="str">
            <v>Waterpower</v>
          </cell>
          <cell r="M3297" t="str">
            <v>Tx</v>
          </cell>
          <cell r="N3297" t="str">
            <v>Espanola</v>
          </cell>
          <cell r="O3297" t="str">
            <v>Sudbury</v>
          </cell>
          <cell r="P3297" t="str">
            <v>Northeast</v>
          </cell>
        </row>
        <row r="3298">
          <cell r="C3298" t="str">
            <v>Maple Hill</v>
          </cell>
          <cell r="D3298" t="str">
            <v>Serpent River Power Corporation</v>
          </cell>
          <cell r="E3298" t="str">
            <v>CO</v>
          </cell>
          <cell r="F3298">
            <v>40513</v>
          </cell>
          <cell r="G3298">
            <v>40513</v>
          </cell>
          <cell r="H3298">
            <v>47818</v>
          </cell>
          <cell r="I3298" t="str">
            <v>20 years, 0 months, 0 days</v>
          </cell>
          <cell r="J3298" t="str">
            <v>Renewables</v>
          </cell>
          <cell r="K3298" t="str">
            <v>Run-of-River</v>
          </cell>
          <cell r="L3298" t="str">
            <v>Waterpower</v>
          </cell>
          <cell r="M3298" t="str">
            <v>Dx</v>
          </cell>
          <cell r="N3298" t="str">
            <v>Walkerton</v>
          </cell>
          <cell r="O3298" t="str">
            <v>Bruce</v>
          </cell>
          <cell r="P3298" t="str">
            <v>Southwest</v>
          </cell>
        </row>
        <row r="3299">
          <cell r="C3299" t="str">
            <v>Stanley Adamson Powerhouse</v>
          </cell>
          <cell r="D3299" t="str">
            <v>Trent Energy Inc.</v>
          </cell>
          <cell r="E3299" t="str">
            <v>CO</v>
          </cell>
          <cell r="F3299">
            <v>41441</v>
          </cell>
          <cell r="G3299">
            <v>41441</v>
          </cell>
          <cell r="H3299">
            <v>48746</v>
          </cell>
          <cell r="I3299" t="str">
            <v>20 years, 0 months, 0 days</v>
          </cell>
          <cell r="J3299" t="str">
            <v>Renewables</v>
          </cell>
          <cell r="K3299" t="str">
            <v>Run-of-River</v>
          </cell>
          <cell r="L3299" t="str">
            <v>Waterpower</v>
          </cell>
          <cell r="M3299" t="str">
            <v>Dx</v>
          </cell>
          <cell r="N3299" t="str">
            <v>Peterborough</v>
          </cell>
          <cell r="O3299" t="str">
            <v>Peterborough</v>
          </cell>
          <cell r="P3299" t="str">
            <v>East</v>
          </cell>
        </row>
        <row r="3300">
          <cell r="C3300" t="str">
            <v>Devil's Gap Generating Station</v>
          </cell>
          <cell r="D3300" t="str">
            <v>Bracebridge Generation Ltd.</v>
          </cell>
          <cell r="E3300" t="str">
            <v>CO</v>
          </cell>
          <cell r="F3300">
            <v>40330</v>
          </cell>
          <cell r="G3300">
            <v>40330</v>
          </cell>
          <cell r="H3300">
            <v>47635</v>
          </cell>
          <cell r="I3300" t="str">
            <v>20 years, 0 months, 0 days</v>
          </cell>
          <cell r="J3300" t="str">
            <v>Renewables</v>
          </cell>
          <cell r="K3300" t="str">
            <v>Run-of-River</v>
          </cell>
          <cell r="L3300" t="str">
            <v>Waterpower</v>
          </cell>
          <cell r="M3300" t="str">
            <v>Dx</v>
          </cell>
          <cell r="N3300" t="str">
            <v>Gooderham</v>
          </cell>
          <cell r="O3300" t="str">
            <v>Kawartha Lakes</v>
          </cell>
          <cell r="P3300" t="str">
            <v>Essa</v>
          </cell>
        </row>
        <row r="3301">
          <cell r="C3301" t="str">
            <v>Shand Dam Generating Station</v>
          </cell>
          <cell r="D3301" t="str">
            <v>Grand River Conservation Authority</v>
          </cell>
          <cell r="E3301" t="str">
            <v>CO</v>
          </cell>
          <cell r="F3301">
            <v>40422</v>
          </cell>
          <cell r="G3301">
            <v>40422</v>
          </cell>
          <cell r="H3301">
            <v>47727</v>
          </cell>
          <cell r="I3301" t="str">
            <v>20 years, 0 months, 0 days</v>
          </cell>
          <cell r="J3301" t="str">
            <v>Renewables</v>
          </cell>
          <cell r="K3301" t="str">
            <v>Run-of-River</v>
          </cell>
          <cell r="L3301" t="str">
            <v>Waterpower</v>
          </cell>
          <cell r="M3301" t="str">
            <v>Dx</v>
          </cell>
          <cell r="N3301" t="str">
            <v>Fergus</v>
          </cell>
          <cell r="O3301" t="str">
            <v>Wellington</v>
          </cell>
          <cell r="P3301" t="str">
            <v>Southwest</v>
          </cell>
        </row>
        <row r="3302">
          <cell r="C3302" t="str">
            <v>High Falls G.S. #1</v>
          </cell>
          <cell r="D3302" t="str">
            <v>Bracebridge Generation Ltd.</v>
          </cell>
          <cell r="E3302" t="str">
            <v>CO</v>
          </cell>
          <cell r="F3302">
            <v>40452</v>
          </cell>
          <cell r="G3302">
            <v>40452</v>
          </cell>
          <cell r="H3302">
            <v>47757</v>
          </cell>
          <cell r="I3302" t="str">
            <v>20 years, 0 months, 0 days</v>
          </cell>
          <cell r="J3302" t="str">
            <v>Renewables</v>
          </cell>
          <cell r="K3302" t="str">
            <v>Run-of-River</v>
          </cell>
          <cell r="L3302" t="str">
            <v>Waterpower</v>
          </cell>
          <cell r="M3302" t="str">
            <v>Dx</v>
          </cell>
          <cell r="N3302" t="str">
            <v>Bracebridge</v>
          </cell>
          <cell r="O3302" t="str">
            <v>Muskoka</v>
          </cell>
          <cell r="P3302" t="str">
            <v>Essa</v>
          </cell>
        </row>
        <row r="3303">
          <cell r="C3303" t="str">
            <v>Casselman Generating Station</v>
          </cell>
          <cell r="D3303" t="str">
            <v>113549 Canada Inc.</v>
          </cell>
          <cell r="E3303" t="str">
            <v>CO</v>
          </cell>
          <cell r="F3303">
            <v>40848</v>
          </cell>
          <cell r="G3303">
            <v>40848</v>
          </cell>
          <cell r="H3303">
            <v>48153</v>
          </cell>
          <cell r="I3303" t="str">
            <v>20 years, 0 months, 0 days</v>
          </cell>
          <cell r="J3303" t="str">
            <v>Renewables</v>
          </cell>
          <cell r="K3303" t="str">
            <v>Run-of-River</v>
          </cell>
          <cell r="L3303" t="str">
            <v>Waterpower</v>
          </cell>
          <cell r="M3303" t="str">
            <v>Dx</v>
          </cell>
          <cell r="N3303" t="str">
            <v>Casselman</v>
          </cell>
          <cell r="O3303" t="str">
            <v>Prescott and Russell</v>
          </cell>
          <cell r="P3303" t="str">
            <v>Ottawa</v>
          </cell>
        </row>
        <row r="3304">
          <cell r="C3304" t="str">
            <v>Tweed Generating Station</v>
          </cell>
          <cell r="D3304" t="str">
            <v>Moira River Water Power Inc.</v>
          </cell>
          <cell r="E3304" t="str">
            <v>CO</v>
          </cell>
          <cell r="F3304">
            <v>40483</v>
          </cell>
          <cell r="G3304">
            <v>40483</v>
          </cell>
          <cell r="H3304">
            <v>47788</v>
          </cell>
          <cell r="I3304" t="str">
            <v>20 years, 0 months, 0 days</v>
          </cell>
          <cell r="J3304" t="str">
            <v>Renewables</v>
          </cell>
          <cell r="K3304" t="str">
            <v>Run-of-River</v>
          </cell>
          <cell r="L3304" t="str">
            <v>Waterpower</v>
          </cell>
          <cell r="M3304" t="str">
            <v>Dx</v>
          </cell>
          <cell r="N3304" t="str">
            <v>Tweed</v>
          </cell>
          <cell r="O3304" t="str">
            <v>Hastings</v>
          </cell>
          <cell r="P3304" t="str">
            <v>East</v>
          </cell>
        </row>
        <row r="3305">
          <cell r="C3305" t="str">
            <v>Appleton Eco Power Centre</v>
          </cell>
          <cell r="D3305" t="str">
            <v>EO Generation Limited Partnership</v>
          </cell>
          <cell r="E3305" t="str">
            <v>CO</v>
          </cell>
          <cell r="F3305">
            <v>40544</v>
          </cell>
          <cell r="G3305">
            <v>40544</v>
          </cell>
          <cell r="H3305">
            <v>47849</v>
          </cell>
          <cell r="I3305" t="str">
            <v>20 years, 0 months, 0 days</v>
          </cell>
          <cell r="J3305" t="str">
            <v>Renewables</v>
          </cell>
          <cell r="K3305" t="str">
            <v>Run-of-River</v>
          </cell>
          <cell r="L3305" t="str">
            <v>Waterpower</v>
          </cell>
          <cell r="M3305" t="str">
            <v>Dx</v>
          </cell>
          <cell r="N3305" t="str">
            <v>Almonte</v>
          </cell>
          <cell r="O3305" t="str">
            <v>Lanark</v>
          </cell>
          <cell r="P3305" t="str">
            <v>East</v>
          </cell>
        </row>
        <row r="3306">
          <cell r="C3306" t="str">
            <v>Galetta Eco Power Centre</v>
          </cell>
          <cell r="D3306" t="str">
            <v>EO Generation Limited Partnership</v>
          </cell>
          <cell r="E3306" t="str">
            <v>CO</v>
          </cell>
          <cell r="F3306">
            <v>40544</v>
          </cell>
          <cell r="G3306">
            <v>40544</v>
          </cell>
          <cell r="H3306">
            <v>47849</v>
          </cell>
          <cell r="I3306" t="str">
            <v>20 years, 0 months, 0 days</v>
          </cell>
          <cell r="J3306" t="str">
            <v>Renewables</v>
          </cell>
          <cell r="K3306" t="str">
            <v>Run-of-River</v>
          </cell>
          <cell r="L3306" t="str">
            <v>Waterpower</v>
          </cell>
          <cell r="M3306" t="str">
            <v>Dx</v>
          </cell>
          <cell r="N3306" t="str">
            <v>Almonte</v>
          </cell>
          <cell r="O3306" t="str">
            <v>Lanark</v>
          </cell>
          <cell r="P3306" t="str">
            <v>East</v>
          </cell>
        </row>
        <row r="3307">
          <cell r="C3307" t="str">
            <v>Moose Rapids Generating Station</v>
          </cell>
          <cell r="D3307" t="str">
            <v>Canadian Hydro Developers, Inc.</v>
          </cell>
          <cell r="E3307" t="str">
            <v>CO</v>
          </cell>
          <cell r="F3307">
            <v>40544</v>
          </cell>
          <cell r="G3307">
            <v>40544</v>
          </cell>
          <cell r="H3307">
            <v>47849</v>
          </cell>
          <cell r="I3307" t="str">
            <v>20 years, 0 months, 0 days</v>
          </cell>
          <cell r="J3307" t="str">
            <v>Renewables</v>
          </cell>
          <cell r="K3307" t="str">
            <v>Run-of-River</v>
          </cell>
          <cell r="L3307" t="str">
            <v>Waterpower</v>
          </cell>
          <cell r="M3307" t="str">
            <v>Dx</v>
          </cell>
          <cell r="N3307" t="str">
            <v>Sudbury</v>
          </cell>
          <cell r="O3307" t="str">
            <v>Greater Sudbury</v>
          </cell>
          <cell r="P3307" t="str">
            <v>Northeast</v>
          </cell>
        </row>
        <row r="3308">
          <cell r="C3308" t="str">
            <v>Enerdu Power Systems Ltd.</v>
          </cell>
          <cell r="D3308" t="str">
            <v>Enerdu Power Systems Ltd.</v>
          </cell>
          <cell r="E3308" t="str">
            <v>CO</v>
          </cell>
          <cell r="F3308">
            <v>40603</v>
          </cell>
          <cell r="G3308">
            <v>40603</v>
          </cell>
          <cell r="H3308">
            <v>47908</v>
          </cell>
          <cell r="I3308" t="str">
            <v>20 years, 0 months, 0 days</v>
          </cell>
          <cell r="J3308" t="str">
            <v>Renewables</v>
          </cell>
          <cell r="K3308" t="str">
            <v>Run-of-River</v>
          </cell>
          <cell r="L3308" t="str">
            <v>Waterpower</v>
          </cell>
          <cell r="M3308" t="str">
            <v>Dx</v>
          </cell>
          <cell r="N3308" t="str">
            <v>Almonte</v>
          </cell>
          <cell r="O3308" t="str">
            <v>Lanark</v>
          </cell>
          <cell r="P3308" t="str">
            <v>East</v>
          </cell>
        </row>
        <row r="3309">
          <cell r="C3309" t="str">
            <v>Hurdman Dam</v>
          </cell>
          <cell r="D3309" t="str">
            <v>Hurdman Dam G.S. LTD.</v>
          </cell>
          <cell r="E3309" t="str">
            <v>CO</v>
          </cell>
          <cell r="F3309">
            <v>40603</v>
          </cell>
          <cell r="G3309">
            <v>40695</v>
          </cell>
          <cell r="H3309">
            <v>48000</v>
          </cell>
          <cell r="I3309" t="str">
            <v>20 years, 0 months, 0 days</v>
          </cell>
          <cell r="J3309" t="str">
            <v>Renewables</v>
          </cell>
          <cell r="K3309" t="str">
            <v>Run-of-River</v>
          </cell>
          <cell r="L3309" t="str">
            <v>Waterpower</v>
          </cell>
          <cell r="M3309" t="str">
            <v>Dx</v>
          </cell>
          <cell r="N3309" t="str">
            <v>Mattawa</v>
          </cell>
          <cell r="O3309" t="str">
            <v>Nipissing</v>
          </cell>
          <cell r="P3309" t="str">
            <v>Northeast</v>
          </cell>
        </row>
        <row r="3310">
          <cell r="C3310" t="str">
            <v>Truisler Chute G.S.</v>
          </cell>
          <cell r="D3310" t="str">
            <v>Trout Creek Power Corporation</v>
          </cell>
          <cell r="E3310" t="str">
            <v>CO</v>
          </cell>
          <cell r="F3310">
            <v>40695</v>
          </cell>
          <cell r="G3310">
            <v>40695</v>
          </cell>
          <cell r="H3310">
            <v>48000</v>
          </cell>
          <cell r="I3310" t="str">
            <v>20 years, 0 months, 0 days</v>
          </cell>
          <cell r="J3310" t="str">
            <v>Renewables</v>
          </cell>
          <cell r="K3310" t="str">
            <v>Run-of-River</v>
          </cell>
          <cell r="L3310" t="str">
            <v>Waterpower</v>
          </cell>
          <cell r="M3310" t="str">
            <v>Dx</v>
          </cell>
          <cell r="N3310" t="str">
            <v>Trout Creek</v>
          </cell>
          <cell r="O3310" t="str">
            <v>Parry Sound</v>
          </cell>
          <cell r="P3310" t="str">
            <v>Northeast</v>
          </cell>
        </row>
        <row r="3311">
          <cell r="C3311" t="str">
            <v>Saugeen GS</v>
          </cell>
          <cell r="D3311" t="str">
            <v>Jancal Power Ltd.</v>
          </cell>
          <cell r="E3311" t="str">
            <v>CO</v>
          </cell>
          <cell r="F3311">
            <v>41122</v>
          </cell>
          <cell r="G3311">
            <v>41122</v>
          </cell>
          <cell r="H3311">
            <v>48427</v>
          </cell>
          <cell r="I3311" t="str">
            <v>20 years, 0 months, 0 days</v>
          </cell>
          <cell r="J3311" t="str">
            <v>Renewables</v>
          </cell>
          <cell r="K3311" t="str">
            <v>Run-of-River</v>
          </cell>
          <cell r="L3311" t="str">
            <v>Waterpower</v>
          </cell>
          <cell r="M3311" t="str">
            <v>Dx</v>
          </cell>
          <cell r="N3311" t="str">
            <v>Durham</v>
          </cell>
          <cell r="O3311" t="str">
            <v>Grey</v>
          </cell>
          <cell r="P3311" t="str">
            <v>Southwest</v>
          </cell>
        </row>
        <row r="3312">
          <cell r="C3312" t="str">
            <v>Conestogo Dam Generating Station</v>
          </cell>
          <cell r="D3312" t="str">
            <v>Grand River Conservation Authority</v>
          </cell>
          <cell r="E3312" t="str">
            <v>CO</v>
          </cell>
          <cell r="F3312">
            <v>41275</v>
          </cell>
          <cell r="G3312">
            <v>41275</v>
          </cell>
          <cell r="H3312">
            <v>48580</v>
          </cell>
          <cell r="I3312" t="str">
            <v>20 years, 0 months, 0 days</v>
          </cell>
          <cell r="J3312" t="str">
            <v>Renewables</v>
          </cell>
          <cell r="K3312" t="str">
            <v>Run-of-River</v>
          </cell>
          <cell r="L3312" t="str">
            <v>Waterpower</v>
          </cell>
          <cell r="M3312" t="str">
            <v>Dx</v>
          </cell>
          <cell r="N3312" t="str">
            <v>Wallenstein</v>
          </cell>
          <cell r="O3312" t="str">
            <v>Waterloo</v>
          </cell>
          <cell r="P3312" t="str">
            <v>Southwest</v>
          </cell>
        </row>
        <row r="3313">
          <cell r="C3313" t="str">
            <v>Drag River Generating Station</v>
          </cell>
          <cell r="D3313" t="str">
            <v>Bracebridge Generation Ltd.</v>
          </cell>
          <cell r="E3313" t="str">
            <v>CO</v>
          </cell>
          <cell r="F3313">
            <v>41344</v>
          </cell>
          <cell r="G3313">
            <v>41344</v>
          </cell>
          <cell r="H3313">
            <v>48649</v>
          </cell>
          <cell r="I3313" t="str">
            <v>20 years, 0 months, 0 days</v>
          </cell>
          <cell r="J3313" t="str">
            <v>Renewables</v>
          </cell>
          <cell r="K3313" t="str">
            <v>Run-of-River</v>
          </cell>
          <cell r="L3313" t="str">
            <v>Waterpower</v>
          </cell>
          <cell r="M3313" t="str">
            <v>Dx</v>
          </cell>
          <cell r="N3313" t="str">
            <v>Haliburton</v>
          </cell>
          <cell r="O3313" t="str">
            <v>Haliburton</v>
          </cell>
          <cell r="P3313" t="str">
            <v>Essa</v>
          </cell>
        </row>
        <row r="3314">
          <cell r="C3314" t="str">
            <v>Water Street Pumphouse</v>
          </cell>
          <cell r="D3314" t="str">
            <v>The Corporation of the City of Peterborough</v>
          </cell>
          <cell r="E3314" t="str">
            <v>CO</v>
          </cell>
          <cell r="F3314">
            <v>41334</v>
          </cell>
          <cell r="G3314">
            <v>41334</v>
          </cell>
          <cell r="H3314">
            <v>48639</v>
          </cell>
          <cell r="I3314" t="str">
            <v>20 years, 0 months, 0 days</v>
          </cell>
          <cell r="J3314" t="str">
            <v>Renewables</v>
          </cell>
          <cell r="K3314" t="str">
            <v>Run-of-River</v>
          </cell>
          <cell r="L3314" t="str">
            <v>Waterpower</v>
          </cell>
          <cell r="M3314" t="str">
            <v>Dx</v>
          </cell>
          <cell r="N3314" t="str">
            <v>Peterborough</v>
          </cell>
          <cell r="O3314" t="str">
            <v>Peterborough</v>
          </cell>
          <cell r="P3314" t="str">
            <v>East</v>
          </cell>
        </row>
        <row r="3315">
          <cell r="C3315" t="str">
            <v>Long Slide Power</v>
          </cell>
          <cell r="D3315" t="str">
            <v>Long Slide Power Inc.</v>
          </cell>
          <cell r="E3315" t="str">
            <v>CO</v>
          </cell>
          <cell r="F3315">
            <v>41334</v>
          </cell>
          <cell r="G3315">
            <v>41334</v>
          </cell>
          <cell r="H3315">
            <v>48639</v>
          </cell>
          <cell r="I3315" t="str">
            <v>20 years, 0 months, 0 days</v>
          </cell>
          <cell r="J3315" t="str">
            <v>Renewables</v>
          </cell>
          <cell r="K3315" t="str">
            <v>Run-of-River</v>
          </cell>
          <cell r="L3315" t="str">
            <v>Waterpower</v>
          </cell>
          <cell r="M3315" t="str">
            <v>Dx</v>
          </cell>
          <cell r="N3315" t="str">
            <v>Mattawa</v>
          </cell>
          <cell r="O3315" t="str">
            <v>Nipissing</v>
          </cell>
          <cell r="P3315" t="str">
            <v>Northeast</v>
          </cell>
        </row>
        <row r="3316">
          <cell r="C3316" t="str">
            <v>Ayton Mill NUGS</v>
          </cell>
          <cell r="D3316" t="str">
            <v>Nadaco Operation</v>
          </cell>
          <cell r="E3316" t="str">
            <v>CO</v>
          </cell>
          <cell r="F3316">
            <v>41365</v>
          </cell>
          <cell r="G3316">
            <v>41365</v>
          </cell>
          <cell r="H3316">
            <v>48670</v>
          </cell>
          <cell r="I3316" t="str">
            <v>20 years, 0 months, 0 days</v>
          </cell>
          <cell r="J3316" t="str">
            <v>Renewables</v>
          </cell>
          <cell r="K3316" t="str">
            <v>Run-of-River</v>
          </cell>
          <cell r="L3316" t="str">
            <v>Waterpower</v>
          </cell>
          <cell r="M3316" t="str">
            <v>Dx</v>
          </cell>
          <cell r="N3316" t="str">
            <v>Ayton</v>
          </cell>
          <cell r="O3316" t="str">
            <v>Grey</v>
          </cell>
          <cell r="P3316" t="str">
            <v>Southwest</v>
          </cell>
        </row>
        <row r="3317">
          <cell r="C3317" t="str">
            <v>Thomas Low Generating Station</v>
          </cell>
          <cell r="D3317" t="str">
            <v>Renfrew Power Generation Inc.</v>
          </cell>
          <cell r="E3317" t="str">
            <v>CO</v>
          </cell>
          <cell r="F3317">
            <v>41699</v>
          </cell>
          <cell r="G3317">
            <v>41426</v>
          </cell>
          <cell r="H3317">
            <v>47483</v>
          </cell>
          <cell r="I3317" t="str">
            <v>16 years, 6 months, 30 days</v>
          </cell>
          <cell r="J3317" t="str">
            <v>Renewables</v>
          </cell>
          <cell r="K3317" t="str">
            <v>Run-of-River</v>
          </cell>
          <cell r="L3317" t="str">
            <v>Waterpower</v>
          </cell>
          <cell r="M3317" t="str">
            <v>Dx</v>
          </cell>
          <cell r="N3317" t="str">
            <v>Renfrew</v>
          </cell>
          <cell r="O3317" t="str">
            <v>Renfrew</v>
          </cell>
          <cell r="P3317" t="str">
            <v>East</v>
          </cell>
        </row>
        <row r="3318">
          <cell r="C3318" t="str">
            <v>Marmora Generating Station</v>
          </cell>
          <cell r="D3318" t="str">
            <v>Shaman Power Corporation</v>
          </cell>
          <cell r="E3318" t="str">
            <v>CO</v>
          </cell>
          <cell r="F3318">
            <v>41482</v>
          </cell>
          <cell r="G3318">
            <v>41483</v>
          </cell>
          <cell r="H3318">
            <v>48788</v>
          </cell>
          <cell r="I3318" t="str">
            <v>20 years, 0 months, 0 days</v>
          </cell>
          <cell r="J3318" t="str">
            <v>Renewables</v>
          </cell>
          <cell r="K3318" t="str">
            <v>Run-of-River</v>
          </cell>
          <cell r="L3318" t="str">
            <v>Waterpower</v>
          </cell>
          <cell r="M3318" t="str">
            <v>Dx</v>
          </cell>
          <cell r="N3318" t="str">
            <v>Marmora</v>
          </cell>
          <cell r="O3318" t="str">
            <v>Hastings</v>
          </cell>
          <cell r="P3318" t="str">
            <v>East</v>
          </cell>
        </row>
        <row r="3319">
          <cell r="C3319" t="str">
            <v>York River GS</v>
          </cell>
          <cell r="D3319" t="str">
            <v>Bracebridge Generation Ltd.</v>
          </cell>
          <cell r="E3319" t="str">
            <v>CO</v>
          </cell>
          <cell r="F3319">
            <v>41518</v>
          </cell>
          <cell r="G3319">
            <v>41518</v>
          </cell>
          <cell r="H3319">
            <v>48823</v>
          </cell>
          <cell r="I3319" t="str">
            <v>20 years, 0 months, 0 days</v>
          </cell>
          <cell r="J3319" t="str">
            <v>Renewables</v>
          </cell>
          <cell r="K3319" t="str">
            <v>Run-of-River</v>
          </cell>
          <cell r="L3319" t="str">
            <v>Waterpower</v>
          </cell>
          <cell r="M3319" t="str">
            <v>Dx</v>
          </cell>
          <cell r="N3319" t="str">
            <v>Baltimore</v>
          </cell>
          <cell r="O3319" t="str">
            <v>Northumberland</v>
          </cell>
          <cell r="P3319" t="str">
            <v>Essa</v>
          </cell>
        </row>
        <row r="3320">
          <cell r="C3320" t="str">
            <v>Ragged Chute Eco Power Centre</v>
          </cell>
          <cell r="D3320" t="str">
            <v>Transalta (RC) L.P.</v>
          </cell>
          <cell r="E3320" t="str">
            <v>CO</v>
          </cell>
          <cell r="F3320">
            <v>41579</v>
          </cell>
          <cell r="G3320">
            <v>41579</v>
          </cell>
          <cell r="H3320">
            <v>47299</v>
          </cell>
          <cell r="I3320" t="str">
            <v>15 years, 7 months, 29 days</v>
          </cell>
          <cell r="J3320" t="str">
            <v>Renewables</v>
          </cell>
          <cell r="K3320" t="str">
            <v>Run-of-River</v>
          </cell>
          <cell r="L3320" t="str">
            <v>Waterpower</v>
          </cell>
          <cell r="M3320" t="str">
            <v>Dx</v>
          </cell>
          <cell r="N3320" t="str">
            <v>Haileybury</v>
          </cell>
          <cell r="O3320" t="str">
            <v>Timiskaming</v>
          </cell>
          <cell r="P3320" t="str">
            <v>Northeast</v>
          </cell>
        </row>
        <row r="3321">
          <cell r="C3321" t="str">
            <v>Chiblow Lake Generating Station</v>
          </cell>
          <cell r="D3321" t="str">
            <v>1149377 Ontario Limited</v>
          </cell>
          <cell r="E3321" t="str">
            <v>CO</v>
          </cell>
          <cell r="F3321">
            <v>41821</v>
          </cell>
          <cell r="G3321">
            <v>41821</v>
          </cell>
          <cell r="H3321">
            <v>49126</v>
          </cell>
          <cell r="I3321" t="str">
            <v>20 years, 0 months, 0 days</v>
          </cell>
          <cell r="J3321" t="str">
            <v>Renewables</v>
          </cell>
          <cell r="K3321" t="str">
            <v>Run-of-River</v>
          </cell>
          <cell r="L3321" t="str">
            <v>Waterpower</v>
          </cell>
          <cell r="M3321" t="str">
            <v>Dx</v>
          </cell>
          <cell r="N3321" t="str">
            <v>Blind River</v>
          </cell>
          <cell r="O3321" t="str">
            <v>Algoma</v>
          </cell>
          <cell r="P3321" t="str">
            <v>Northeast</v>
          </cell>
        </row>
        <row r="3322">
          <cell r="C3322" t="str">
            <v>David A. Fraser GS</v>
          </cell>
          <cell r="D3322" t="str">
            <v>Third Birl Renewable Energy</v>
          </cell>
          <cell r="E3322" t="str">
            <v>CO</v>
          </cell>
          <cell r="F3322">
            <v>42205</v>
          </cell>
          <cell r="G3322">
            <v>42205</v>
          </cell>
          <cell r="H3322">
            <v>49510</v>
          </cell>
          <cell r="I3322" t="str">
            <v>20 years, 0 months, 0 days</v>
          </cell>
          <cell r="J3322" t="str">
            <v>Renewables</v>
          </cell>
          <cell r="K3322" t="str">
            <v>Run-of-River</v>
          </cell>
          <cell r="L3322" t="str">
            <v>Waterpower</v>
          </cell>
          <cell r="M3322" t="str">
            <v>Dx</v>
          </cell>
          <cell r="N3322" t="str">
            <v>White Lake</v>
          </cell>
          <cell r="O3322" t="str">
            <v>Lanark</v>
          </cell>
          <cell r="P3322" t="str">
            <v>East</v>
          </cell>
        </row>
        <row r="3323">
          <cell r="C3323" t="str">
            <v>Canton Mill</v>
          </cell>
          <cell r="D3323" t="str">
            <v>Ian W. M. Angus</v>
          </cell>
          <cell r="E3323" t="str">
            <v>CO</v>
          </cell>
          <cell r="F3323">
            <v>42705</v>
          </cell>
          <cell r="G3323">
            <v>42705</v>
          </cell>
          <cell r="H3323">
            <v>50010</v>
          </cell>
          <cell r="I3323" t="str">
            <v>20 years, 0 months, 0 days</v>
          </cell>
          <cell r="J3323" t="str">
            <v>Renewables</v>
          </cell>
          <cell r="K3323" t="str">
            <v>Run-of-River</v>
          </cell>
          <cell r="L3323" t="str">
            <v>Waterpower</v>
          </cell>
          <cell r="M3323" t="str">
            <v>Dx</v>
          </cell>
          <cell r="N3323" t="str">
            <v>Port Hope</v>
          </cell>
          <cell r="O3323" t="str">
            <v>Northumberland</v>
          </cell>
          <cell r="P3323" t="str">
            <v>East</v>
          </cell>
        </row>
        <row r="3324">
          <cell r="C3324" t="str">
            <v>Fenelon Falls G.S.</v>
          </cell>
          <cell r="D3324" t="str">
            <v>Shaman Power Corporation</v>
          </cell>
          <cell r="E3324" t="str">
            <v>CO</v>
          </cell>
          <cell r="F3324">
            <v>43581</v>
          </cell>
          <cell r="G3324">
            <v>43466</v>
          </cell>
          <cell r="H3324">
            <v>50771</v>
          </cell>
          <cell r="I3324" t="str">
            <v>20 years, 0 months, 0 days</v>
          </cell>
          <cell r="J3324" t="str">
            <v>Renewables</v>
          </cell>
          <cell r="K3324" t="str">
            <v>Run-of-River</v>
          </cell>
          <cell r="L3324" t="str">
            <v>Waterpower</v>
          </cell>
          <cell r="M3324" t="str">
            <v>Dx</v>
          </cell>
          <cell r="N3324" t="str">
            <v>Fenelon Falls</v>
          </cell>
          <cell r="O3324" t="str">
            <v>Kawartha Lakes</v>
          </cell>
          <cell r="P3324" t="str">
            <v>Essa</v>
          </cell>
        </row>
        <row r="3325">
          <cell r="C3325" t="str">
            <v>Campbellford Seymour G.S. 2</v>
          </cell>
          <cell r="D3325" t="str">
            <v>Campbellford-Seymour Electric Generation Inc.</v>
          </cell>
          <cell r="E3325" t="str">
            <v>CO</v>
          </cell>
          <cell r="F3325">
            <v>43898</v>
          </cell>
          <cell r="G3325">
            <v>43898</v>
          </cell>
          <cell r="H3325">
            <v>51203</v>
          </cell>
          <cell r="I3325" t="str">
            <v>20 years, 0 months, 0 days</v>
          </cell>
          <cell r="J3325" t="str">
            <v>Renewables</v>
          </cell>
          <cell r="K3325" t="str">
            <v>Run-of-River</v>
          </cell>
          <cell r="L3325" t="str">
            <v>Waterpower</v>
          </cell>
          <cell r="M3325" t="str">
            <v>Dx</v>
          </cell>
          <cell r="N3325" t="str">
            <v>Campbellford</v>
          </cell>
          <cell r="O3325" t="str">
            <v>Northumberland</v>
          </cell>
          <cell r="P3325" t="str">
            <v>East</v>
          </cell>
        </row>
        <row r="3326">
          <cell r="C3326" t="str">
            <v>Wainwright Generating Station</v>
          </cell>
          <cell r="D3326" t="str">
            <v>MPT Hydro LP</v>
          </cell>
          <cell r="E3326" t="str">
            <v>CO</v>
          </cell>
          <cell r="F3326">
            <v>44136</v>
          </cell>
          <cell r="G3326">
            <v>44136</v>
          </cell>
          <cell r="H3326">
            <v>51441</v>
          </cell>
          <cell r="I3326" t="str">
            <v>20 years, 0 months, 0 days</v>
          </cell>
          <cell r="J3326" t="str">
            <v>Renewables</v>
          </cell>
          <cell r="K3326" t="str">
            <v>Run-of-River</v>
          </cell>
          <cell r="L3326" t="str">
            <v>Waterpower</v>
          </cell>
          <cell r="M3326" t="str">
            <v>Dx</v>
          </cell>
          <cell r="N3326" t="str">
            <v>Oxdrift</v>
          </cell>
          <cell r="O3326" t="str">
            <v>Kenora</v>
          </cell>
          <cell r="P3326" t="str">
            <v>Northwest</v>
          </cell>
        </row>
        <row r="3327">
          <cell r="C3327" t="str">
            <v>Eagle River &amp; McKenzie Falls GS</v>
          </cell>
          <cell r="D3327" t="str">
            <v>MPT Hydro LP</v>
          </cell>
          <cell r="E3327" t="str">
            <v>CO</v>
          </cell>
          <cell r="F3327">
            <v>44136</v>
          </cell>
          <cell r="G3327">
            <v>44136</v>
          </cell>
          <cell r="H3327">
            <v>51441</v>
          </cell>
          <cell r="I3327" t="str">
            <v>20 years, 0 months, 0 days</v>
          </cell>
          <cell r="J3327" t="str">
            <v>Renewables</v>
          </cell>
          <cell r="K3327" t="str">
            <v>Run-of-River</v>
          </cell>
          <cell r="L3327" t="str">
            <v>Waterpower</v>
          </cell>
          <cell r="M3327" t="str">
            <v>Dx</v>
          </cell>
          <cell r="N3327" t="str">
            <v>Eagle River</v>
          </cell>
          <cell r="O3327" t="str">
            <v>Kenora</v>
          </cell>
          <cell r="P3327" t="str">
            <v>Northwest</v>
          </cell>
        </row>
        <row r="3328">
          <cell r="C3328" t="str">
            <v>Andrews GS</v>
          </cell>
          <cell r="D3328" t="str">
            <v>Great Lakes Power Limited Partnership, Algoma Hydro Asset LP, Canada Atlantis GL Power LP</v>
          </cell>
          <cell r="E3328" t="str">
            <v>CO</v>
          </cell>
          <cell r="F3328">
            <v>40148</v>
          </cell>
          <cell r="G3328">
            <v>40148</v>
          </cell>
          <cell r="H3328">
            <v>47453</v>
          </cell>
          <cell r="I3328" t="str">
            <v>20 years, 0 months, 0 days</v>
          </cell>
          <cell r="J3328" t="str">
            <v>Renewables</v>
          </cell>
          <cell r="K3328" t="str">
            <v>Run-of-River</v>
          </cell>
          <cell r="L3328" t="str">
            <v>Waterpower</v>
          </cell>
          <cell r="M3328" t="str">
            <v>Tx</v>
          </cell>
          <cell r="N3328" t="str">
            <v>Batchawana Bay</v>
          </cell>
          <cell r="O3328" t="str">
            <v>Algoma</v>
          </cell>
          <cell r="P3328" t="str">
            <v>Northeast</v>
          </cell>
        </row>
        <row r="3329">
          <cell r="C3329" t="str">
            <v>Aubrey Falls GS</v>
          </cell>
          <cell r="D3329" t="str">
            <v>Brookfield BRP Canada Corp.</v>
          </cell>
          <cell r="E3329" t="str">
            <v>CO</v>
          </cell>
          <cell r="F3329">
            <v>40148</v>
          </cell>
          <cell r="G3329">
            <v>40148</v>
          </cell>
          <cell r="H3329">
            <v>47453</v>
          </cell>
          <cell r="I3329" t="str">
            <v>20 years, 0 months, 0 days</v>
          </cell>
          <cell r="J3329" t="str">
            <v>Renewables</v>
          </cell>
          <cell r="K3329" t="str">
            <v>Run-of-River</v>
          </cell>
          <cell r="L3329" t="str">
            <v>Waterpower</v>
          </cell>
          <cell r="M3329" t="str">
            <v>Tx</v>
          </cell>
          <cell r="N3329" t="str">
            <v>Elliot Lake</v>
          </cell>
          <cell r="O3329" t="str">
            <v>Algoma</v>
          </cell>
          <cell r="P3329" t="str">
            <v>Northeast</v>
          </cell>
        </row>
        <row r="3330">
          <cell r="C3330" t="str">
            <v>Clergue GS</v>
          </cell>
          <cell r="D3330" t="str">
            <v>Great Lakes Power Limited Partnership, Algoma Hydro Asset LP, Canada Atlantis GL Power LP</v>
          </cell>
          <cell r="E3330" t="str">
            <v>CO</v>
          </cell>
          <cell r="F3330">
            <v>40148</v>
          </cell>
          <cell r="G3330">
            <v>40148</v>
          </cell>
          <cell r="H3330">
            <v>47453</v>
          </cell>
          <cell r="I3330" t="str">
            <v>20 years, 0 months, 0 days</v>
          </cell>
          <cell r="J3330" t="str">
            <v>Renewables</v>
          </cell>
          <cell r="K3330" t="str">
            <v>Run-of-River</v>
          </cell>
          <cell r="L3330" t="str">
            <v>Waterpower</v>
          </cell>
          <cell r="M3330" t="str">
            <v>Tx</v>
          </cell>
          <cell r="N3330" t="str">
            <v>Sault Ste. Marie</v>
          </cell>
          <cell r="O3330" t="str">
            <v>Algoma</v>
          </cell>
          <cell r="P3330" t="str">
            <v>Northeast</v>
          </cell>
        </row>
        <row r="3331">
          <cell r="C3331" t="str">
            <v>Dunford GS</v>
          </cell>
          <cell r="D3331" t="str">
            <v>Great Lakes Power Limited Partnership, Algoma Hydro Asset LP, Canada Atlantis GL Power LP</v>
          </cell>
          <cell r="E3331" t="str">
            <v>CO</v>
          </cell>
          <cell r="F3331">
            <v>40148</v>
          </cell>
          <cell r="G3331">
            <v>40148</v>
          </cell>
          <cell r="H3331">
            <v>47453</v>
          </cell>
          <cell r="I3331" t="str">
            <v>20 years, 0 months, 0 days</v>
          </cell>
          <cell r="J3331" t="str">
            <v>Renewables</v>
          </cell>
          <cell r="K3331" t="str">
            <v>Run-of-River</v>
          </cell>
          <cell r="L3331" t="str">
            <v>Waterpower</v>
          </cell>
          <cell r="M3331" t="str">
            <v>Tx</v>
          </cell>
          <cell r="N3331" t="str">
            <v>Wawa</v>
          </cell>
          <cell r="O3331" t="str">
            <v>Algoma</v>
          </cell>
          <cell r="P3331" t="str">
            <v>Northeast</v>
          </cell>
        </row>
        <row r="3332">
          <cell r="C3332" t="str">
            <v>Gartshore GS</v>
          </cell>
          <cell r="D3332" t="str">
            <v>Great Lakes Power Limited Partnership, Algoma Hydro Asset LP, Canada Atlantis GL Power LP</v>
          </cell>
          <cell r="E3332" t="str">
            <v>CO</v>
          </cell>
          <cell r="F3332">
            <v>40148</v>
          </cell>
          <cell r="G3332">
            <v>40148</v>
          </cell>
          <cell r="H3332">
            <v>47453</v>
          </cell>
          <cell r="I3332" t="str">
            <v>20 years, 0 months, 0 days</v>
          </cell>
          <cell r="J3332" t="str">
            <v>Renewables</v>
          </cell>
          <cell r="K3332" t="str">
            <v>Run-of-River</v>
          </cell>
          <cell r="L3332" t="str">
            <v>Waterpower</v>
          </cell>
          <cell r="M3332" t="str">
            <v>Tx</v>
          </cell>
          <cell r="N3332" t="str">
            <v>Wawa</v>
          </cell>
          <cell r="O3332" t="str">
            <v>Algoma</v>
          </cell>
          <cell r="P3332" t="str">
            <v>Northeast</v>
          </cell>
        </row>
        <row r="3333">
          <cell r="C3333" t="str">
            <v>Harris GS</v>
          </cell>
          <cell r="D3333" t="str">
            <v>Great Lakes Power Limited Partnership, Algoma Hydro Asset LP, Canada Atlantis GL Power LP</v>
          </cell>
          <cell r="E3333" t="str">
            <v>CO</v>
          </cell>
          <cell r="F3333">
            <v>40148</v>
          </cell>
          <cell r="G3333">
            <v>40148</v>
          </cell>
          <cell r="H3333">
            <v>47453</v>
          </cell>
          <cell r="I3333" t="str">
            <v>20 years, 0 months, 0 days</v>
          </cell>
          <cell r="J3333" t="str">
            <v>Renewables</v>
          </cell>
          <cell r="K3333" t="str">
            <v>Run-of-River</v>
          </cell>
          <cell r="L3333" t="str">
            <v>Waterpower</v>
          </cell>
          <cell r="M3333" t="str">
            <v>Tx</v>
          </cell>
          <cell r="N3333" t="str">
            <v>Wawa</v>
          </cell>
          <cell r="O3333" t="str">
            <v>Algoma</v>
          </cell>
          <cell r="P3333" t="str">
            <v>Northeast</v>
          </cell>
        </row>
        <row r="3334">
          <cell r="C3334" t="str">
            <v>Hogg GS</v>
          </cell>
          <cell r="D3334" t="str">
            <v>Great Lakes Power Limited Partnership, Algoma Hydro Asset LP, Canada Atlantis GL Power LP</v>
          </cell>
          <cell r="E3334" t="str">
            <v>CO</v>
          </cell>
          <cell r="F3334">
            <v>40148</v>
          </cell>
          <cell r="G3334">
            <v>40148</v>
          </cell>
          <cell r="H3334">
            <v>47453</v>
          </cell>
          <cell r="I3334" t="str">
            <v>20 years, 0 months, 0 days</v>
          </cell>
          <cell r="J3334" t="str">
            <v>Renewables</v>
          </cell>
          <cell r="K3334" t="str">
            <v>Run-of-River</v>
          </cell>
          <cell r="L3334" t="str">
            <v>Waterpower</v>
          </cell>
          <cell r="M3334" t="str">
            <v>Tx</v>
          </cell>
          <cell r="N3334" t="str">
            <v>Batchawana Bay</v>
          </cell>
          <cell r="O3334" t="str">
            <v>Algoma</v>
          </cell>
          <cell r="P3334" t="str">
            <v>Northeast</v>
          </cell>
        </row>
        <row r="3335">
          <cell r="C3335" t="str">
            <v>Hollingsworth GS</v>
          </cell>
          <cell r="D3335" t="str">
            <v>Great Lakes Power Limited Partnership, Algoma Hydro Asset LP, Canada Atlantis GL Power LP</v>
          </cell>
          <cell r="E3335" t="str">
            <v>CO</v>
          </cell>
          <cell r="F3335">
            <v>40148</v>
          </cell>
          <cell r="G3335">
            <v>40148</v>
          </cell>
          <cell r="H3335">
            <v>47453</v>
          </cell>
          <cell r="I3335" t="str">
            <v>20 years, 0 months, 0 days</v>
          </cell>
          <cell r="J3335" t="str">
            <v>Renewables</v>
          </cell>
          <cell r="K3335" t="str">
            <v>Run-of-River</v>
          </cell>
          <cell r="L3335" t="str">
            <v>Waterpower</v>
          </cell>
          <cell r="M3335" t="str">
            <v>Tx</v>
          </cell>
          <cell r="N3335" t="str">
            <v>Wawa</v>
          </cell>
          <cell r="O3335" t="str">
            <v>Algoma</v>
          </cell>
          <cell r="P3335" t="str">
            <v>Northeast</v>
          </cell>
        </row>
        <row r="3336">
          <cell r="C3336" t="str">
            <v>Mackay GS</v>
          </cell>
          <cell r="D3336" t="str">
            <v>Great Lakes Power Limited Partnership, Algoma Hydro Asset LP, Canada Atlantis GL Power LP</v>
          </cell>
          <cell r="E3336" t="str">
            <v>CO</v>
          </cell>
          <cell r="F3336">
            <v>40148</v>
          </cell>
          <cell r="G3336">
            <v>40148</v>
          </cell>
          <cell r="H3336">
            <v>47453</v>
          </cell>
          <cell r="I3336" t="str">
            <v>20 years, 0 months, 0 days</v>
          </cell>
          <cell r="J3336" t="str">
            <v>Renewables</v>
          </cell>
          <cell r="K3336" t="str">
            <v>Run-of-River</v>
          </cell>
          <cell r="L3336" t="str">
            <v>Waterpower</v>
          </cell>
          <cell r="M3336" t="str">
            <v>Tx</v>
          </cell>
          <cell r="N3336" t="str">
            <v>Batchawana Bay</v>
          </cell>
          <cell r="O3336" t="str">
            <v>Algoma</v>
          </cell>
          <cell r="P3336" t="str">
            <v>Northeast</v>
          </cell>
        </row>
        <row r="3337">
          <cell r="C3337" t="str">
            <v>McPhail GS</v>
          </cell>
          <cell r="D3337" t="str">
            <v>Great Lakes Power Limited Partnership, Algoma Hydro Asset LP, Canada Atlantis GL Power LP</v>
          </cell>
          <cell r="E3337" t="str">
            <v>CO</v>
          </cell>
          <cell r="F3337">
            <v>40148</v>
          </cell>
          <cell r="G3337">
            <v>40148</v>
          </cell>
          <cell r="H3337">
            <v>47453</v>
          </cell>
          <cell r="I3337" t="str">
            <v>20 years, 0 months, 0 days</v>
          </cell>
          <cell r="J3337" t="str">
            <v>Renewables</v>
          </cell>
          <cell r="K3337" t="str">
            <v>Run-of-River</v>
          </cell>
          <cell r="L3337" t="str">
            <v>Waterpower</v>
          </cell>
          <cell r="M3337" t="str">
            <v>Tx</v>
          </cell>
          <cell r="N3337" t="str">
            <v>Wawa</v>
          </cell>
          <cell r="O3337" t="str">
            <v>Algoma</v>
          </cell>
          <cell r="P3337" t="str">
            <v>Northeast</v>
          </cell>
        </row>
        <row r="3338">
          <cell r="C3338" t="str">
            <v>Mission GS</v>
          </cell>
          <cell r="D3338" t="str">
            <v>Great Lakes Power Limited Partnership, Algoma Hydro Asset LP, Canada Atlantis GL Power LP</v>
          </cell>
          <cell r="E3338" t="str">
            <v>CO</v>
          </cell>
          <cell r="F3338">
            <v>40148</v>
          </cell>
          <cell r="G3338">
            <v>40148</v>
          </cell>
          <cell r="H3338">
            <v>47453</v>
          </cell>
          <cell r="I3338" t="str">
            <v>20 years, 0 months, 0 days</v>
          </cell>
          <cell r="J3338" t="str">
            <v>Renewables</v>
          </cell>
          <cell r="K3338" t="str">
            <v>Run-of-River</v>
          </cell>
          <cell r="L3338" t="str">
            <v>Waterpower</v>
          </cell>
          <cell r="M3338" t="str">
            <v>Tx</v>
          </cell>
          <cell r="N3338" t="str">
            <v>Wawa</v>
          </cell>
          <cell r="O3338" t="str">
            <v>Algoma</v>
          </cell>
          <cell r="P3338" t="str">
            <v>Northeast</v>
          </cell>
        </row>
        <row r="3339">
          <cell r="C3339" t="str">
            <v>Rayner GS</v>
          </cell>
          <cell r="D3339" t="str">
            <v>Brookfield BRP Canada Corp.</v>
          </cell>
          <cell r="E3339" t="str">
            <v>CO</v>
          </cell>
          <cell r="F3339">
            <v>40148</v>
          </cell>
          <cell r="G3339">
            <v>40148</v>
          </cell>
          <cell r="H3339">
            <v>47453</v>
          </cell>
          <cell r="I3339" t="str">
            <v>20 years, 0 months, 0 days</v>
          </cell>
          <cell r="J3339" t="str">
            <v>Renewables</v>
          </cell>
          <cell r="K3339" t="str">
            <v>Run-of-River</v>
          </cell>
          <cell r="L3339" t="str">
            <v>Waterpower</v>
          </cell>
          <cell r="M3339" t="str">
            <v>Tx</v>
          </cell>
          <cell r="N3339" t="str">
            <v>Thessalon</v>
          </cell>
          <cell r="O3339" t="str">
            <v>Algoma</v>
          </cell>
          <cell r="P3339" t="str">
            <v>Northeast</v>
          </cell>
        </row>
        <row r="3340">
          <cell r="C3340" t="str">
            <v>Red Rock Falls GS</v>
          </cell>
          <cell r="D3340" t="str">
            <v>Brookfield BRP Canada Corp.</v>
          </cell>
          <cell r="E3340" t="str">
            <v>CO</v>
          </cell>
          <cell r="F3340">
            <v>40148</v>
          </cell>
          <cell r="G3340">
            <v>40148</v>
          </cell>
          <cell r="H3340">
            <v>47453</v>
          </cell>
          <cell r="I3340" t="str">
            <v>20 years, 0 months, 0 days</v>
          </cell>
          <cell r="J3340" t="str">
            <v>Renewables</v>
          </cell>
          <cell r="K3340" t="str">
            <v>Run-of-River</v>
          </cell>
          <cell r="L3340" t="str">
            <v>Waterpower</v>
          </cell>
          <cell r="M3340" t="str">
            <v>Tx</v>
          </cell>
          <cell r="N3340" t="str">
            <v>Thessalon</v>
          </cell>
          <cell r="O3340" t="str">
            <v>Algoma</v>
          </cell>
          <cell r="P3340" t="str">
            <v>Northeast</v>
          </cell>
        </row>
        <row r="3341">
          <cell r="C3341" t="str">
            <v>Scott Falls GS</v>
          </cell>
          <cell r="D3341" t="str">
            <v>Great Lakes Power Limited Partnership, Algoma Hydro Asset LP, Canada Atlantis GL Power LP</v>
          </cell>
          <cell r="E3341" t="str">
            <v>CO</v>
          </cell>
          <cell r="F3341">
            <v>40148</v>
          </cell>
          <cell r="G3341">
            <v>40148</v>
          </cell>
          <cell r="H3341">
            <v>47453</v>
          </cell>
          <cell r="I3341" t="str">
            <v>20 years, 0 months, 0 days</v>
          </cell>
          <cell r="J3341" t="str">
            <v>Renewables</v>
          </cell>
          <cell r="K3341" t="str">
            <v>Run-of-River</v>
          </cell>
          <cell r="L3341" t="str">
            <v>Waterpower</v>
          </cell>
          <cell r="M3341" t="str">
            <v>Tx</v>
          </cell>
          <cell r="N3341" t="str">
            <v>Wawa</v>
          </cell>
          <cell r="O3341" t="str">
            <v>Algoma</v>
          </cell>
          <cell r="P3341" t="str">
            <v>Northeast</v>
          </cell>
        </row>
        <row r="3342">
          <cell r="C3342" t="str">
            <v>Steephill Falls GS</v>
          </cell>
          <cell r="D3342" t="str">
            <v>Great Lakes Power Limited Partnership, Algoma Hydro Asset LP, Canada Atlantis GL Power LP</v>
          </cell>
          <cell r="E3342" t="str">
            <v>CO</v>
          </cell>
          <cell r="F3342">
            <v>40148</v>
          </cell>
          <cell r="G3342">
            <v>40148</v>
          </cell>
          <cell r="H3342">
            <v>47453</v>
          </cell>
          <cell r="I3342" t="str">
            <v>20 years, 0 months, 0 days</v>
          </cell>
          <cell r="J3342" t="str">
            <v>Renewables</v>
          </cell>
          <cell r="K3342" t="str">
            <v>Run-of-River</v>
          </cell>
          <cell r="L3342" t="str">
            <v>Waterpower</v>
          </cell>
          <cell r="M3342" t="str">
            <v>Tx</v>
          </cell>
          <cell r="N3342" t="str">
            <v>Wawa</v>
          </cell>
          <cell r="O3342" t="str">
            <v>Algoma</v>
          </cell>
          <cell r="P3342" t="str">
            <v>Northeast</v>
          </cell>
        </row>
        <row r="3343">
          <cell r="C3343" t="str">
            <v>Wells GS</v>
          </cell>
          <cell r="D3343" t="str">
            <v>Brookfield BRP Canada Corp.</v>
          </cell>
          <cell r="E3343" t="str">
            <v>CO</v>
          </cell>
          <cell r="F3343">
            <v>40148</v>
          </cell>
          <cell r="G3343">
            <v>40148</v>
          </cell>
          <cell r="H3343">
            <v>47453</v>
          </cell>
          <cell r="I3343" t="str">
            <v>20 years, 0 months, 0 days</v>
          </cell>
          <cell r="J3343" t="str">
            <v>Renewables</v>
          </cell>
          <cell r="K3343" t="str">
            <v>Run-of-River</v>
          </cell>
          <cell r="L3343" t="str">
            <v>Waterpower</v>
          </cell>
          <cell r="M3343" t="str">
            <v>Tx</v>
          </cell>
          <cell r="N3343" t="str">
            <v>Thessalon</v>
          </cell>
          <cell r="O3343" t="str">
            <v>Algoma</v>
          </cell>
          <cell r="P3343" t="str">
            <v>Northeast</v>
          </cell>
        </row>
        <row r="3344">
          <cell r="C3344" t="str">
            <v>Fort Frances</v>
          </cell>
          <cell r="D3344" t="str">
            <v>H2O Power Limited Partnership, Watergen Canada Holdings Inc.</v>
          </cell>
          <cell r="E3344" t="str">
            <v>CO</v>
          </cell>
          <cell r="F3344">
            <v>40148</v>
          </cell>
          <cell r="G3344">
            <v>40148</v>
          </cell>
          <cell r="H3344">
            <v>47453</v>
          </cell>
          <cell r="I3344" t="str">
            <v>20 years, 0 months, 0 days</v>
          </cell>
          <cell r="J3344" t="str">
            <v>Renewables</v>
          </cell>
          <cell r="K3344" t="str">
            <v>Run-of-River</v>
          </cell>
          <cell r="L3344" t="str">
            <v>Waterpower</v>
          </cell>
          <cell r="M3344" t="str">
            <v>Tx</v>
          </cell>
          <cell r="N3344" t="str">
            <v>Fort Frances</v>
          </cell>
          <cell r="O3344" t="str">
            <v>Rainy River</v>
          </cell>
          <cell r="P3344" t="str">
            <v>Northwest</v>
          </cell>
        </row>
        <row r="3345">
          <cell r="C3345" t="str">
            <v>Iroquois Falls</v>
          </cell>
          <cell r="D3345" t="str">
            <v>H2O Power Limited Partnership, Watergen Canada Holdings Inc.</v>
          </cell>
          <cell r="E3345" t="str">
            <v>CO</v>
          </cell>
          <cell r="F3345">
            <v>40148</v>
          </cell>
          <cell r="G3345">
            <v>40148</v>
          </cell>
          <cell r="H3345">
            <v>47453</v>
          </cell>
          <cell r="I3345" t="str">
            <v>20 years, 0 months, 0 days</v>
          </cell>
          <cell r="J3345" t="str">
            <v>Renewables</v>
          </cell>
          <cell r="K3345" t="str">
            <v>Run-of-River</v>
          </cell>
          <cell r="L3345" t="str">
            <v>Waterpower</v>
          </cell>
          <cell r="M3345" t="str">
            <v>Tx</v>
          </cell>
          <cell r="N3345" t="str">
            <v>Iroquois Falls</v>
          </cell>
          <cell r="O3345" t="str">
            <v>Cochrane</v>
          </cell>
          <cell r="P3345" t="str">
            <v>Northeast</v>
          </cell>
        </row>
        <row r="3346">
          <cell r="C3346" t="str">
            <v>Island Falls</v>
          </cell>
          <cell r="D3346" t="str">
            <v>H2O Power Limited Partnership, Watergen Canada Holdings Inc.</v>
          </cell>
          <cell r="E3346" t="str">
            <v>CO</v>
          </cell>
          <cell r="F3346">
            <v>40148</v>
          </cell>
          <cell r="G3346">
            <v>40148</v>
          </cell>
          <cell r="H3346">
            <v>47453</v>
          </cell>
          <cell r="I3346" t="str">
            <v>20 years, 0 months, 0 days</v>
          </cell>
          <cell r="J3346" t="str">
            <v>Renewables</v>
          </cell>
          <cell r="K3346" t="str">
            <v>Run-of-River</v>
          </cell>
          <cell r="L3346" t="str">
            <v>Waterpower</v>
          </cell>
          <cell r="M3346" t="str">
            <v>Tx</v>
          </cell>
          <cell r="N3346" t="str">
            <v>Iroquois Falls</v>
          </cell>
          <cell r="O3346" t="str">
            <v>Cochrane</v>
          </cell>
          <cell r="P3346" t="str">
            <v>Northeast</v>
          </cell>
        </row>
        <row r="3347">
          <cell r="C3347" t="str">
            <v>Norman</v>
          </cell>
          <cell r="D3347" t="str">
            <v>H2O Power Limited Partnership, Watergen Canada Holdings Inc.</v>
          </cell>
          <cell r="E3347" t="str">
            <v>CO</v>
          </cell>
          <cell r="F3347">
            <v>40148</v>
          </cell>
          <cell r="G3347">
            <v>40148</v>
          </cell>
          <cell r="H3347">
            <v>47453</v>
          </cell>
          <cell r="I3347" t="str">
            <v>20 years, 0 months, 0 days</v>
          </cell>
          <cell r="J3347" t="str">
            <v>Renewables</v>
          </cell>
          <cell r="K3347" t="str">
            <v>Run-of-River</v>
          </cell>
          <cell r="L3347" t="str">
            <v>Waterpower</v>
          </cell>
          <cell r="M3347" t="str">
            <v>Tx</v>
          </cell>
          <cell r="N3347" t="str">
            <v>Kenora</v>
          </cell>
          <cell r="O3347" t="str">
            <v>Kenora</v>
          </cell>
          <cell r="P3347" t="str">
            <v>Northwest</v>
          </cell>
        </row>
        <row r="3348">
          <cell r="C3348" t="str">
            <v>Twin Falls</v>
          </cell>
          <cell r="D3348" t="str">
            <v>H2O Power Limited Partnership, Watergen Canada Holdings Inc.</v>
          </cell>
          <cell r="E3348" t="str">
            <v>CO</v>
          </cell>
          <cell r="F3348">
            <v>40148</v>
          </cell>
          <cell r="G3348">
            <v>40148</v>
          </cell>
          <cell r="H3348">
            <v>47453</v>
          </cell>
          <cell r="I3348" t="str">
            <v>20 years, 0 months, 0 days</v>
          </cell>
          <cell r="J3348" t="str">
            <v>Renewables</v>
          </cell>
          <cell r="K3348" t="str">
            <v>Run-of-River</v>
          </cell>
          <cell r="L3348" t="str">
            <v>Waterpower</v>
          </cell>
          <cell r="M3348" t="str">
            <v>Tx</v>
          </cell>
          <cell r="N3348" t="str">
            <v>Iroquois Falls</v>
          </cell>
          <cell r="O3348" t="str">
            <v>Cochrane</v>
          </cell>
          <cell r="P3348" t="str">
            <v>Northeast</v>
          </cell>
        </row>
        <row r="3349">
          <cell r="C3349" t="str">
            <v>Lac Seul/Ear Falls Generating Station</v>
          </cell>
          <cell r="D3349" t="str">
            <v>Ontario Power Generation Inc.</v>
          </cell>
          <cell r="E3349" t="str">
            <v>CO</v>
          </cell>
          <cell r="G3349">
            <v>39862</v>
          </cell>
          <cell r="H3349">
            <v>58123</v>
          </cell>
          <cell r="I3349" t="str">
            <v>49 years, 11 months, 30 days</v>
          </cell>
          <cell r="J3349" t="str">
            <v>Renewables</v>
          </cell>
          <cell r="K3349" t="str">
            <v>Run-of-River</v>
          </cell>
          <cell r="L3349" t="str">
            <v>Waterpower</v>
          </cell>
          <cell r="M3349" t="str">
            <v>Tx</v>
          </cell>
          <cell r="N3349" t="str">
            <v>Ear Falls</v>
          </cell>
          <cell r="O3349" t="str">
            <v>Kenora</v>
          </cell>
          <cell r="P3349" t="str">
            <v>Northwest</v>
          </cell>
        </row>
        <row r="3350">
          <cell r="C3350" t="str">
            <v>Hound Chute Generating Station - Upper Mattagami</v>
          </cell>
          <cell r="D3350" t="str">
            <v>UMH Energy Partnership, an Ontario General Partnership of Ontario Power Generation Inc. and UMH Energy Inc.</v>
          </cell>
          <cell r="E3350" t="str">
            <v>CO</v>
          </cell>
          <cell r="G3350">
            <v>40519</v>
          </cell>
          <cell r="H3350">
            <v>58781</v>
          </cell>
          <cell r="I3350" t="str">
            <v>49 years, 11 months, 29 days</v>
          </cell>
          <cell r="J3350" t="str">
            <v>Renewables</v>
          </cell>
          <cell r="K3350" t="str">
            <v>Run-of-River</v>
          </cell>
          <cell r="L3350" t="str">
            <v>Waterpower</v>
          </cell>
          <cell r="M3350" t="str">
            <v>Dx</v>
          </cell>
          <cell r="N3350" t="str">
            <v>Kenabeek</v>
          </cell>
          <cell r="O3350" t="str">
            <v>Timiskaming</v>
          </cell>
          <cell r="P3350" t="str">
            <v>Northeast</v>
          </cell>
        </row>
        <row r="3351">
          <cell r="C3351" t="str">
            <v>Lower Sturgeon Generating Station - Upper Mattagami</v>
          </cell>
          <cell r="D3351" t="str">
            <v>UMH Energy Partnership, an Ontario General Partnership of Ontario Power Generation Inc. and UMH Energy Inc.</v>
          </cell>
          <cell r="E3351" t="str">
            <v>CO</v>
          </cell>
          <cell r="G3351">
            <v>40503</v>
          </cell>
          <cell r="H3351">
            <v>58765</v>
          </cell>
          <cell r="I3351" t="str">
            <v>49 years, 11 months, 30 days</v>
          </cell>
          <cell r="J3351" t="str">
            <v>Renewables</v>
          </cell>
          <cell r="K3351" t="str">
            <v>Run-of-River</v>
          </cell>
          <cell r="L3351" t="str">
            <v>Waterpower</v>
          </cell>
          <cell r="M3351" t="str">
            <v>Dx</v>
          </cell>
          <cell r="N3351" t="str">
            <v>Timmins</v>
          </cell>
          <cell r="O3351" t="str">
            <v>Cochrane</v>
          </cell>
          <cell r="P3351" t="str">
            <v>Northeast</v>
          </cell>
        </row>
        <row r="3352">
          <cell r="C3352" t="str">
            <v>Sandy Falls Generating Station - Upper Mattagami</v>
          </cell>
          <cell r="D3352" t="str">
            <v>UMH Energy Partnership, an Ontario General Partnership of Ontario Power Generation Inc. and UMH Energy Inc.</v>
          </cell>
          <cell r="E3352" t="str">
            <v>CO</v>
          </cell>
          <cell r="G3352">
            <v>40478</v>
          </cell>
          <cell r="H3352">
            <v>58740</v>
          </cell>
          <cell r="I3352" t="str">
            <v>49 years, 11 months, 29 days</v>
          </cell>
          <cell r="J3352" t="str">
            <v>Renewables</v>
          </cell>
          <cell r="K3352" t="str">
            <v>Run-of-River</v>
          </cell>
          <cell r="L3352" t="str">
            <v>Waterpower</v>
          </cell>
          <cell r="M3352" t="str">
            <v>Dx</v>
          </cell>
          <cell r="N3352" t="str">
            <v>Timmins</v>
          </cell>
          <cell r="O3352" t="str">
            <v>Cochrane</v>
          </cell>
          <cell r="P3352" t="str">
            <v>Northeast</v>
          </cell>
        </row>
        <row r="3353">
          <cell r="C3353" t="str">
            <v>Wawaitin Generating Station - Upper Mattagami</v>
          </cell>
          <cell r="D3353" t="str">
            <v>UMH Energy Partnership, an Ontario General Partnership of Ontario Power Generation Inc. and UMH Energy Inc.</v>
          </cell>
          <cell r="E3353" t="str">
            <v>CO</v>
          </cell>
          <cell r="G3353">
            <v>40504</v>
          </cell>
          <cell r="H3353">
            <v>58766</v>
          </cell>
          <cell r="I3353" t="str">
            <v>49 years, 11 months, 30 days</v>
          </cell>
          <cell r="J3353" t="str">
            <v>Renewables</v>
          </cell>
          <cell r="K3353" t="str">
            <v>Run-of-River</v>
          </cell>
          <cell r="L3353" t="str">
            <v>Waterpower</v>
          </cell>
          <cell r="M3353" t="str">
            <v>Dx</v>
          </cell>
          <cell r="N3353" t="str">
            <v>Timmins</v>
          </cell>
          <cell r="O3353" t="str">
            <v>Cochrane</v>
          </cell>
          <cell r="P3353" t="str">
            <v>Northeast</v>
          </cell>
        </row>
        <row r="3354">
          <cell r="C3354" t="str">
            <v>Healey Falls Generating Station</v>
          </cell>
          <cell r="D3354" t="str">
            <v>Ontario Power Generation Inc.</v>
          </cell>
          <cell r="E3354" t="str">
            <v>CO</v>
          </cell>
          <cell r="G3354">
            <v>40275</v>
          </cell>
          <cell r="H3354">
            <v>58537</v>
          </cell>
          <cell r="I3354" t="str">
            <v>49 years, 11 months, 30 days</v>
          </cell>
          <cell r="J3354" t="str">
            <v>Renewables</v>
          </cell>
          <cell r="K3354" t="str">
            <v>Run-of-River</v>
          </cell>
          <cell r="L3354" t="str">
            <v>Waterpower</v>
          </cell>
          <cell r="M3354" t="str">
            <v>Dx</v>
          </cell>
          <cell r="N3354" t="str">
            <v>Campbellford</v>
          </cell>
          <cell r="O3354" t="str">
            <v>Northumberland</v>
          </cell>
          <cell r="P3354" t="str">
            <v>East</v>
          </cell>
        </row>
        <row r="3355">
          <cell r="C3355" t="str">
            <v>Little Long GS - Lower Mattagami</v>
          </cell>
          <cell r="D3355" t="str">
            <v>Lower Mattagami Energy Limited Partnership and Lower Mattagami Limited Partnership</v>
          </cell>
          <cell r="E3355" t="str">
            <v>CO</v>
          </cell>
          <cell r="G3355">
            <v>40351</v>
          </cell>
          <cell r="H3355">
            <v>58613</v>
          </cell>
          <cell r="I3355" t="str">
            <v>49 years, 11 months, 30 days</v>
          </cell>
          <cell r="J3355" t="str">
            <v>Renewables</v>
          </cell>
          <cell r="K3355" t="str">
            <v>Run-of-River</v>
          </cell>
          <cell r="L3355" t="str">
            <v>Waterpower</v>
          </cell>
          <cell r="M3355" t="str">
            <v>Tx</v>
          </cell>
          <cell r="N3355" t="str">
            <v>Kapuskasing</v>
          </cell>
          <cell r="O3355" t="str">
            <v>Cochrane</v>
          </cell>
          <cell r="P3355" t="str">
            <v>Northeast</v>
          </cell>
        </row>
        <row r="3356">
          <cell r="C3356" t="str">
            <v>Harmon GS - Lower Mattagami</v>
          </cell>
          <cell r="D3356" t="str">
            <v>Lower Mattagami Energy Limited Partnership and Lower Mattagami Limited Partnership</v>
          </cell>
          <cell r="E3356" t="str">
            <v>CO</v>
          </cell>
          <cell r="G3356">
            <v>40351</v>
          </cell>
          <cell r="H3356">
            <v>58613</v>
          </cell>
          <cell r="I3356" t="str">
            <v>49 years, 11 months, 30 days</v>
          </cell>
          <cell r="J3356" t="str">
            <v>Renewables</v>
          </cell>
          <cell r="K3356" t="str">
            <v>Run-of-River</v>
          </cell>
          <cell r="L3356" t="str">
            <v>Waterpower</v>
          </cell>
          <cell r="M3356" t="str">
            <v>Tx</v>
          </cell>
          <cell r="N3356" t="str">
            <v>Val Rita</v>
          </cell>
          <cell r="O3356" t="str">
            <v>Cochrane</v>
          </cell>
          <cell r="P3356" t="str">
            <v>Northeast</v>
          </cell>
        </row>
        <row r="3357">
          <cell r="C3357" t="str">
            <v>Kipling GS - Lower Mattagami</v>
          </cell>
          <cell r="D3357" t="str">
            <v>Lower Mattagami Energy Limited Partnership and Lower Mattagami Limited Partnership</v>
          </cell>
          <cell r="E3357" t="str">
            <v>CO</v>
          </cell>
          <cell r="G3357">
            <v>40351</v>
          </cell>
          <cell r="H3357">
            <v>58613</v>
          </cell>
          <cell r="I3357" t="str">
            <v>49 years, 11 months, 30 days</v>
          </cell>
          <cell r="J3357" t="str">
            <v>Renewables</v>
          </cell>
          <cell r="K3357" t="str">
            <v>Run-of-River</v>
          </cell>
          <cell r="L3357" t="str">
            <v>Waterpower</v>
          </cell>
          <cell r="M3357" t="str">
            <v>Tx</v>
          </cell>
          <cell r="N3357" t="str">
            <v>Val Rita</v>
          </cell>
          <cell r="O3357" t="str">
            <v>Cochrane</v>
          </cell>
          <cell r="P3357" t="str">
            <v>Northeast</v>
          </cell>
        </row>
        <row r="3358">
          <cell r="C3358" t="str">
            <v>Smoky Falls GS - Lower Mattagami</v>
          </cell>
          <cell r="D3358" t="str">
            <v>Lower Mattagami Energy Limited Partnership and Lower Mattagami Limited Partnership</v>
          </cell>
          <cell r="E3358" t="str">
            <v>CO</v>
          </cell>
          <cell r="F3358">
            <v>42369</v>
          </cell>
          <cell r="G3358">
            <v>41912</v>
          </cell>
          <cell r="H3358">
            <v>60174</v>
          </cell>
          <cell r="I3358" t="str">
            <v>49 years, 11 months, 30 days</v>
          </cell>
          <cell r="J3358" t="str">
            <v>Renewables</v>
          </cell>
          <cell r="K3358" t="str">
            <v>Run-of-River</v>
          </cell>
          <cell r="L3358" t="str">
            <v>Waterpower</v>
          </cell>
          <cell r="M3358" t="str">
            <v>Tx</v>
          </cell>
          <cell r="N3358" t="str">
            <v>Val Rita</v>
          </cell>
          <cell r="O3358" t="str">
            <v>Cochrane</v>
          </cell>
          <cell r="P3358" t="str">
            <v>Northeast</v>
          </cell>
        </row>
        <row r="3359">
          <cell r="C3359" t="str">
            <v>Peter Sutherland Sr. GS (New Post Creek)</v>
          </cell>
          <cell r="D3359" t="str">
            <v>PSS Generating Station LP</v>
          </cell>
          <cell r="E3359" t="str">
            <v>CO</v>
          </cell>
          <cell r="F3359">
            <v>43070</v>
          </cell>
          <cell r="G3359">
            <v>42825</v>
          </cell>
          <cell r="H3359">
            <v>61086</v>
          </cell>
          <cell r="I3359" t="str">
            <v>49 years, 11 months, 27 days</v>
          </cell>
          <cell r="J3359" t="str">
            <v>Renewables</v>
          </cell>
          <cell r="K3359" t="str">
            <v>Run-of-River</v>
          </cell>
          <cell r="L3359" t="str">
            <v>Waterpower</v>
          </cell>
          <cell r="M3359" t="str">
            <v>Tx</v>
          </cell>
          <cell r="N3359" t="str">
            <v>Smooth Rock Falls</v>
          </cell>
          <cell r="O3359" t="str">
            <v>Cochrane</v>
          </cell>
          <cell r="P3359" t="str">
            <v>Northeast</v>
          </cell>
        </row>
        <row r="3360">
          <cell r="C3360" t="str">
            <v>Minden GS</v>
          </cell>
          <cell r="D3360" t="str">
            <v>Orillia Power Generation Corporation</v>
          </cell>
          <cell r="E3360" t="str">
            <v>CO</v>
          </cell>
          <cell r="F3360">
            <v>43983</v>
          </cell>
          <cell r="G3360">
            <v>42156</v>
          </cell>
          <cell r="H3360">
            <v>50099</v>
          </cell>
          <cell r="I3360" t="str">
            <v>21 years, 8 months, 27 days</v>
          </cell>
          <cell r="J3360" t="str">
            <v>Renewables</v>
          </cell>
          <cell r="K3360" t="str">
            <v>Run-of-River</v>
          </cell>
          <cell r="L3360" t="str">
            <v>Waterpower</v>
          </cell>
          <cell r="M3360" t="str">
            <v>Dx</v>
          </cell>
          <cell r="N3360" t="str">
            <v>Monetville</v>
          </cell>
          <cell r="O3360" t="str">
            <v>Sudbury</v>
          </cell>
          <cell r="P3360" t="str">
            <v>Essa</v>
          </cell>
        </row>
        <row r="3361">
          <cell r="C3361" t="str">
            <v>Geisler Falls GS and Corkery Falls GS</v>
          </cell>
          <cell r="D3361" t="str">
            <v>Carlisle Limited Partnership No. 1</v>
          </cell>
          <cell r="E3361" t="str">
            <v>CO</v>
          </cell>
          <cell r="F3361">
            <v>43983</v>
          </cell>
          <cell r="G3361">
            <v>43891</v>
          </cell>
          <cell r="H3361">
            <v>51195</v>
          </cell>
          <cell r="I3361" t="str">
            <v>19 years, 11 months, 28 days</v>
          </cell>
          <cell r="J3361" t="str">
            <v>Renewables</v>
          </cell>
          <cell r="K3361" t="str">
            <v>Run-of-River</v>
          </cell>
          <cell r="L3361" t="str">
            <v>Waterpower</v>
          </cell>
          <cell r="M3361" t="str">
            <v>Dx</v>
          </cell>
          <cell r="N3361" t="str">
            <v>Trout Creek</v>
          </cell>
          <cell r="O3361" t="str">
            <v>Parry Sound</v>
          </cell>
          <cell r="P3361" t="str">
            <v>Northeast</v>
          </cell>
        </row>
        <row r="3362">
          <cell r="C3362" t="str">
            <v>Elliot Falls GS</v>
          </cell>
          <cell r="D3362" t="str">
            <v>Bracebridge Generation Ltd.</v>
          </cell>
          <cell r="E3362" t="str">
            <v>CO</v>
          </cell>
          <cell r="F3362">
            <v>44044</v>
          </cell>
          <cell r="G3362">
            <v>44105</v>
          </cell>
          <cell r="H3362">
            <v>51409</v>
          </cell>
          <cell r="I3362" t="str">
            <v>19 years, 11 months, 29 days</v>
          </cell>
          <cell r="J3362" t="str">
            <v>Renewables</v>
          </cell>
          <cell r="K3362" t="str">
            <v>Run-of-River</v>
          </cell>
          <cell r="L3362" t="str">
            <v>Waterpower</v>
          </cell>
          <cell r="M3362" t="str">
            <v>Dx</v>
          </cell>
          <cell r="N3362" t="str">
            <v>Norland</v>
          </cell>
          <cell r="O3362" t="str">
            <v>Kawartha Lakes</v>
          </cell>
          <cell r="P3362" t="str">
            <v>Essa</v>
          </cell>
        </row>
        <row r="3363">
          <cell r="C3363" t="str">
            <v>Little Burgess GS</v>
          </cell>
          <cell r="D3363" t="str">
            <v>KRIS Renewable Power Ltd.</v>
          </cell>
          <cell r="E3363" t="str">
            <v>CO</v>
          </cell>
          <cell r="F3363">
            <v>43983</v>
          </cell>
          <cell r="G3363">
            <v>42156</v>
          </cell>
          <cell r="H3363">
            <v>48792</v>
          </cell>
          <cell r="I3363" t="str">
            <v>18 years, 2 months, 0 days</v>
          </cell>
          <cell r="J3363" t="str">
            <v>Renewables</v>
          </cell>
          <cell r="K3363" t="str">
            <v>Run-of-River</v>
          </cell>
          <cell r="L3363" t="str">
            <v>Waterpower</v>
          </cell>
          <cell r="M3363" t="str">
            <v>Dx</v>
          </cell>
          <cell r="N3363" t="str">
            <v>Bala</v>
          </cell>
          <cell r="O3363" t="str">
            <v>Muskoka</v>
          </cell>
          <cell r="P3363" t="str">
            <v>Essa</v>
          </cell>
        </row>
        <row r="3364">
          <cell r="C3364" t="str">
            <v>Chaudière Hydro GS5 Facility</v>
          </cell>
          <cell r="D3364" t="str">
            <v>Chaudière Hydro LP</v>
          </cell>
          <cell r="E3364" t="str">
            <v>CO</v>
          </cell>
          <cell r="F3364">
            <v>44599</v>
          </cell>
          <cell r="G3364">
            <v>42965</v>
          </cell>
          <cell r="H3364">
            <v>57574</v>
          </cell>
          <cell r="I3364" t="str">
            <v>39 years, 11 months, 30 days</v>
          </cell>
          <cell r="J3364" t="str">
            <v>Renewables</v>
          </cell>
          <cell r="K3364" t="str">
            <v>Run-of-River</v>
          </cell>
          <cell r="L3364" t="str">
            <v>Waterpower</v>
          </cell>
          <cell r="M3364" t="str">
            <v>Dx</v>
          </cell>
          <cell r="N3364" t="str">
            <v>Ottawa</v>
          </cell>
          <cell r="O3364" t="str">
            <v>Ottawa</v>
          </cell>
          <cell r="P3364" t="str">
            <v>Ottawa</v>
          </cell>
        </row>
        <row r="3365">
          <cell r="C3365" t="str">
            <v>Lennox Generating Station</v>
          </cell>
          <cell r="D3365" t="str">
            <v>Ontario Power Generation Inc.</v>
          </cell>
          <cell r="E3365" t="str">
            <v>CO</v>
          </cell>
          <cell r="F3365">
            <v>44835</v>
          </cell>
          <cell r="G3365">
            <v>44835</v>
          </cell>
          <cell r="H3365">
            <v>47238</v>
          </cell>
          <cell r="I3365" t="str">
            <v>6 years, 6 months, 29 days</v>
          </cell>
          <cell r="J3365" t="str">
            <v>Gas</v>
          </cell>
          <cell r="K3365" t="str">
            <v>Rankine Cycle</v>
          </cell>
          <cell r="L3365" t="str">
            <v>Natural Gas</v>
          </cell>
          <cell r="M3365" t="str">
            <v>Tx</v>
          </cell>
          <cell r="N3365" t="str">
            <v>Stella</v>
          </cell>
          <cell r="O3365" t="str">
            <v>Lennox and Addington</v>
          </cell>
          <cell r="P3365" t="str">
            <v>East</v>
          </cell>
        </row>
        <row r="3366">
          <cell r="C3366" t="str">
            <v>Loyalist Solar Project</v>
          </cell>
          <cell r="D3366" t="str">
            <v>Loyalist Solar LP</v>
          </cell>
          <cell r="E3366" t="str">
            <v>CO</v>
          </cell>
          <cell r="F3366">
            <v>43533</v>
          </cell>
          <cell r="G3366">
            <v>43584</v>
          </cell>
          <cell r="H3366">
            <v>50888</v>
          </cell>
          <cell r="I3366" t="str">
            <v>19 years, 11 months, 30 days</v>
          </cell>
          <cell r="J3366" t="str">
            <v>Renewables</v>
          </cell>
          <cell r="K3366" t="str">
            <v>Solar (Ground Mounted)</v>
          </cell>
          <cell r="L3366" t="str">
            <v>Solar</v>
          </cell>
          <cell r="M3366" t="str">
            <v>Tx</v>
          </cell>
          <cell r="N3366" t="str">
            <v>Centreville</v>
          </cell>
          <cell r="O3366" t="str">
            <v>Lennox and Addington</v>
          </cell>
          <cell r="P3366" t="str">
            <v>East</v>
          </cell>
        </row>
        <row r="3367">
          <cell r="C3367" t="str">
            <v>Nation Rise Wind</v>
          </cell>
          <cell r="D3367" t="str">
            <v>Nation Rise Wind Farm Limited Partnership</v>
          </cell>
          <cell r="E3367" t="str">
            <v>CO</v>
          </cell>
          <cell r="F3367">
            <v>44364</v>
          </cell>
          <cell r="G3367">
            <v>44361</v>
          </cell>
          <cell r="H3367">
            <v>51665</v>
          </cell>
          <cell r="I3367" t="str">
            <v>19 years, 11 months, 30 days</v>
          </cell>
          <cell r="J3367" t="str">
            <v>Renewables</v>
          </cell>
          <cell r="K3367" t="str">
            <v>Wind (On-Shore)</v>
          </cell>
          <cell r="L3367" t="str">
            <v>Wind</v>
          </cell>
          <cell r="M3367" t="str">
            <v>Tx</v>
          </cell>
          <cell r="N3367" t="str">
            <v>Crysler</v>
          </cell>
          <cell r="O3367" t="str">
            <v>Stormont, Dundas and Glengarry</v>
          </cell>
          <cell r="P3367" t="str">
            <v>East</v>
          </cell>
        </row>
        <row r="3368">
          <cell r="C3368" t="str">
            <v>Nanticoke Solar</v>
          </cell>
          <cell r="D3368" t="str">
            <v>Nanticoke Solar LP</v>
          </cell>
          <cell r="E3368" t="str">
            <v>CO</v>
          </cell>
          <cell r="F3368">
            <v>43533</v>
          </cell>
          <cell r="G3368">
            <v>43525</v>
          </cell>
          <cell r="H3368">
            <v>50829</v>
          </cell>
          <cell r="I3368" t="str">
            <v>19 years, 11 months, 27 days</v>
          </cell>
          <cell r="J3368" t="str">
            <v>Renewables</v>
          </cell>
          <cell r="K3368" t="str">
            <v>Solar (Ground Mounted)</v>
          </cell>
          <cell r="L3368" t="str">
            <v>Solar</v>
          </cell>
          <cell r="M3368" t="str">
            <v>Tx</v>
          </cell>
          <cell r="N3368" t="str">
            <v>Nanticoke</v>
          </cell>
          <cell r="O3368" t="str">
            <v>Haldimand</v>
          </cell>
          <cell r="P3368" t="str">
            <v>Southwest</v>
          </cell>
        </row>
        <row r="3369">
          <cell r="C3369" t="str">
            <v>Pendleton Solar Energy Centre</v>
          </cell>
          <cell r="D3369" t="str">
            <v>Pendleton Energy Centre Limited Partnership</v>
          </cell>
          <cell r="E3369" t="str">
            <v>CO</v>
          </cell>
          <cell r="F3369">
            <v>43533</v>
          </cell>
          <cell r="G3369">
            <v>43468</v>
          </cell>
          <cell r="H3369">
            <v>50772</v>
          </cell>
          <cell r="I3369" t="str">
            <v>19 years, 11 months, 30 days</v>
          </cell>
          <cell r="J3369" t="str">
            <v>Renewables</v>
          </cell>
          <cell r="K3369" t="str">
            <v>Solar (Ground Mounted)</v>
          </cell>
          <cell r="L3369" t="str">
            <v>Solar</v>
          </cell>
          <cell r="M3369" t="str">
            <v>Dx</v>
          </cell>
          <cell r="N3369" t="str">
            <v>Curran</v>
          </cell>
          <cell r="O3369" t="str">
            <v>Prescott and Russell</v>
          </cell>
          <cell r="P3369" t="str">
            <v>Ottawa</v>
          </cell>
        </row>
        <row r="3370">
          <cell r="C3370" t="str">
            <v>Romney Wind Energy Centre</v>
          </cell>
          <cell r="D3370" t="str">
            <v>Romney Energy Centre Limited Partnership</v>
          </cell>
          <cell r="E3370" t="str">
            <v>CO</v>
          </cell>
          <cell r="F3370">
            <v>43899</v>
          </cell>
          <cell r="G3370">
            <v>43830</v>
          </cell>
          <cell r="H3370">
            <v>51134</v>
          </cell>
          <cell r="I3370" t="str">
            <v>19 years, 11 months, 29 days</v>
          </cell>
          <cell r="J3370" t="str">
            <v>Renewables</v>
          </cell>
          <cell r="K3370" t="str">
            <v>Wind (On-Shore)</v>
          </cell>
          <cell r="L3370" t="str">
            <v>Wind</v>
          </cell>
          <cell r="M3370" t="str">
            <v>Tx</v>
          </cell>
          <cell r="N3370" t="str">
            <v>Tilbury</v>
          </cell>
          <cell r="O3370" t="str">
            <v>Chatham-Kent</v>
          </cell>
          <cell r="P3370" t="str">
            <v>West</v>
          </cell>
        </row>
        <row r="3371">
          <cell r="C3371" t="str">
            <v>Barlow Solar Energy Centre</v>
          </cell>
          <cell r="D3371" t="str">
            <v>Barlow Energy Centre Limited Partnership</v>
          </cell>
          <cell r="E3371" t="str">
            <v>CO</v>
          </cell>
          <cell r="F3371">
            <v>43533</v>
          </cell>
          <cell r="G3371">
            <v>43475</v>
          </cell>
          <cell r="H3371">
            <v>50779</v>
          </cell>
          <cell r="I3371" t="str">
            <v>19 years, 11 months, 30 days</v>
          </cell>
          <cell r="J3371" t="str">
            <v>Renewables</v>
          </cell>
          <cell r="K3371" t="str">
            <v>Solar (Ground Mounted)</v>
          </cell>
          <cell r="L3371" t="str">
            <v>Solar</v>
          </cell>
          <cell r="M3371" t="str">
            <v>Dx</v>
          </cell>
          <cell r="N3371" t="str">
            <v>Cornwall</v>
          </cell>
          <cell r="O3371" t="str">
            <v>Stormont, Dundas and Glengarry</v>
          </cell>
          <cell r="P3371" t="str">
            <v>East</v>
          </cell>
        </row>
        <row r="3372">
          <cell r="C3372" t="str">
            <v>Oxford Battery Energy Storage Project</v>
          </cell>
          <cell r="D3372" t="str">
            <v>Oxford Battery Energy Storage Project Inc.</v>
          </cell>
          <cell r="E3372" t="str">
            <v>UD</v>
          </cell>
          <cell r="F3372">
            <v>46874</v>
          </cell>
          <cell r="J3372" t="str">
            <v>Storage</v>
          </cell>
          <cell r="K3372" t="str">
            <v>Battery Energy Storage System</v>
          </cell>
          <cell r="L3372" t="str">
            <v>Battery</v>
          </cell>
          <cell r="M3372" t="str">
            <v>Tx</v>
          </cell>
          <cell r="N3372" t="str">
            <v>Woodstock</v>
          </cell>
          <cell r="O3372" t="str">
            <v>Oxford</v>
          </cell>
          <cell r="P3372" t="str">
            <v>Southwest</v>
          </cell>
        </row>
        <row r="3373">
          <cell r="C3373" t="str">
            <v>Tara BESS (formerly Grey Owl Storage)</v>
          </cell>
          <cell r="D3373" t="str">
            <v>Neoen Ontario BESS 1 Inc.</v>
          </cell>
          <cell r="E3373" t="str">
            <v>UD</v>
          </cell>
          <cell r="F3373">
            <v>46874</v>
          </cell>
          <cell r="J3373" t="str">
            <v>Storage</v>
          </cell>
          <cell r="K3373" t="str">
            <v>Battery Energy Storage System</v>
          </cell>
          <cell r="L3373" t="str">
            <v>Battery</v>
          </cell>
          <cell r="M3373" t="str">
            <v>Tx</v>
          </cell>
          <cell r="P3373" t="str">
            <v>Bruce</v>
          </cell>
        </row>
        <row r="3374">
          <cell r="C3374" t="str">
            <v>Trail Road BESS</v>
          </cell>
          <cell r="D3374" t="str">
            <v>Trailroad BESS Inc.</v>
          </cell>
          <cell r="E3374" t="str">
            <v>UD</v>
          </cell>
          <cell r="F3374">
            <v>46874</v>
          </cell>
          <cell r="J3374" t="str">
            <v>Storage</v>
          </cell>
          <cell r="K3374" t="str">
            <v>Battery Energy Storage System</v>
          </cell>
          <cell r="L3374" t="str">
            <v>Battery</v>
          </cell>
          <cell r="M3374" t="str">
            <v>Tx</v>
          </cell>
          <cell r="N3374" t="str">
            <v>Kars</v>
          </cell>
          <cell r="O3374" t="str">
            <v>Ottawa</v>
          </cell>
          <cell r="P3374" t="str">
            <v>Ottawa</v>
          </cell>
        </row>
        <row r="3375">
          <cell r="C3375" t="str">
            <v>South March BESS</v>
          </cell>
          <cell r="D3375" t="str">
            <v>Fitzroy BESS Inc.</v>
          </cell>
          <cell r="E3375" t="str">
            <v>UD</v>
          </cell>
          <cell r="F3375">
            <v>46874</v>
          </cell>
          <cell r="J3375" t="str">
            <v>Storage</v>
          </cell>
          <cell r="K3375" t="str">
            <v>Battery Energy Storage System</v>
          </cell>
          <cell r="L3375" t="str">
            <v>Battery</v>
          </cell>
          <cell r="M3375" t="str">
            <v>Tx</v>
          </cell>
          <cell r="N3375" t="str">
            <v>Dunrobin</v>
          </cell>
          <cell r="O3375" t="str">
            <v>Ottawa</v>
          </cell>
          <cell r="P3375" t="str">
            <v>Ottawa</v>
          </cell>
        </row>
        <row r="3376">
          <cell r="C3376" t="str">
            <v>North Glengarry BESS</v>
          </cell>
          <cell r="D3376" t="str">
            <v>North Glengarry BESS Inc.</v>
          </cell>
          <cell r="E3376" t="str">
            <v>UD</v>
          </cell>
          <cell r="F3376">
            <v>46874</v>
          </cell>
          <cell r="J3376" t="str">
            <v>Storage</v>
          </cell>
          <cell r="K3376" t="str">
            <v>Battery Energy Storage System</v>
          </cell>
          <cell r="L3376" t="str">
            <v>Battery</v>
          </cell>
          <cell r="M3376" t="str">
            <v>Dx</v>
          </cell>
          <cell r="N3376" t="str">
            <v>Dunvegan</v>
          </cell>
          <cell r="O3376" t="str">
            <v>Stormont, Dundas and Glengarry</v>
          </cell>
          <cell r="P3376" t="str">
            <v>Ottawa</v>
          </cell>
        </row>
        <row r="3377">
          <cell r="C3377" t="str">
            <v>Almonte BESS 2</v>
          </cell>
          <cell r="D3377" t="str">
            <v>Almonte BESS Inc.</v>
          </cell>
          <cell r="E3377" t="str">
            <v>CO</v>
          </cell>
          <cell r="F3377">
            <v>46874</v>
          </cell>
          <cell r="G3377">
            <v>46102</v>
          </cell>
          <cell r="H3377">
            <v>54543</v>
          </cell>
          <cell r="I3377" t="str">
            <v>23 years, 1 months, 9 days</v>
          </cell>
          <cell r="J3377" t="str">
            <v>Storage</v>
          </cell>
          <cell r="K3377" t="str">
            <v>Battery Energy Storage System</v>
          </cell>
          <cell r="L3377" t="str">
            <v>Battery</v>
          </cell>
          <cell r="M3377" t="str">
            <v>Dx</v>
          </cell>
          <cell r="N3377" t="str">
            <v>Almonte</v>
          </cell>
          <cell r="O3377" t="str">
            <v>Lanark</v>
          </cell>
          <cell r="P3377" t="str">
            <v>Ottawa</v>
          </cell>
        </row>
        <row r="3378">
          <cell r="C3378" t="str">
            <v>Edgeware Battery Storage Project</v>
          </cell>
          <cell r="D3378" t="str">
            <v>Edgeware BESS Project Limited Partnership</v>
          </cell>
          <cell r="E3378" t="str">
            <v>UD</v>
          </cell>
          <cell r="F3378">
            <v>46874</v>
          </cell>
          <cell r="J3378" t="str">
            <v>Storage</v>
          </cell>
          <cell r="K3378" t="str">
            <v>Battery Energy Storage System</v>
          </cell>
          <cell r="L3378" t="str">
            <v>Battery</v>
          </cell>
          <cell r="M3378" t="str">
            <v>Tx</v>
          </cell>
          <cell r="N3378" t="str">
            <v>St. Thomas</v>
          </cell>
          <cell r="O3378" t="str">
            <v>Elgin</v>
          </cell>
          <cell r="P3378" t="str">
            <v>West</v>
          </cell>
        </row>
        <row r="3379">
          <cell r="C3379" t="str">
            <v>Bolton Manor Rural Power Resiliency _x000D__x000D_
Project</v>
          </cell>
          <cell r="D3379" t="str">
            <v>Bolton Manor Resilient Generation Inc.</v>
          </cell>
          <cell r="E3379" t="str">
            <v>UD</v>
          </cell>
          <cell r="F3379">
            <v>46874</v>
          </cell>
          <cell r="J3379" t="str">
            <v>Renewables</v>
          </cell>
          <cell r="K3379" t="str">
            <v>Reciprocating Engine</v>
          </cell>
          <cell r="L3379" t="str">
            <v>Biogas</v>
          </cell>
          <cell r="M3379" t="str">
            <v>Dx</v>
          </cell>
          <cell r="N3379" t="str">
            <v>Thamesford</v>
          </cell>
          <cell r="O3379" t="str">
            <v>Middlesex</v>
          </cell>
          <cell r="P3379" t="str">
            <v>Southwest</v>
          </cell>
        </row>
        <row r="3380">
          <cell r="C3380" t="str">
            <v>Walker Dairy Rural Power Resiliency</v>
          </cell>
          <cell r="D3380" t="str">
            <v>Walker Resilient Generation Inc.</v>
          </cell>
          <cell r="E3380" t="str">
            <v>UD</v>
          </cell>
          <cell r="F3380">
            <v>46874</v>
          </cell>
          <cell r="J3380" t="str">
            <v>Gas</v>
          </cell>
          <cell r="K3380" t="str">
            <v>Reciprocating Engine</v>
          </cell>
          <cell r="L3380" t="str">
            <v>Natural Gas</v>
          </cell>
          <cell r="M3380" t="str">
            <v>Dx</v>
          </cell>
          <cell r="N3380" t="str">
            <v>Aylmer</v>
          </cell>
          <cell r="O3380" t="str">
            <v>Elgin</v>
          </cell>
          <cell r="P3380" t="str">
            <v>West</v>
          </cell>
        </row>
        <row r="3381">
          <cell r="C3381" t="str">
            <v>Hedley BESS</v>
          </cell>
          <cell r="D3381" t="str">
            <v>Hedley BESS LP</v>
          </cell>
          <cell r="E3381" t="str">
            <v>UD</v>
          </cell>
          <cell r="F3381">
            <v>46874</v>
          </cell>
          <cell r="J3381" t="str">
            <v>Storage</v>
          </cell>
          <cell r="K3381" t="str">
            <v>Battery Energy Storage System</v>
          </cell>
          <cell r="L3381" t="str">
            <v>Battery</v>
          </cell>
          <cell r="M3381" t="str">
            <v>Tx</v>
          </cell>
          <cell r="N3381" t="str">
            <v>Jarvis</v>
          </cell>
          <cell r="O3381" t="str">
            <v>Haldimand</v>
          </cell>
          <cell r="P3381" t="str">
            <v>Southwest</v>
          </cell>
        </row>
        <row r="3382">
          <cell r="C3382" t="str">
            <v>Elora BESS</v>
          </cell>
          <cell r="D3382" t="str">
            <v>Elora BESS LP</v>
          </cell>
          <cell r="E3382" t="str">
            <v>UD</v>
          </cell>
          <cell r="F3382">
            <v>46874</v>
          </cell>
          <cell r="J3382" t="str">
            <v>Storage</v>
          </cell>
          <cell r="K3382" t="str">
            <v>Battery Energy Storage System</v>
          </cell>
          <cell r="L3382" t="str">
            <v>Battery</v>
          </cell>
          <cell r="M3382" t="str">
            <v>Tx</v>
          </cell>
          <cell r="N3382" t="str">
            <v>Elora</v>
          </cell>
          <cell r="O3382" t="str">
            <v>Wellington</v>
          </cell>
          <cell r="P3382" t="str">
            <v>Southwest</v>
          </cell>
        </row>
        <row r="3383">
          <cell r="C3383" t="str">
            <v>Skyview 2 Battery Energy Storage Project</v>
          </cell>
          <cell r="D3383" t="str">
            <v>Skyview BESS Inc.</v>
          </cell>
          <cell r="E3383" t="str">
            <v>UD</v>
          </cell>
          <cell r="F3383">
            <v>46874</v>
          </cell>
          <cell r="J3383" t="str">
            <v>Storage</v>
          </cell>
          <cell r="K3383" t="str">
            <v>Battery Energy Storage System</v>
          </cell>
          <cell r="L3383" t="str">
            <v>Battery</v>
          </cell>
          <cell r="M3383" t="str">
            <v>Tx</v>
          </cell>
          <cell r="N3383" t="str">
            <v>Spencerville</v>
          </cell>
          <cell r="O3383" t="str">
            <v>Leeds and Grenville</v>
          </cell>
          <cell r="P3383" t="str">
            <v>East</v>
          </cell>
        </row>
        <row r="3384">
          <cell r="C3384" t="str">
            <v>Napanee Generating Station Expansion</v>
          </cell>
          <cell r="D3384" t="str">
            <v>Portlands Energy Centre L.P. (doing business as Atura Power)</v>
          </cell>
          <cell r="E3384" t="str">
            <v>UD</v>
          </cell>
          <cell r="F3384">
            <v>46874</v>
          </cell>
          <cell r="J3384" t="str">
            <v>Gas</v>
          </cell>
          <cell r="K3384" t="str">
            <v>Simple Cycle</v>
          </cell>
          <cell r="L3384" t="str">
            <v>Natural Gas</v>
          </cell>
          <cell r="M3384" t="str">
            <v>Tx</v>
          </cell>
          <cell r="N3384" t="str">
            <v>Belmont</v>
          </cell>
          <cell r="O3384" t="str">
            <v>Elgin</v>
          </cell>
          <cell r="P3384" t="str">
            <v>East</v>
          </cell>
        </row>
        <row r="3385">
          <cell r="C3385" t="str">
            <v xml:space="preserve">GTAA  </v>
          </cell>
          <cell r="D3385" t="str">
            <v>Greater Toronto Airports Authority</v>
          </cell>
          <cell r="E3385" t="str">
            <v>CO</v>
          </cell>
          <cell r="F3385">
            <v>45413</v>
          </cell>
          <cell r="G3385">
            <v>45413</v>
          </cell>
          <cell r="H3385">
            <v>47238</v>
          </cell>
          <cell r="I3385" t="str">
            <v>4 years, 11 months, 29 days</v>
          </cell>
          <cell r="J3385" t="str">
            <v>Gas</v>
          </cell>
          <cell r="K3385" t="str">
            <v>Combined Cycle CHP</v>
          </cell>
          <cell r="L3385" t="str">
            <v>Natural Gas</v>
          </cell>
          <cell r="M3385" t="str">
            <v>Dx</v>
          </cell>
          <cell r="N3385" t="str">
            <v>Mississauga</v>
          </cell>
          <cell r="O3385" t="str">
            <v>Peel</v>
          </cell>
          <cell r="P3385" t="str">
            <v>Toronto</v>
          </cell>
        </row>
        <row r="3386">
          <cell r="C3386" t="str">
            <v>Cochrane CGS</v>
          </cell>
          <cell r="D3386" t="str">
            <v>Cochrane Power Corporation</v>
          </cell>
          <cell r="E3386" t="str">
            <v>CO</v>
          </cell>
          <cell r="F3386">
            <v>45413</v>
          </cell>
          <cell r="G3386">
            <v>45627</v>
          </cell>
          <cell r="H3386">
            <v>47238</v>
          </cell>
          <cell r="I3386" t="str">
            <v>4 years, 4 months, 29 days</v>
          </cell>
          <cell r="J3386" t="str">
            <v>Gas</v>
          </cell>
          <cell r="K3386" t="str">
            <v>Combined Heat and Power</v>
          </cell>
          <cell r="L3386" t="str">
            <v>Natural Gas</v>
          </cell>
          <cell r="M3386" t="str">
            <v>Tx</v>
          </cell>
          <cell r="N3386" t="str">
            <v>Cochrane</v>
          </cell>
          <cell r="O3386" t="str">
            <v>Cochrane</v>
          </cell>
          <cell r="P3386" t="str">
            <v>Northeast</v>
          </cell>
        </row>
        <row r="3387">
          <cell r="C3387" t="str">
            <v>Nipigon Power Plant</v>
          </cell>
          <cell r="D3387" t="str">
            <v>Atlantic Power Limited Partnership</v>
          </cell>
          <cell r="E3387" t="str">
            <v>CO</v>
          </cell>
          <cell r="F3387">
            <v>45413</v>
          </cell>
          <cell r="G3387">
            <v>45413</v>
          </cell>
          <cell r="H3387">
            <v>46142</v>
          </cell>
          <cell r="I3387" t="str">
            <v>1 years, 11 months, 29 days</v>
          </cell>
          <cell r="J3387" t="str">
            <v>Gas</v>
          </cell>
          <cell r="K3387" t="str">
            <v>Combined Cycle</v>
          </cell>
          <cell r="L3387" t="str">
            <v>Natural Gas</v>
          </cell>
          <cell r="M3387" t="str">
            <v>Tx</v>
          </cell>
          <cell r="N3387" t="str">
            <v>Nipigon</v>
          </cell>
          <cell r="O3387" t="str">
            <v>Thunder Bay</v>
          </cell>
          <cell r="P3387" t="str">
            <v>Northwest</v>
          </cell>
        </row>
        <row r="3388">
          <cell r="C3388" t="str">
            <v>Ottawa Health Science Center Cogeneration Plant</v>
          </cell>
          <cell r="D3388" t="str">
            <v>TransAlta Cogeneration LP</v>
          </cell>
          <cell r="E3388" t="str">
            <v>CO</v>
          </cell>
          <cell r="F3388">
            <v>41640</v>
          </cell>
          <cell r="G3388">
            <v>41640</v>
          </cell>
          <cell r="H3388">
            <v>48944</v>
          </cell>
          <cell r="I3388" t="str">
            <v>19 years, 11 months, 30 days</v>
          </cell>
          <cell r="J3388" t="str">
            <v>Gas</v>
          </cell>
          <cell r="K3388" t="str">
            <v>Combined Cycle CHP</v>
          </cell>
          <cell r="L3388" t="str">
            <v>Natural Gas</v>
          </cell>
          <cell r="M3388" t="str">
            <v>Tx</v>
          </cell>
          <cell r="N3388" t="str">
            <v>Ottawa</v>
          </cell>
          <cell r="O3388" t="str">
            <v>Ottawa</v>
          </cell>
          <cell r="P3388" t="str">
            <v>Ottawa</v>
          </cell>
        </row>
        <row r="3389">
          <cell r="C3389" t="str">
            <v>Emerald Energy From Waste Facility</v>
          </cell>
          <cell r="D3389" t="str">
            <v>Emerald Energy From Waste Inc.</v>
          </cell>
          <cell r="E3389" t="str">
            <v>CO</v>
          </cell>
          <cell r="F3389">
            <v>42156</v>
          </cell>
          <cell r="G3389">
            <v>42255</v>
          </cell>
          <cell r="H3389">
            <v>47733</v>
          </cell>
          <cell r="I3389" t="str">
            <v>14 years, 11 months, 30 days</v>
          </cell>
          <cell r="J3389" t="str">
            <v>Other</v>
          </cell>
          <cell r="K3389" t="str">
            <v>Rankine Cycle</v>
          </cell>
          <cell r="L3389" t="str">
            <v>Municipal Waste</v>
          </cell>
          <cell r="M3389" t="str">
            <v>Dx</v>
          </cell>
          <cell r="N3389" t="str">
            <v>Brampton</v>
          </cell>
          <cell r="O3389" t="str">
            <v>Peel</v>
          </cell>
          <cell r="P3389" t="str">
            <v>Toronto</v>
          </cell>
        </row>
        <row r="3390">
          <cell r="C3390" t="str">
            <v>Cardinal Power Plant</v>
          </cell>
          <cell r="D3390" t="str">
            <v>Cardinal Power of Canada, L.P.</v>
          </cell>
          <cell r="E3390" t="str">
            <v>CO</v>
          </cell>
          <cell r="F3390">
            <v>42005</v>
          </cell>
          <cell r="G3390">
            <v>42005</v>
          </cell>
          <cell r="H3390">
            <v>49309</v>
          </cell>
          <cell r="I3390" t="str">
            <v>19 years, 11 months, 30 days</v>
          </cell>
          <cell r="J3390" t="str">
            <v>Gas</v>
          </cell>
          <cell r="K3390" t="str">
            <v>Combined Cycle CHP</v>
          </cell>
          <cell r="L3390" t="str">
            <v>Natural Gas</v>
          </cell>
          <cell r="M3390" t="str">
            <v>Tx</v>
          </cell>
          <cell r="N3390" t="str">
            <v>Cardinal</v>
          </cell>
          <cell r="O3390" t="str">
            <v>Leeds and Grenville</v>
          </cell>
          <cell r="P3390" t="str">
            <v>East</v>
          </cell>
        </row>
        <row r="3391">
          <cell r="C3391" t="str">
            <v>Chapleau Co-Generation</v>
          </cell>
          <cell r="D3391" t="str">
            <v>GreenFirst Forest Products (Ontario) Inc.</v>
          </cell>
          <cell r="E3391" t="str">
            <v>CO</v>
          </cell>
          <cell r="F3391">
            <v>41640</v>
          </cell>
          <cell r="G3391">
            <v>41640</v>
          </cell>
          <cell r="H3391">
            <v>46752</v>
          </cell>
          <cell r="I3391" t="str">
            <v>13 years, 11 months, 30 days</v>
          </cell>
          <cell r="J3391" t="str">
            <v>Renewables</v>
          </cell>
          <cell r="K3391" t="str">
            <v>Rankine Cycle</v>
          </cell>
          <cell r="L3391" t="str">
            <v>Biomass</v>
          </cell>
          <cell r="M3391" t="str">
            <v>Dx</v>
          </cell>
          <cell r="N3391" t="str">
            <v>Chapleau</v>
          </cell>
          <cell r="O3391" t="str">
            <v>Sudbury</v>
          </cell>
          <cell r="P3391" t="str">
            <v>Northeast</v>
          </cell>
        </row>
        <row r="3392">
          <cell r="C3392" t="str">
            <v>Maitland Generating Station</v>
          </cell>
          <cell r="D3392" t="str">
            <v>Invista (Canada) Company</v>
          </cell>
          <cell r="E3392" t="str">
            <v>CO</v>
          </cell>
          <cell r="F3392">
            <v>42370</v>
          </cell>
          <cell r="G3392">
            <v>42370</v>
          </cell>
          <cell r="H3392">
            <v>49674</v>
          </cell>
          <cell r="I3392" t="str">
            <v>19 years, 11 months, 30 days</v>
          </cell>
          <cell r="J3392" t="str">
            <v>Gas</v>
          </cell>
          <cell r="K3392" t="str">
            <v>Simple Cycle</v>
          </cell>
          <cell r="L3392" t="str">
            <v>Natural Gas</v>
          </cell>
          <cell r="M3392" t="str">
            <v>Dx</v>
          </cell>
          <cell r="N3392" t="str">
            <v>Maitland</v>
          </cell>
          <cell r="O3392" t="str">
            <v>Leeds and Grenville</v>
          </cell>
          <cell r="P3392" t="str">
            <v>East</v>
          </cell>
        </row>
        <row r="3393">
          <cell r="C3393" t="str">
            <v>Kirkland Lake Power Corp</v>
          </cell>
          <cell r="D3393" t="str">
            <v>Kirkland Lake Power Corp.</v>
          </cell>
          <cell r="E3393" t="str">
            <v>CO</v>
          </cell>
          <cell r="F3393">
            <v>42239</v>
          </cell>
          <cell r="G3393">
            <v>42239</v>
          </cell>
          <cell r="H3393">
            <v>49543</v>
          </cell>
          <cell r="I3393" t="str">
            <v>19 years, 11 months, 30 days</v>
          </cell>
          <cell r="J3393" t="str">
            <v>Gas</v>
          </cell>
          <cell r="K3393" t="str">
            <v>Simple Cycle CHP</v>
          </cell>
          <cell r="L3393" t="str">
            <v>Natural Gas</v>
          </cell>
          <cell r="M3393" t="str">
            <v>Tx</v>
          </cell>
          <cell r="N3393" t="str">
            <v>Kirkland Lake</v>
          </cell>
          <cell r="O3393" t="str">
            <v>Timiskaming</v>
          </cell>
          <cell r="P3393" t="str">
            <v>Northeast</v>
          </cell>
        </row>
        <row r="3394">
          <cell r="C3394" t="str">
            <v>Windsor Essex Cogeneration Plant</v>
          </cell>
          <cell r="D3394" t="str">
            <v>TransAlta Cogeneration LP</v>
          </cell>
          <cell r="E3394" t="str">
            <v>CO</v>
          </cell>
          <cell r="F3394">
            <v>42705</v>
          </cell>
          <cell r="G3394">
            <v>42705</v>
          </cell>
          <cell r="H3394">
            <v>48182</v>
          </cell>
          <cell r="I3394" t="str">
            <v>14 years, 11 months, 29 days</v>
          </cell>
          <cell r="J3394" t="str">
            <v>Gas</v>
          </cell>
          <cell r="K3394" t="str">
            <v>Combined Cycle CHP</v>
          </cell>
          <cell r="L3394" t="str">
            <v>Natural Gas</v>
          </cell>
          <cell r="M3394" t="str">
            <v>Tx</v>
          </cell>
          <cell r="N3394" t="str">
            <v>Windsor</v>
          </cell>
          <cell r="O3394" t="str">
            <v>Essex</v>
          </cell>
          <cell r="P3394" t="str">
            <v>West</v>
          </cell>
        </row>
        <row r="3395">
          <cell r="C3395" t="str">
            <v>Tunis Generating Station</v>
          </cell>
          <cell r="D3395" t="str">
            <v>Atlantic Power Limited Partnership</v>
          </cell>
          <cell r="E3395" t="str">
            <v>CO</v>
          </cell>
          <cell r="F3395">
            <v>43617</v>
          </cell>
          <cell r="G3395">
            <v>43377</v>
          </cell>
          <cell r="H3395">
            <v>48855</v>
          </cell>
          <cell r="I3395" t="str">
            <v>14 years, 11 months, 29 days</v>
          </cell>
          <cell r="J3395" t="str">
            <v>Gas</v>
          </cell>
          <cell r="K3395" t="str">
            <v>Simple Cycle</v>
          </cell>
          <cell r="L3395" t="str">
            <v>Natural Gas</v>
          </cell>
          <cell r="M3395" t="str">
            <v>Tx</v>
          </cell>
          <cell r="N3395" t="str">
            <v>Tunis</v>
          </cell>
          <cell r="O3395" t="str">
            <v>Cochrane</v>
          </cell>
          <cell r="P3395" t="str">
            <v>Northeast</v>
          </cell>
        </row>
        <row r="3396">
          <cell r="C3396" t="str">
            <v>West Windsor Power</v>
          </cell>
          <cell r="D3396" t="str">
            <v>ENGIE Canada Inc.</v>
          </cell>
          <cell r="E3396" t="str">
            <v>CO</v>
          </cell>
          <cell r="F3396">
            <v>42522</v>
          </cell>
          <cell r="G3396">
            <v>42522</v>
          </cell>
          <cell r="H3396">
            <v>47999</v>
          </cell>
          <cell r="I3396" t="str">
            <v>14 years, 11 months, 30 days</v>
          </cell>
          <cell r="J3396" t="str">
            <v>Gas</v>
          </cell>
          <cell r="K3396" t="str">
            <v>Combined Cycle CHP</v>
          </cell>
          <cell r="L3396" t="str">
            <v>Natural Gas</v>
          </cell>
          <cell r="M3396" t="str">
            <v>Tx</v>
          </cell>
          <cell r="N3396" t="str">
            <v>Windsor</v>
          </cell>
          <cell r="O3396" t="str">
            <v>Essex</v>
          </cell>
          <cell r="P3396" t="str">
            <v>West</v>
          </cell>
        </row>
        <row r="3397">
          <cell r="C3397" t="str">
            <v>Calstock Generating Station</v>
          </cell>
          <cell r="D3397" t="str">
            <v>Atlantic Power Limited Partnership</v>
          </cell>
          <cell r="E3397" t="str">
            <v>CO</v>
          </cell>
          <cell r="F3397">
            <v>44652</v>
          </cell>
          <cell r="G3397">
            <v>44652</v>
          </cell>
          <cell r="H3397">
            <v>46507</v>
          </cell>
          <cell r="I3397" t="str">
            <v>5 years, 0 months, 29 days</v>
          </cell>
          <cell r="J3397" t="str">
            <v>Renewables</v>
          </cell>
          <cell r="K3397" t="str">
            <v>Rankine Cycle</v>
          </cell>
          <cell r="L3397" t="str">
            <v>Biomass</v>
          </cell>
          <cell r="M3397" t="str">
            <v>Tx</v>
          </cell>
          <cell r="N3397" t="str">
            <v>Hearst</v>
          </cell>
          <cell r="O3397" t="str">
            <v>Cochrane</v>
          </cell>
          <cell r="P3397" t="str">
            <v>Northeast</v>
          </cell>
        </row>
        <row r="3398">
          <cell r="C3398" t="str">
            <v>Kirkland Lake Power Corp (Baseload)</v>
          </cell>
          <cell r="D3398" t="str">
            <v>Kirkland Lake Power Corp.</v>
          </cell>
          <cell r="E3398" t="str">
            <v>CO</v>
          </cell>
          <cell r="F3398">
            <v>44378</v>
          </cell>
          <cell r="G3398">
            <v>44378</v>
          </cell>
          <cell r="H3398">
            <v>47718</v>
          </cell>
          <cell r="I3398" t="str">
            <v>9 years, 1 months, 22 days</v>
          </cell>
          <cell r="J3398" t="str">
            <v>Gas</v>
          </cell>
          <cell r="K3398" t="str">
            <v>Combined Cycle</v>
          </cell>
          <cell r="L3398" t="str">
            <v>Natural Gas</v>
          </cell>
          <cell r="M3398" t="str">
            <v>Tx</v>
          </cell>
          <cell r="N3398" t="str">
            <v>Kirkland Lake</v>
          </cell>
          <cell r="O3398" t="str">
            <v>Timiskaming</v>
          </cell>
          <cell r="P3398" t="str">
            <v>Northeast</v>
          </cell>
        </row>
        <row r="3399">
          <cell r="C3399" t="str">
            <v>York Energy Centre</v>
          </cell>
          <cell r="D3399" t="str">
            <v>York Energy Centre LP</v>
          </cell>
          <cell r="E3399" t="str">
            <v>CO</v>
          </cell>
          <cell r="F3399">
            <v>40908</v>
          </cell>
          <cell r="G3399">
            <v>41038</v>
          </cell>
          <cell r="H3399">
            <v>49429</v>
          </cell>
          <cell r="I3399" t="str">
            <v>22 years, 11 months, 21 days</v>
          </cell>
          <cell r="J3399" t="str">
            <v>Gas</v>
          </cell>
          <cell r="K3399" t="str">
            <v>Simple Cycle</v>
          </cell>
          <cell r="L3399" t="str">
            <v>Natural Gas</v>
          </cell>
          <cell r="M3399" t="str">
            <v>Tx</v>
          </cell>
          <cell r="N3399" t="str">
            <v>Monetville</v>
          </cell>
          <cell r="O3399" t="str">
            <v>Sudbury</v>
          </cell>
          <cell r="P3399" t="str">
            <v>Essa</v>
          </cell>
        </row>
        <row r="3400">
          <cell r="C3400" t="str">
            <v>Oneida Energy Storage</v>
          </cell>
          <cell r="D3400" t="str">
            <v>Oneida Storage LP</v>
          </cell>
          <cell r="E3400" t="str">
            <v>CO</v>
          </cell>
          <cell r="F3400">
            <v>45829</v>
          </cell>
          <cell r="G3400">
            <v>45770</v>
          </cell>
          <cell r="H3400">
            <v>53133</v>
          </cell>
          <cell r="I3400" t="str">
            <v>20 years, 1 months, 28 days</v>
          </cell>
          <cell r="J3400" t="str">
            <v>Storage</v>
          </cell>
          <cell r="K3400" t="str">
            <v>Battery Energy Storage System</v>
          </cell>
          <cell r="L3400" t="str">
            <v>Battery</v>
          </cell>
          <cell r="M3400" t="str">
            <v>Tx</v>
          </cell>
          <cell r="N3400" t="str">
            <v>Nanticoke</v>
          </cell>
          <cell r="O3400" t="str">
            <v>Haldimand</v>
          </cell>
          <cell r="P3400" t="str">
            <v>Southwest</v>
          </cell>
        </row>
        <row r="3401">
          <cell r="C3401" t="str">
            <v>Whitesand FN Biomass Cogeneration Facility</v>
          </cell>
          <cell r="D3401" t="str">
            <v>2495142 Ontario Limited</v>
          </cell>
          <cell r="E3401" t="str">
            <v>UD</v>
          </cell>
          <cell r="F3401">
            <v>47563</v>
          </cell>
          <cell r="J3401" t="str">
            <v>Renewables</v>
          </cell>
          <cell r="K3401" t="str">
            <v>Rankine Cycle CHP</v>
          </cell>
          <cell r="L3401" t="str">
            <v>Biomass</v>
          </cell>
          <cell r="M3401" t="str">
            <v>Off-grid Remote Area</v>
          </cell>
          <cell r="N3401" t="str">
            <v>Armstrong Station</v>
          </cell>
          <cell r="O3401" t="str">
            <v>Thunder Bay</v>
          </cell>
          <cell r="P3401" t="str">
            <v>Northwest</v>
          </cell>
        </row>
        <row r="3402">
          <cell r="C3402" t="str">
            <v>Melancthon I</v>
          </cell>
          <cell r="D3402" t="str">
            <v>Melancthon Wolfe Wind LP</v>
          </cell>
          <cell r="E3402" t="str">
            <v>CO</v>
          </cell>
          <cell r="F3402">
            <v>38803</v>
          </cell>
          <cell r="G3402">
            <v>38780</v>
          </cell>
          <cell r="H3402">
            <v>46142</v>
          </cell>
          <cell r="I3402" t="str">
            <v>20 years, 1 months, 26 days</v>
          </cell>
          <cell r="J3402" t="str">
            <v>Renewables</v>
          </cell>
          <cell r="K3402" t="str">
            <v>Wind (On-Shore)</v>
          </cell>
          <cell r="L3402" t="str">
            <v>Wind</v>
          </cell>
          <cell r="M3402" t="str">
            <v>Tx</v>
          </cell>
          <cell r="N3402" t="str">
            <v>Grand Valley</v>
          </cell>
          <cell r="O3402" t="str">
            <v>Dufferin</v>
          </cell>
          <cell r="P3402" t="str">
            <v>Southwest</v>
          </cell>
        </row>
        <row r="3403">
          <cell r="C3403" t="str">
            <v>Kingsbridge I Wind Power Project</v>
          </cell>
          <cell r="D3403" t="str">
            <v>CP Renewable Energy (Kingsbridge) Limited Partnership</v>
          </cell>
          <cell r="E3403" t="str">
            <v>CO</v>
          </cell>
          <cell r="F3403">
            <v>38929</v>
          </cell>
          <cell r="G3403">
            <v>38792</v>
          </cell>
          <cell r="H3403">
            <v>46142</v>
          </cell>
          <cell r="I3403" t="str">
            <v>20 years, 1 months, 14 days</v>
          </cell>
          <cell r="J3403" t="str">
            <v>Renewables</v>
          </cell>
          <cell r="K3403" t="str">
            <v>Wind (On-Shore)</v>
          </cell>
          <cell r="L3403" t="str">
            <v>Wind</v>
          </cell>
          <cell r="M3403" t="str">
            <v>Tx</v>
          </cell>
          <cell r="N3403" t="str">
            <v>Ripley</v>
          </cell>
          <cell r="O3403" t="str">
            <v>Bruce</v>
          </cell>
          <cell r="P3403" t="str">
            <v>Southwest</v>
          </cell>
        </row>
        <row r="3404">
          <cell r="C3404" t="str">
            <v>Erie Shores Wind Farm</v>
          </cell>
          <cell r="D3404" t="str">
            <v>Erie Shores Wind Farm Limited Partnership</v>
          </cell>
          <cell r="E3404" t="str">
            <v>CO</v>
          </cell>
          <cell r="F3404">
            <v>39066</v>
          </cell>
          <cell r="G3404">
            <v>38861</v>
          </cell>
          <cell r="H3404">
            <v>46142</v>
          </cell>
          <cell r="I3404" t="str">
            <v>19 years, 11 months, 6 days</v>
          </cell>
          <cell r="J3404" t="str">
            <v>Renewables</v>
          </cell>
          <cell r="K3404" t="str">
            <v>Wind (On-Shore)</v>
          </cell>
          <cell r="L3404" t="str">
            <v>Wind</v>
          </cell>
          <cell r="M3404" t="str">
            <v>Tx</v>
          </cell>
          <cell r="N3404" t="str">
            <v>Vienna</v>
          </cell>
          <cell r="O3404" t="str">
            <v>Elgin</v>
          </cell>
          <cell r="P3404" t="str">
            <v>West</v>
          </cell>
        </row>
        <row r="3405">
          <cell r="C3405" t="str">
            <v>Prince I Wind Project</v>
          </cell>
          <cell r="D3405" t="str">
            <v>Brookfield Power Wind Prince LP</v>
          </cell>
          <cell r="E3405" t="str">
            <v>CO</v>
          </cell>
          <cell r="F3405">
            <v>38807</v>
          </cell>
          <cell r="G3405">
            <v>38981</v>
          </cell>
          <cell r="H3405">
            <v>46285</v>
          </cell>
          <cell r="I3405" t="str">
            <v>19 years, 11 months, 30 days</v>
          </cell>
          <cell r="J3405" t="str">
            <v>Renewables</v>
          </cell>
          <cell r="K3405" t="str">
            <v>Wind (On-Shore)</v>
          </cell>
          <cell r="L3405" t="str">
            <v>Wind</v>
          </cell>
          <cell r="M3405" t="str">
            <v>Tx</v>
          </cell>
          <cell r="N3405" t="str">
            <v>Goulais River</v>
          </cell>
          <cell r="O3405" t="str">
            <v>Algoma</v>
          </cell>
          <cell r="P3405" t="str">
            <v>Northeast</v>
          </cell>
        </row>
        <row r="3406">
          <cell r="C3406" t="str">
            <v>Trail Road Landfill GS</v>
          </cell>
          <cell r="D3406" t="str">
            <v>PowerTrail Inc.</v>
          </cell>
          <cell r="E3406" t="str">
            <v>CO</v>
          </cell>
          <cell r="F3406">
            <v>39113</v>
          </cell>
          <cell r="G3406">
            <v>39113</v>
          </cell>
          <cell r="H3406">
            <v>46507</v>
          </cell>
          <cell r="I3406" t="str">
            <v>20 years, 2 months, 30 days</v>
          </cell>
          <cell r="J3406" t="str">
            <v>Renewables</v>
          </cell>
          <cell r="K3406" t="str">
            <v>Simple Cycle</v>
          </cell>
          <cell r="L3406" t="str">
            <v>Landfill Gas</v>
          </cell>
          <cell r="M3406" t="str">
            <v>Dx</v>
          </cell>
          <cell r="N3406" t="str">
            <v>Ottawa</v>
          </cell>
          <cell r="O3406" t="str">
            <v>Ottawa</v>
          </cell>
          <cell r="P3406" t="str">
            <v>Ottawa</v>
          </cell>
        </row>
        <row r="3407">
          <cell r="C3407" t="str">
            <v>Umbata Falls Hydro</v>
          </cell>
          <cell r="D3407" t="str">
            <v>Umbata Falls Limited Partnership</v>
          </cell>
          <cell r="E3407" t="str">
            <v>CO</v>
          </cell>
          <cell r="F3407">
            <v>39598</v>
          </cell>
          <cell r="G3407">
            <v>39764</v>
          </cell>
          <cell r="H3407">
            <v>47068</v>
          </cell>
          <cell r="I3407" t="str">
            <v>19 years, 11 months, 30 days</v>
          </cell>
          <cell r="J3407" t="str">
            <v>Renewables</v>
          </cell>
          <cell r="K3407" t="str">
            <v>Run-of-River</v>
          </cell>
          <cell r="L3407" t="str">
            <v>Waterpower</v>
          </cell>
          <cell r="M3407" t="str">
            <v>Tx</v>
          </cell>
          <cell r="N3407" t="str">
            <v>Marathon</v>
          </cell>
          <cell r="O3407" t="str">
            <v>Thunder Bay</v>
          </cell>
          <cell r="P3407" t="str">
            <v>Northwest</v>
          </cell>
        </row>
        <row r="3408">
          <cell r="C3408" t="str">
            <v>Hamilton Digester GS</v>
          </cell>
          <cell r="D3408" t="str">
            <v>Hamilton Renewable Power Inc.</v>
          </cell>
          <cell r="E3408" t="str">
            <v>CO</v>
          </cell>
          <cell r="F3408">
            <v>38869</v>
          </cell>
          <cell r="G3408">
            <v>38908</v>
          </cell>
          <cell r="H3408">
            <v>46212</v>
          </cell>
          <cell r="I3408" t="str">
            <v>19 years, 11 months, 29 days</v>
          </cell>
          <cell r="J3408" t="str">
            <v>Renewables</v>
          </cell>
          <cell r="K3408" t="str">
            <v>Simple Cycle</v>
          </cell>
          <cell r="L3408" t="str">
            <v>Biogas</v>
          </cell>
          <cell r="M3408" t="str">
            <v>Dx</v>
          </cell>
          <cell r="N3408" t="str">
            <v>Hamilton</v>
          </cell>
          <cell r="O3408" t="str">
            <v>Hamilton</v>
          </cell>
          <cell r="P3408" t="str">
            <v>Southwest</v>
          </cell>
        </row>
        <row r="3409">
          <cell r="C3409" t="str">
            <v>Prince II Wind Project</v>
          </cell>
          <cell r="D3409" t="str">
            <v>Brookfield Power Wind Prince LP</v>
          </cell>
          <cell r="E3409" t="str">
            <v>CO</v>
          </cell>
          <cell r="F3409">
            <v>39447</v>
          </cell>
          <cell r="G3409">
            <v>39040</v>
          </cell>
          <cell r="H3409">
            <v>47056</v>
          </cell>
          <cell r="I3409" t="str">
            <v>21 years, 11 months, 11 days</v>
          </cell>
          <cell r="J3409" t="str">
            <v>Renewables</v>
          </cell>
          <cell r="K3409" t="str">
            <v>Wind (On-Shore)</v>
          </cell>
          <cell r="L3409" t="str">
            <v>Wind</v>
          </cell>
          <cell r="M3409" t="str">
            <v>Tx</v>
          </cell>
          <cell r="N3409" t="str">
            <v>Sault Ste. Marie</v>
          </cell>
          <cell r="O3409" t="str">
            <v>Algoma</v>
          </cell>
          <cell r="P3409" t="str">
            <v>Northeast</v>
          </cell>
        </row>
        <row r="3410">
          <cell r="C3410" t="str">
            <v>Ripley Wind Power</v>
          </cell>
          <cell r="D3410" t="str">
            <v>Acciona Wind Energy Canada Inc.</v>
          </cell>
          <cell r="E3410" t="str">
            <v>CO</v>
          </cell>
          <cell r="F3410">
            <v>39356</v>
          </cell>
          <cell r="G3410">
            <v>39438</v>
          </cell>
          <cell r="H3410">
            <v>47056</v>
          </cell>
          <cell r="I3410" t="str">
            <v>20 years, 10 months, 8 days</v>
          </cell>
          <cell r="J3410" t="str">
            <v>Renewables</v>
          </cell>
          <cell r="K3410" t="str">
            <v>Wind (On-Shore)</v>
          </cell>
          <cell r="L3410" t="str">
            <v>Wind</v>
          </cell>
          <cell r="M3410" t="str">
            <v>Tx</v>
          </cell>
          <cell r="N3410" t="str">
            <v>Ripley</v>
          </cell>
          <cell r="O3410" t="str">
            <v>Bruce</v>
          </cell>
          <cell r="P3410" t="str">
            <v>Southwest</v>
          </cell>
        </row>
        <row r="3411">
          <cell r="C3411" t="str">
            <v>KEPA Wind Farm</v>
          </cell>
          <cell r="D3411" t="str">
            <v>Kruger Energy Port Alma Limited Partnership</v>
          </cell>
          <cell r="E3411" t="str">
            <v>CO</v>
          </cell>
          <cell r="F3411">
            <v>39722</v>
          </cell>
          <cell r="G3411">
            <v>39752</v>
          </cell>
          <cell r="H3411">
            <v>47238</v>
          </cell>
          <cell r="I3411" t="str">
            <v>20 years, 5 months, 30 days</v>
          </cell>
          <cell r="J3411" t="str">
            <v>Renewables</v>
          </cell>
          <cell r="K3411" t="str">
            <v>Wind (On-Shore)</v>
          </cell>
          <cell r="L3411" t="str">
            <v>Wind</v>
          </cell>
          <cell r="M3411" t="str">
            <v>Tx</v>
          </cell>
          <cell r="N3411" t="str">
            <v>Merlin</v>
          </cell>
          <cell r="O3411" t="str">
            <v>Chatham-Kent</v>
          </cell>
          <cell r="P3411" t="str">
            <v>West</v>
          </cell>
        </row>
        <row r="3412">
          <cell r="C3412" t="str">
            <v>Melancthon II</v>
          </cell>
          <cell r="D3412" t="str">
            <v>Melancthon Wolfe Wind LP</v>
          </cell>
          <cell r="E3412" t="str">
            <v>CO</v>
          </cell>
          <cell r="F3412">
            <v>39171</v>
          </cell>
          <cell r="G3412">
            <v>39776</v>
          </cell>
          <cell r="H3412">
            <v>47238</v>
          </cell>
          <cell r="I3412" t="str">
            <v>20 years, 5 months, 6 days</v>
          </cell>
          <cell r="J3412" t="str">
            <v>Renewables</v>
          </cell>
          <cell r="K3412" t="str">
            <v>Wind (On-Shore)</v>
          </cell>
          <cell r="L3412" t="str">
            <v>Wind</v>
          </cell>
          <cell r="M3412" t="str">
            <v>Tx</v>
          </cell>
          <cell r="N3412" t="str">
            <v>Dundalk</v>
          </cell>
          <cell r="O3412" t="str">
            <v>Grey</v>
          </cell>
          <cell r="P3412" t="str">
            <v>Southwest</v>
          </cell>
        </row>
        <row r="3413">
          <cell r="C3413" t="str">
            <v>Enbridge Ontario Wind Power</v>
          </cell>
          <cell r="D3413" t="str">
            <v>Enbridge Renewable Energy Infrastructure LP</v>
          </cell>
          <cell r="E3413" t="str">
            <v>CO</v>
          </cell>
          <cell r="F3413">
            <v>40117</v>
          </cell>
          <cell r="G3413">
            <v>39863</v>
          </cell>
          <cell r="H3413">
            <v>47167</v>
          </cell>
          <cell r="I3413" t="str">
            <v>19 years, 11 months, 30 days</v>
          </cell>
          <cell r="J3413" t="str">
            <v>Renewables</v>
          </cell>
          <cell r="K3413" t="str">
            <v>Wind (On-Shore)</v>
          </cell>
          <cell r="L3413" t="str">
            <v>Wind</v>
          </cell>
          <cell r="M3413" t="str">
            <v>Tx</v>
          </cell>
          <cell r="N3413" t="str">
            <v>Tiverton</v>
          </cell>
          <cell r="O3413" t="str">
            <v>Bruce</v>
          </cell>
          <cell r="P3413" t="str">
            <v>Southwest</v>
          </cell>
        </row>
        <row r="3414">
          <cell r="C3414" t="str">
            <v>Wolfe Island Wind</v>
          </cell>
          <cell r="D3414" t="str">
            <v>Melancthon Wolfe Wind LP</v>
          </cell>
          <cell r="E3414" t="str">
            <v>CO</v>
          </cell>
          <cell r="F3414">
            <v>39752</v>
          </cell>
          <cell r="G3414">
            <v>39990</v>
          </cell>
          <cell r="H3414">
            <v>47238</v>
          </cell>
          <cell r="I3414" t="str">
            <v>19 years, 10 months, 4 days</v>
          </cell>
          <cell r="J3414" t="str">
            <v>Renewables</v>
          </cell>
          <cell r="K3414" t="str">
            <v>Wind (On-Shore)</v>
          </cell>
          <cell r="L3414" t="str">
            <v>Wind</v>
          </cell>
          <cell r="M3414" t="str">
            <v>Tx</v>
          </cell>
          <cell r="N3414" t="str">
            <v>Wolfe Island</v>
          </cell>
          <cell r="O3414" t="str">
            <v>Frontenac</v>
          </cell>
          <cell r="P3414" t="str">
            <v>East</v>
          </cell>
        </row>
        <row r="3415">
          <cell r="C3415" t="str">
            <v>Yellow Falls Hydro GS</v>
          </cell>
          <cell r="D3415" t="str">
            <v>Yellow Falls Power Limited Partnership</v>
          </cell>
          <cell r="E3415" t="str">
            <v>CO</v>
          </cell>
          <cell r="F3415">
            <v>42643</v>
          </cell>
          <cell r="G3415">
            <v>43530</v>
          </cell>
          <cell r="H3415">
            <v>50835</v>
          </cell>
          <cell r="I3415" t="str">
            <v>20 years, 0 months, 0 days</v>
          </cell>
          <cell r="J3415" t="str">
            <v>Renewables</v>
          </cell>
          <cell r="K3415" t="str">
            <v>Run-of-River</v>
          </cell>
          <cell r="L3415" t="str">
            <v>Waterpower</v>
          </cell>
          <cell r="M3415" t="str">
            <v>Tx</v>
          </cell>
          <cell r="N3415" t="str">
            <v>Smooth Rock Falls</v>
          </cell>
          <cell r="O3415" t="str">
            <v>Cochrane</v>
          </cell>
          <cell r="P3415" t="str">
            <v>Northeast</v>
          </cell>
        </row>
        <row r="3416">
          <cell r="C3416" t="str">
            <v>Raleigh Wind Energy Centre</v>
          </cell>
          <cell r="D3416" t="str">
            <v>TerraForm IWG Ontario Holdings, LLC</v>
          </cell>
          <cell r="E3416" t="str">
            <v>CO</v>
          </cell>
          <cell r="F3416">
            <v>40367</v>
          </cell>
          <cell r="G3416">
            <v>40572</v>
          </cell>
          <cell r="H3416">
            <v>47900</v>
          </cell>
          <cell r="I3416" t="str">
            <v>20 years, 0 months, 23 days</v>
          </cell>
          <cell r="J3416" t="str">
            <v>Renewables</v>
          </cell>
          <cell r="K3416" t="str">
            <v>Wind (On-Shore)</v>
          </cell>
          <cell r="L3416" t="str">
            <v>Wind</v>
          </cell>
          <cell r="M3416" t="str">
            <v>Tx</v>
          </cell>
          <cell r="N3416" t="str">
            <v>Chatham</v>
          </cell>
          <cell r="O3416" t="str">
            <v>Chatham-Kent</v>
          </cell>
          <cell r="P3416" t="str">
            <v>West</v>
          </cell>
        </row>
        <row r="3417">
          <cell r="C3417" t="str">
            <v>Gosfield Wind Project</v>
          </cell>
          <cell r="D3417" t="str">
            <v>Gosfield Wind Limited Partnership</v>
          </cell>
          <cell r="E3417" t="str">
            <v>CO</v>
          </cell>
          <cell r="F3417">
            <v>41274</v>
          </cell>
          <cell r="G3417">
            <v>40437</v>
          </cell>
          <cell r="H3417">
            <v>48578</v>
          </cell>
          <cell r="I3417" t="str">
            <v>22 years, 3 months, 14 days</v>
          </cell>
          <cell r="J3417" t="str">
            <v>Renewables</v>
          </cell>
          <cell r="K3417" t="str">
            <v>Wind (On-Shore)</v>
          </cell>
          <cell r="L3417" t="str">
            <v>Wind</v>
          </cell>
          <cell r="M3417" t="str">
            <v>Tx</v>
          </cell>
          <cell r="N3417" t="str">
            <v>Ruscom Station</v>
          </cell>
          <cell r="O3417" t="str">
            <v>Essex</v>
          </cell>
          <cell r="P3417" t="str">
            <v>West</v>
          </cell>
        </row>
        <row r="3418">
          <cell r="C3418" t="str">
            <v>Kruger Energy Chatham Wind Project</v>
          </cell>
          <cell r="D3418" t="str">
            <v>Kruger Energy Chatham Limited Partnership</v>
          </cell>
          <cell r="E3418" t="str">
            <v>CO</v>
          </cell>
          <cell r="F3418">
            <v>40827</v>
          </cell>
          <cell r="G3418">
            <v>40544</v>
          </cell>
          <cell r="H3418">
            <v>48151</v>
          </cell>
          <cell r="I3418" t="str">
            <v>20 years, 9 months, 29 days</v>
          </cell>
          <cell r="J3418" t="str">
            <v>Renewables</v>
          </cell>
          <cell r="K3418" t="str">
            <v>Wind (On-Shore)</v>
          </cell>
          <cell r="L3418" t="str">
            <v>Wind</v>
          </cell>
          <cell r="M3418" t="str">
            <v>Tx</v>
          </cell>
          <cell r="N3418" t="str">
            <v>Merlin</v>
          </cell>
          <cell r="O3418" t="str">
            <v>Chatham-Kent</v>
          </cell>
          <cell r="P3418" t="str">
            <v>West</v>
          </cell>
        </row>
        <row r="3419">
          <cell r="C3419" t="str">
            <v>Greenwich Windfarm</v>
          </cell>
          <cell r="D3419" t="str">
            <v>Greenwich Wind Farm, LP</v>
          </cell>
          <cell r="E3419" t="str">
            <v>CO</v>
          </cell>
          <cell r="F3419">
            <v>40882</v>
          </cell>
          <cell r="G3419">
            <v>40830</v>
          </cell>
          <cell r="H3419">
            <v>48186</v>
          </cell>
          <cell r="I3419" t="str">
            <v>20 years, 1 months, 20 days</v>
          </cell>
          <cell r="J3419" t="str">
            <v>Renewables</v>
          </cell>
          <cell r="K3419" t="str">
            <v>Wind (On-Shore)</v>
          </cell>
          <cell r="L3419" t="str">
            <v>Wind</v>
          </cell>
          <cell r="M3419" t="str">
            <v>Tx</v>
          </cell>
          <cell r="N3419" t="str">
            <v>Dorion</v>
          </cell>
          <cell r="O3419" t="str">
            <v>Thunder Bay</v>
          </cell>
          <cell r="P3419" t="str">
            <v>Northwest</v>
          </cell>
        </row>
        <row r="3420">
          <cell r="C3420" t="str">
            <v>Talbot Wind Farm</v>
          </cell>
          <cell r="D3420" t="str">
            <v>Talbot Windfarm, LP</v>
          </cell>
          <cell r="E3420" t="str">
            <v>CO</v>
          </cell>
          <cell r="F3420">
            <v>40882</v>
          </cell>
          <cell r="G3420">
            <v>40528</v>
          </cell>
          <cell r="H3420">
            <v>48186</v>
          </cell>
          <cell r="I3420" t="str">
            <v>20 years, 11 months, 18 days</v>
          </cell>
          <cell r="J3420" t="str">
            <v>Renewables</v>
          </cell>
          <cell r="K3420" t="str">
            <v>Wind (On-Shore)</v>
          </cell>
          <cell r="L3420" t="str">
            <v>Wind</v>
          </cell>
          <cell r="M3420" t="str">
            <v>Tx</v>
          </cell>
          <cell r="N3420" t="str">
            <v>Ridgetown</v>
          </cell>
          <cell r="O3420" t="str">
            <v>Chatham-Kent</v>
          </cell>
          <cell r="P3420" t="str">
            <v>West</v>
          </cell>
        </row>
        <row r="3421">
          <cell r="C3421" t="str">
            <v>Skyway 8 Wind Farm A</v>
          </cell>
          <cell r="D3421" t="str">
            <v>Sky Generation LP</v>
          </cell>
          <cell r="E3421" t="str">
            <v>CO</v>
          </cell>
          <cell r="G3421">
            <v>41865</v>
          </cell>
          <cell r="H3421">
            <v>49169</v>
          </cell>
          <cell r="I3421" t="str">
            <v>19 years, 11 months, 30 days</v>
          </cell>
          <cell r="J3421" t="str">
            <v>Renewables</v>
          </cell>
          <cell r="K3421" t="str">
            <v>Wind (On-Shore)</v>
          </cell>
          <cell r="L3421" t="str">
            <v>Wind</v>
          </cell>
          <cell r="M3421" t="str">
            <v>Dx</v>
          </cell>
          <cell r="N3421" t="str">
            <v>Dundalk</v>
          </cell>
          <cell r="O3421" t="str">
            <v>Grey</v>
          </cell>
          <cell r="P3421" t="str">
            <v>Southwest</v>
          </cell>
        </row>
        <row r="3422">
          <cell r="C3422" t="str">
            <v>Ashton Ridge Golf Course Wind Farm</v>
          </cell>
          <cell r="D3422" t="str">
            <v>Grand Valley 1 Limited Partnership</v>
          </cell>
          <cell r="E3422" t="str">
            <v>CO</v>
          </cell>
          <cell r="G3422">
            <v>40987</v>
          </cell>
          <cell r="H3422">
            <v>48291</v>
          </cell>
          <cell r="I3422" t="str">
            <v>19 years, 11 months, 28 days</v>
          </cell>
          <cell r="J3422" t="str">
            <v>Renewables</v>
          </cell>
          <cell r="K3422" t="str">
            <v>Wind (On-Shore)</v>
          </cell>
          <cell r="L3422" t="str">
            <v>Wind</v>
          </cell>
          <cell r="M3422" t="str">
            <v>Dx</v>
          </cell>
          <cell r="N3422" t="str">
            <v>Grand Valley</v>
          </cell>
          <cell r="O3422" t="str">
            <v>Dufferin</v>
          </cell>
          <cell r="P3422" t="str">
            <v>Southwest</v>
          </cell>
        </row>
        <row r="3423">
          <cell r="C3423" t="str">
            <v>Sarnia Solar 1</v>
          </cell>
          <cell r="D3423" t="str">
            <v>Enbridge Renewable Energy Infrastructure LP</v>
          </cell>
          <cell r="E3423" t="str">
            <v>CO</v>
          </cell>
          <cell r="G3423">
            <v>40398</v>
          </cell>
          <cell r="H3423">
            <v>47702</v>
          </cell>
          <cell r="I3423" t="str">
            <v>19 years, 11 months, 30 days</v>
          </cell>
          <cell r="J3423" t="str">
            <v>Renewables</v>
          </cell>
          <cell r="K3423" t="str">
            <v>Solar</v>
          </cell>
          <cell r="L3423" t="str">
            <v>Solar</v>
          </cell>
          <cell r="M3423" t="str">
            <v>Dx</v>
          </cell>
          <cell r="N3423" t="str">
            <v>Sarnia</v>
          </cell>
          <cell r="O3423" t="str">
            <v>Lambton</v>
          </cell>
          <cell r="P3423" t="str">
            <v>West</v>
          </cell>
        </row>
        <row r="3424">
          <cell r="C3424" t="str">
            <v>Bisnett Line Wind Farm</v>
          </cell>
          <cell r="D3424" t="str">
            <v>Bisnett Wind Farm Limited Partnership</v>
          </cell>
          <cell r="E3424" t="str">
            <v>CO</v>
          </cell>
          <cell r="G3424">
            <v>40164</v>
          </cell>
          <cell r="H3424">
            <v>47468</v>
          </cell>
          <cell r="I3424" t="str">
            <v>19 years, 11 months, 29 days</v>
          </cell>
          <cell r="J3424" t="str">
            <v>Renewables</v>
          </cell>
          <cell r="K3424" t="str">
            <v>Wind (On-Shore)</v>
          </cell>
          <cell r="L3424" t="str">
            <v>Wind</v>
          </cell>
          <cell r="M3424" t="str">
            <v>Dx</v>
          </cell>
          <cell r="N3424" t="str">
            <v>Blenheim</v>
          </cell>
          <cell r="O3424" t="str">
            <v>Chatham-Kent</v>
          </cell>
          <cell r="P3424" t="str">
            <v>West</v>
          </cell>
        </row>
        <row r="3425">
          <cell r="C3425" t="str">
            <v>Thunder Bay Airport Solar Project</v>
          </cell>
          <cell r="D3425" t="str">
            <v>Thunder Bay Solar 1 LP</v>
          </cell>
          <cell r="E3425" t="str">
            <v>CO</v>
          </cell>
          <cell r="G3425">
            <v>40896</v>
          </cell>
          <cell r="H3425">
            <v>48200</v>
          </cell>
          <cell r="I3425" t="str">
            <v>19 years, 11 months, 29 days</v>
          </cell>
          <cell r="J3425" t="str">
            <v>Renewables</v>
          </cell>
          <cell r="K3425" t="str">
            <v>Solar</v>
          </cell>
          <cell r="L3425" t="str">
            <v>Solar</v>
          </cell>
          <cell r="M3425" t="str">
            <v>Dx</v>
          </cell>
          <cell r="N3425" t="str">
            <v>Thunder Bay</v>
          </cell>
          <cell r="O3425" t="str">
            <v>Thunder Bay</v>
          </cell>
          <cell r="P3425" t="str">
            <v>Northwest</v>
          </cell>
        </row>
        <row r="3426">
          <cell r="C3426" t="str">
            <v>Sarnia Solar 2</v>
          </cell>
          <cell r="D3426" t="str">
            <v>Enbridge Renewable Energy Infrastructure LP</v>
          </cell>
          <cell r="E3426" t="str">
            <v>CO</v>
          </cell>
          <cell r="G3426">
            <v>39806</v>
          </cell>
          <cell r="H3426">
            <v>47110</v>
          </cell>
          <cell r="I3426" t="str">
            <v>19 years, 11 months, 29 days</v>
          </cell>
          <cell r="J3426" t="str">
            <v>Renewables</v>
          </cell>
          <cell r="K3426" t="str">
            <v>Solar</v>
          </cell>
          <cell r="L3426" t="str">
            <v>Solar</v>
          </cell>
          <cell r="M3426" t="str">
            <v>Dx</v>
          </cell>
          <cell r="N3426" t="str">
            <v>Sarnia</v>
          </cell>
          <cell r="O3426" t="str">
            <v>Lambton</v>
          </cell>
          <cell r="P3426" t="str">
            <v>West</v>
          </cell>
        </row>
        <row r="3427">
          <cell r="C3427" t="str">
            <v>Front Line Wind Farm</v>
          </cell>
          <cell r="D3427" t="str">
            <v>Front Line Wind Farm Limited Partnership</v>
          </cell>
          <cell r="E3427" t="str">
            <v>CO</v>
          </cell>
          <cell r="G3427">
            <v>40207</v>
          </cell>
          <cell r="H3427">
            <v>47511</v>
          </cell>
          <cell r="I3427" t="str">
            <v>19 years, 11 months, 30 days</v>
          </cell>
          <cell r="J3427" t="str">
            <v>Renewables</v>
          </cell>
          <cell r="K3427" t="str">
            <v>Wind (On-Shore)</v>
          </cell>
          <cell r="L3427" t="str">
            <v>Wind</v>
          </cell>
          <cell r="M3427" t="str">
            <v>Dx</v>
          </cell>
          <cell r="N3427" t="str">
            <v>Ridgetown</v>
          </cell>
          <cell r="O3427" t="str">
            <v>Chatham-Kent</v>
          </cell>
          <cell r="P3427" t="str">
            <v>West</v>
          </cell>
        </row>
        <row r="3428">
          <cell r="C3428" t="str">
            <v>Sarnia Solar 3</v>
          </cell>
          <cell r="D3428" t="str">
            <v>Enbridge Renewable Energy Infrastructure LP</v>
          </cell>
          <cell r="E3428" t="str">
            <v>CO</v>
          </cell>
          <cell r="G3428">
            <v>40361</v>
          </cell>
          <cell r="H3428">
            <v>47665</v>
          </cell>
          <cell r="I3428" t="str">
            <v>19 years, 11 months, 29 days</v>
          </cell>
          <cell r="J3428" t="str">
            <v>Renewables</v>
          </cell>
          <cell r="K3428" t="str">
            <v>Solar</v>
          </cell>
          <cell r="L3428" t="str">
            <v>Solar</v>
          </cell>
          <cell r="M3428" t="str">
            <v>Dx</v>
          </cell>
          <cell r="N3428" t="str">
            <v>Sarnia</v>
          </cell>
          <cell r="O3428" t="str">
            <v>Lambton</v>
          </cell>
          <cell r="P3428" t="str">
            <v>West</v>
          </cell>
        </row>
        <row r="3429">
          <cell r="C3429" t="str">
            <v>Sarnia Solar 4</v>
          </cell>
          <cell r="D3429" t="str">
            <v>Enbridge Renewable Energy Infrastructure LP</v>
          </cell>
          <cell r="E3429" t="str">
            <v>CO</v>
          </cell>
          <cell r="G3429">
            <v>40400</v>
          </cell>
          <cell r="H3429">
            <v>47704</v>
          </cell>
          <cell r="I3429" t="str">
            <v>19 years, 11 months, 30 days</v>
          </cell>
          <cell r="J3429" t="str">
            <v>Renewables</v>
          </cell>
          <cell r="K3429" t="str">
            <v>Solar</v>
          </cell>
          <cell r="L3429" t="str">
            <v>Solar</v>
          </cell>
          <cell r="M3429" t="str">
            <v>Dx</v>
          </cell>
          <cell r="N3429" t="str">
            <v>Sarnia</v>
          </cell>
          <cell r="O3429" t="str">
            <v>Lambton</v>
          </cell>
          <cell r="P3429" t="str">
            <v>West</v>
          </cell>
        </row>
        <row r="3430">
          <cell r="C3430" t="str">
            <v>Ferndale Wind Farm</v>
          </cell>
          <cell r="D3430" t="str">
            <v>Sky Generation LP</v>
          </cell>
          <cell r="E3430" t="str">
            <v>CO</v>
          </cell>
          <cell r="G3430">
            <v>39210</v>
          </cell>
          <cell r="H3430">
            <v>46507</v>
          </cell>
          <cell r="I3430" t="str">
            <v>19 years, 11 months, 22 days</v>
          </cell>
          <cell r="J3430" t="str">
            <v>Renewables</v>
          </cell>
          <cell r="K3430" t="str">
            <v>Wind (On-Shore)</v>
          </cell>
          <cell r="L3430" t="str">
            <v>Wind</v>
          </cell>
          <cell r="M3430" t="str">
            <v>Dx</v>
          </cell>
          <cell r="N3430" t="str">
            <v>Lions Head</v>
          </cell>
          <cell r="O3430" t="str">
            <v>Bruce</v>
          </cell>
          <cell r="P3430" t="str">
            <v>Southwest</v>
          </cell>
        </row>
        <row r="3431">
          <cell r="C3431" t="str">
            <v>Swanton Line Wind Farm</v>
          </cell>
          <cell r="D3431" t="str">
            <v>Swanton Line Wind Farm Limited Partnership</v>
          </cell>
          <cell r="E3431" t="str">
            <v>CO</v>
          </cell>
          <cell r="G3431">
            <v>40155</v>
          </cell>
          <cell r="H3431">
            <v>47459</v>
          </cell>
          <cell r="I3431" t="str">
            <v>19 years, 11 months, 29 days</v>
          </cell>
          <cell r="J3431" t="str">
            <v>Renewables</v>
          </cell>
          <cell r="K3431" t="str">
            <v>Wind (On-Shore)</v>
          </cell>
          <cell r="L3431" t="str">
            <v>Wind</v>
          </cell>
          <cell r="M3431" t="str">
            <v>Dx</v>
          </cell>
          <cell r="N3431" t="str">
            <v>Merlin</v>
          </cell>
          <cell r="O3431" t="str">
            <v>Chatham-Kent</v>
          </cell>
          <cell r="P3431" t="str">
            <v>West</v>
          </cell>
        </row>
        <row r="3432">
          <cell r="C3432" t="str">
            <v>Marsh Line Wind Farm</v>
          </cell>
          <cell r="D3432" t="str">
            <v>Marsh Line Wind Farm Limited Partnership</v>
          </cell>
          <cell r="E3432" t="str">
            <v>CO</v>
          </cell>
          <cell r="G3432">
            <v>40200</v>
          </cell>
          <cell r="H3432">
            <v>47504</v>
          </cell>
          <cell r="I3432" t="str">
            <v>19 years, 11 months, 30 days</v>
          </cell>
          <cell r="J3432" t="str">
            <v>Renewables</v>
          </cell>
          <cell r="K3432" t="str">
            <v>Wind (On-Shore)</v>
          </cell>
          <cell r="L3432" t="str">
            <v>Wind</v>
          </cell>
          <cell r="M3432" t="str">
            <v>Dx</v>
          </cell>
          <cell r="N3432" t="str">
            <v>Dover</v>
          </cell>
          <cell r="O3432" t="str">
            <v>Chatham-Kent</v>
          </cell>
          <cell r="P3432" t="str">
            <v>West</v>
          </cell>
        </row>
        <row r="3433">
          <cell r="C3433" t="str">
            <v>South Side Wind Farm</v>
          </cell>
          <cell r="D3433" t="str">
            <v>South Side Wind Farm Limited Partnership</v>
          </cell>
          <cell r="E3433" t="str">
            <v>CO</v>
          </cell>
          <cell r="G3433">
            <v>40543</v>
          </cell>
          <cell r="H3433">
            <v>47847</v>
          </cell>
          <cell r="I3433" t="str">
            <v>19 years, 11 months, 29 days</v>
          </cell>
          <cell r="J3433" t="str">
            <v>Renewables</v>
          </cell>
          <cell r="K3433" t="str">
            <v>Wind (On-Shore)</v>
          </cell>
          <cell r="L3433" t="str">
            <v>Wind</v>
          </cell>
          <cell r="M3433" t="str">
            <v>Dx</v>
          </cell>
          <cell r="N3433" t="str">
            <v>Amherstburg</v>
          </cell>
          <cell r="O3433" t="str">
            <v>Essex</v>
          </cell>
          <cell r="P3433" t="str">
            <v>West</v>
          </cell>
        </row>
        <row r="3434">
          <cell r="C3434" t="str">
            <v>Gracey Wind Farm</v>
          </cell>
          <cell r="D3434" t="str">
            <v>Gracey Wind Farm Limited Partnership</v>
          </cell>
          <cell r="E3434" t="str">
            <v>CO</v>
          </cell>
          <cell r="G3434">
            <v>40527</v>
          </cell>
          <cell r="H3434">
            <v>47831</v>
          </cell>
          <cell r="I3434" t="str">
            <v>19 years, 11 months, 29 days</v>
          </cell>
          <cell r="J3434" t="str">
            <v>Renewables</v>
          </cell>
          <cell r="K3434" t="str">
            <v>Wind (On-Shore)</v>
          </cell>
          <cell r="L3434" t="str">
            <v>Wind</v>
          </cell>
          <cell r="M3434" t="str">
            <v>Dx</v>
          </cell>
          <cell r="N3434" t="str">
            <v>Pointe Aux Roches</v>
          </cell>
          <cell r="O3434" t="str">
            <v>Essex</v>
          </cell>
          <cell r="P3434" t="str">
            <v>West</v>
          </cell>
        </row>
        <row r="3435">
          <cell r="C3435" t="str">
            <v>Richardson Wind Farm</v>
          </cell>
          <cell r="D3435" t="str">
            <v>Richardson Wind Farm Limited Partnership</v>
          </cell>
          <cell r="E3435" t="str">
            <v>CO</v>
          </cell>
          <cell r="G3435">
            <v>40501</v>
          </cell>
          <cell r="H3435">
            <v>47805</v>
          </cell>
          <cell r="I3435" t="str">
            <v>19 years, 11 months, 30 days</v>
          </cell>
          <cell r="J3435" t="str">
            <v>Renewables</v>
          </cell>
          <cell r="K3435" t="str">
            <v>Wind (On-Shore)</v>
          </cell>
          <cell r="L3435" t="str">
            <v>Wind</v>
          </cell>
          <cell r="M3435" t="str">
            <v>Dx</v>
          </cell>
          <cell r="N3435" t="str">
            <v>Tilbury</v>
          </cell>
          <cell r="O3435" t="str">
            <v>Chatham-Kent</v>
          </cell>
          <cell r="P3435" t="str">
            <v>West</v>
          </cell>
        </row>
        <row r="3436">
          <cell r="C3436" t="str">
            <v>Naylor Wind Farm</v>
          </cell>
          <cell r="D3436" t="str">
            <v>Naylor Wind Farm Limited Partnership</v>
          </cell>
          <cell r="E3436" t="str">
            <v>CO</v>
          </cell>
          <cell r="G3436">
            <v>40478</v>
          </cell>
          <cell r="H3436">
            <v>47782</v>
          </cell>
          <cell r="I3436" t="str">
            <v>19 years, 11 months, 29 days</v>
          </cell>
          <cell r="J3436" t="str">
            <v>Renewables</v>
          </cell>
          <cell r="K3436" t="str">
            <v>Wind (On-Shore)</v>
          </cell>
          <cell r="L3436" t="str">
            <v>Wind</v>
          </cell>
          <cell r="M3436" t="str">
            <v>Dx</v>
          </cell>
          <cell r="N3436" t="str">
            <v>Essex</v>
          </cell>
          <cell r="O3436" t="str">
            <v>Essex</v>
          </cell>
          <cell r="P3436" t="str">
            <v>West</v>
          </cell>
        </row>
        <row r="3437">
          <cell r="C3437" t="str">
            <v>North Malden Wind Farm</v>
          </cell>
          <cell r="D3437" t="str">
            <v>North Malden Wind Farm Limited Partnership</v>
          </cell>
          <cell r="E3437" t="str">
            <v>CO</v>
          </cell>
          <cell r="G3437">
            <v>40570</v>
          </cell>
          <cell r="H3437">
            <v>47874</v>
          </cell>
          <cell r="I3437" t="str">
            <v>19 years, 11 months, 30 days</v>
          </cell>
          <cell r="J3437" t="str">
            <v>Renewables</v>
          </cell>
          <cell r="K3437" t="str">
            <v>Wind (On-Shore)</v>
          </cell>
          <cell r="L3437" t="str">
            <v>Wind</v>
          </cell>
          <cell r="M3437" t="str">
            <v>Dx</v>
          </cell>
          <cell r="N3437" t="str">
            <v>Essex</v>
          </cell>
          <cell r="O3437" t="str">
            <v>Essex</v>
          </cell>
          <cell r="P3437" t="str">
            <v>West</v>
          </cell>
        </row>
        <row r="3438">
          <cell r="C3438" t="str">
            <v>Cruickshank Wind Farm</v>
          </cell>
          <cell r="D3438" t="str">
            <v>Enbridge Renewable Energy Infrastructure LP</v>
          </cell>
          <cell r="E3438" t="str">
            <v>CO</v>
          </cell>
          <cell r="G3438">
            <v>39717</v>
          </cell>
          <cell r="H3438">
            <v>47202</v>
          </cell>
          <cell r="I3438" t="str">
            <v>20 years, 5 months, 27 days</v>
          </cell>
          <cell r="J3438" t="str">
            <v>Renewables</v>
          </cell>
          <cell r="K3438" t="str">
            <v>Wind (On-Shore)</v>
          </cell>
          <cell r="L3438" t="str">
            <v>Wind</v>
          </cell>
          <cell r="M3438" t="str">
            <v>Dx</v>
          </cell>
          <cell r="N3438" t="str">
            <v>Tiverton</v>
          </cell>
          <cell r="O3438" t="str">
            <v>Bruce</v>
          </cell>
          <cell r="P3438" t="str">
            <v>Bruce</v>
          </cell>
        </row>
        <row r="3439">
          <cell r="C3439" t="str">
            <v>Region of Waterloo EMS Building 20kW PV</v>
          </cell>
          <cell r="D3439" t="str">
            <v>Region of Waterloo</v>
          </cell>
          <cell r="E3439" t="str">
            <v>CO</v>
          </cell>
          <cell r="G3439">
            <v>39315</v>
          </cell>
          <cell r="H3439">
            <v>46904</v>
          </cell>
          <cell r="I3439" t="str">
            <v>20 years, 9 months, 10 days</v>
          </cell>
          <cell r="J3439" t="str">
            <v>Renewables</v>
          </cell>
          <cell r="K3439" t="str">
            <v>Solar</v>
          </cell>
          <cell r="L3439" t="str">
            <v>Solar</v>
          </cell>
          <cell r="M3439" t="str">
            <v>Dx</v>
          </cell>
          <cell r="N3439" t="str">
            <v>Cambridge</v>
          </cell>
          <cell r="O3439" t="str">
            <v>Waterloo</v>
          </cell>
          <cell r="P3439" t="str">
            <v>Southwest</v>
          </cell>
        </row>
        <row r="3440">
          <cell r="C3440" t="str">
            <v>Britannia Landfill Gas Utilization</v>
          </cell>
          <cell r="D3440" t="str">
            <v>Integrated Gas Recovery Services Inc.</v>
          </cell>
          <cell r="E3440" t="str">
            <v>CO</v>
          </cell>
          <cell r="G3440">
            <v>39168</v>
          </cell>
          <cell r="H3440">
            <v>46507</v>
          </cell>
          <cell r="I3440" t="str">
            <v>20 years, 1 months, 3 days</v>
          </cell>
          <cell r="J3440" t="str">
            <v>Renewables</v>
          </cell>
          <cell r="K3440" t="str">
            <v>Bioenergy</v>
          </cell>
          <cell r="L3440" t="str">
            <v>Landfill Gas</v>
          </cell>
          <cell r="M3440" t="str">
            <v>Dx</v>
          </cell>
          <cell r="N3440" t="str">
            <v>Mississauga</v>
          </cell>
          <cell r="O3440" t="str">
            <v>Peel</v>
          </cell>
          <cell r="P3440" t="str">
            <v>Toronto</v>
          </cell>
        </row>
        <row r="3441">
          <cell r="C3441" t="str">
            <v>Trent Rapids Hydroelectric Station</v>
          </cell>
          <cell r="D3441" t="str">
            <v>Trent Rapids Power Corporation</v>
          </cell>
          <cell r="E3441" t="str">
            <v>CO</v>
          </cell>
          <cell r="G3441">
            <v>40178</v>
          </cell>
          <cell r="H3441">
            <v>54787</v>
          </cell>
          <cell r="I3441" t="str">
            <v>39 years, 11 months, 29 days</v>
          </cell>
          <cell r="J3441" t="str">
            <v>Renewables</v>
          </cell>
          <cell r="K3441" t="str">
            <v>Run-of-River</v>
          </cell>
          <cell r="L3441" t="str">
            <v>Waterpower</v>
          </cell>
          <cell r="M3441" t="str">
            <v>Dx</v>
          </cell>
          <cell r="N3441" t="str">
            <v>Peterborough</v>
          </cell>
          <cell r="O3441" t="str">
            <v>Peterborough</v>
          </cell>
          <cell r="P3441" t="str">
            <v>East</v>
          </cell>
        </row>
        <row r="3442">
          <cell r="C3442" t="str">
            <v>Kent Breeze</v>
          </cell>
          <cell r="D3442" t="str">
            <v>TA Kent Breeze L.P.</v>
          </cell>
          <cell r="E3442" t="str">
            <v>CO</v>
          </cell>
          <cell r="G3442">
            <v>40675</v>
          </cell>
          <cell r="H3442">
            <v>47979</v>
          </cell>
          <cell r="I3442" t="str">
            <v>19 years, 11 months, 29 days</v>
          </cell>
          <cell r="J3442" t="str">
            <v>Renewables</v>
          </cell>
          <cell r="K3442" t="str">
            <v>Wind (On-Shore)</v>
          </cell>
          <cell r="L3442" t="str">
            <v>Wind</v>
          </cell>
          <cell r="M3442" t="str">
            <v>Dx</v>
          </cell>
          <cell r="N3442" t="str">
            <v>Thamesville</v>
          </cell>
          <cell r="O3442" t="str">
            <v>Chatham-Kent</v>
          </cell>
          <cell r="P3442" t="str">
            <v>West</v>
          </cell>
        </row>
        <row r="3443">
          <cell r="C3443" t="str">
            <v>Huron Wind</v>
          </cell>
          <cell r="D3443" t="str">
            <v>Bruce Power Net Zero L.P.</v>
          </cell>
          <cell r="E3443" t="str">
            <v>CO</v>
          </cell>
          <cell r="G3443">
            <v>39518</v>
          </cell>
          <cell r="H3443">
            <v>46822</v>
          </cell>
          <cell r="I3443" t="str">
            <v>19 years, 11 months, 28 days</v>
          </cell>
          <cell r="J3443" t="str">
            <v>Renewables</v>
          </cell>
          <cell r="K3443" t="str">
            <v>Wind (On-Shore)</v>
          </cell>
          <cell r="L3443" t="str">
            <v>Wind</v>
          </cell>
          <cell r="M3443" t="str">
            <v>Dx</v>
          </cell>
          <cell r="N3443" t="str">
            <v>Kincardine</v>
          </cell>
          <cell r="O3443" t="str">
            <v>Bruce</v>
          </cell>
          <cell r="P3443" t="str">
            <v>Bruce</v>
          </cell>
        </row>
        <row r="3444">
          <cell r="C3444" t="str">
            <v>Exhibition Place Windturbine</v>
          </cell>
          <cell r="D3444" t="str">
            <v>TREC Windpower Co-Operative (No.1) Incoporated and Rankin Integrated Energy Inc.</v>
          </cell>
          <cell r="E3444" t="str">
            <v>CO</v>
          </cell>
          <cell r="G3444">
            <v>39199</v>
          </cell>
          <cell r="H3444">
            <v>46503</v>
          </cell>
          <cell r="I3444" t="str">
            <v>19 years, 11 months, 30 days</v>
          </cell>
          <cell r="J3444" t="str">
            <v>Renewables</v>
          </cell>
          <cell r="K3444" t="str">
            <v>Wind (On-Shore)</v>
          </cell>
          <cell r="L3444" t="str">
            <v>Wind</v>
          </cell>
          <cell r="M3444" t="str">
            <v>Dx</v>
          </cell>
          <cell r="N3444" t="str">
            <v>Toronto</v>
          </cell>
          <cell r="O3444" t="str">
            <v>Toronto</v>
          </cell>
          <cell r="P3444" t="str">
            <v>Toronto</v>
          </cell>
        </row>
        <row r="3445">
          <cell r="C3445" t="str">
            <v>Misema Hydroelectric Plant</v>
          </cell>
          <cell r="D3445" t="str">
            <v>Canadian Hydro Developers, Inc.</v>
          </cell>
          <cell r="E3445" t="str">
            <v>CO</v>
          </cell>
          <cell r="G3445">
            <v>39212</v>
          </cell>
          <cell r="H3445">
            <v>46516</v>
          </cell>
          <cell r="I3445" t="str">
            <v>19 years, 11 months, 29 days</v>
          </cell>
          <cell r="J3445" t="str">
            <v>Renewables</v>
          </cell>
          <cell r="K3445" t="str">
            <v>Run-of-River</v>
          </cell>
          <cell r="L3445" t="str">
            <v>Waterpower</v>
          </cell>
          <cell r="M3445" t="str">
            <v>Dx</v>
          </cell>
          <cell r="N3445" t="str">
            <v>Englehart</v>
          </cell>
          <cell r="O3445" t="str">
            <v>Timiskaming</v>
          </cell>
          <cell r="P3445" t="str">
            <v>Northeast</v>
          </cell>
        </row>
        <row r="3446">
          <cell r="C3446" t="str">
            <v>Ron Klages Power</v>
          </cell>
          <cell r="D3446" t="str">
            <v>Ron Klages and Georgina Klages</v>
          </cell>
          <cell r="E3446" t="str">
            <v>CO</v>
          </cell>
          <cell r="G3446">
            <v>39269</v>
          </cell>
          <cell r="H3446">
            <v>54209</v>
          </cell>
          <cell r="I3446" t="str">
            <v>40 years, 10 months, 25 days</v>
          </cell>
          <cell r="J3446" t="str">
            <v>Renewables</v>
          </cell>
          <cell r="K3446" t="str">
            <v>Run-of-River</v>
          </cell>
          <cell r="L3446" t="str">
            <v>Waterpower</v>
          </cell>
          <cell r="M3446" t="str">
            <v>Dx</v>
          </cell>
          <cell r="N3446" t="str">
            <v>Chesley</v>
          </cell>
          <cell r="O3446" t="str">
            <v>Bruce</v>
          </cell>
          <cell r="P3446" t="str">
            <v>Southwest</v>
          </cell>
        </row>
        <row r="3447">
          <cell r="C3447" t="str">
            <v>The Arthur Wind Farm</v>
          </cell>
          <cell r="D3447" t="str">
            <v>Arthur Wind Farm LP</v>
          </cell>
          <cell r="E3447" t="str">
            <v>CO</v>
          </cell>
          <cell r="G3447">
            <v>40570</v>
          </cell>
          <cell r="H3447">
            <v>47874</v>
          </cell>
          <cell r="I3447" t="str">
            <v>19 years, 11 months, 30 days</v>
          </cell>
          <cell r="J3447" t="str">
            <v>Renewables</v>
          </cell>
          <cell r="K3447" t="str">
            <v>Wind (On-Shore)</v>
          </cell>
          <cell r="L3447" t="str">
            <v>Wind</v>
          </cell>
          <cell r="M3447" t="str">
            <v>Dx</v>
          </cell>
          <cell r="N3447" t="str">
            <v>Arthur</v>
          </cell>
          <cell r="O3447" t="str">
            <v>Wellington</v>
          </cell>
          <cell r="P3447" t="str">
            <v>Southwest</v>
          </cell>
        </row>
        <row r="3448">
          <cell r="C3448" t="str">
            <v>Waterloo Landfill Gas Power Plant</v>
          </cell>
          <cell r="D3448" t="str">
            <v>Toromont Energy Ltd.</v>
          </cell>
          <cell r="E3448" t="str">
            <v>CO</v>
          </cell>
          <cell r="G3448">
            <v>39220</v>
          </cell>
          <cell r="H3448">
            <v>46524</v>
          </cell>
          <cell r="I3448" t="str">
            <v>19 years, 11 months, 29 days</v>
          </cell>
          <cell r="J3448" t="str">
            <v>Renewables</v>
          </cell>
          <cell r="K3448" t="str">
            <v>Bioenergy</v>
          </cell>
          <cell r="L3448" t="str">
            <v>Landfill Gas</v>
          </cell>
          <cell r="M3448" t="str">
            <v>Dx</v>
          </cell>
          <cell r="N3448" t="str">
            <v>Waterloo</v>
          </cell>
          <cell r="O3448" t="str">
            <v>Waterloo</v>
          </cell>
          <cell r="P3448" t="str">
            <v>Southwest</v>
          </cell>
        </row>
        <row r="3449">
          <cell r="C3449" t="str">
            <v>Eganville Generation Corporation</v>
          </cell>
          <cell r="D3449" t="str">
            <v>Eganville Generation Corporation</v>
          </cell>
          <cell r="E3449" t="str">
            <v>CO</v>
          </cell>
          <cell r="G3449">
            <v>39394</v>
          </cell>
          <cell r="H3449">
            <v>46698</v>
          </cell>
          <cell r="I3449" t="str">
            <v>19 years, 11 months, 30 days</v>
          </cell>
          <cell r="J3449" t="str">
            <v>Renewables</v>
          </cell>
          <cell r="K3449" t="str">
            <v>Run-of-River</v>
          </cell>
          <cell r="L3449" t="str">
            <v>Waterpower</v>
          </cell>
          <cell r="M3449" t="str">
            <v>Dx</v>
          </cell>
          <cell r="N3449" t="str">
            <v>Eganville</v>
          </cell>
          <cell r="O3449" t="str">
            <v>Renfrew</v>
          </cell>
          <cell r="P3449" t="str">
            <v>East</v>
          </cell>
        </row>
        <row r="3450">
          <cell r="C3450" t="str">
            <v>Sudbury Landfill Gas Generation Project</v>
          </cell>
          <cell r="D3450" t="str">
            <v>1700211 Ontario Inc.</v>
          </cell>
          <cell r="E3450" t="str">
            <v>CO</v>
          </cell>
          <cell r="G3450">
            <v>39356</v>
          </cell>
          <cell r="H3450">
            <v>46660</v>
          </cell>
          <cell r="I3450" t="str">
            <v>19 years, 11 months, 29 days</v>
          </cell>
          <cell r="J3450" t="str">
            <v>Renewables</v>
          </cell>
          <cell r="K3450" t="str">
            <v>Bioenergy</v>
          </cell>
          <cell r="L3450" t="str">
            <v>Landfill Gas</v>
          </cell>
          <cell r="M3450" t="str">
            <v>Dx</v>
          </cell>
          <cell r="N3450" t="str">
            <v>Sudbury</v>
          </cell>
          <cell r="O3450" t="str">
            <v>Greater Sudbury</v>
          </cell>
          <cell r="P3450" t="str">
            <v>Northeast</v>
          </cell>
        </row>
        <row r="3451">
          <cell r="C3451" t="str">
            <v>Port Albert Wind Farm</v>
          </cell>
          <cell r="D3451" t="str">
            <v>CP Renewable Energy (Kingsbridge) Limited Partnership</v>
          </cell>
          <cell r="E3451" t="str">
            <v>CO</v>
          </cell>
          <cell r="G3451">
            <v>39192</v>
          </cell>
          <cell r="H3451">
            <v>46496</v>
          </cell>
          <cell r="I3451" t="str">
            <v>19 years, 11 months, 30 days</v>
          </cell>
          <cell r="J3451" t="str">
            <v>Renewables</v>
          </cell>
          <cell r="K3451" t="str">
            <v>Wind (On-Shore)</v>
          </cell>
          <cell r="L3451" t="str">
            <v>Wind</v>
          </cell>
          <cell r="M3451" t="str">
            <v>Dx</v>
          </cell>
          <cell r="N3451" t="str">
            <v>Goderich</v>
          </cell>
          <cell r="O3451" t="str">
            <v>Huron</v>
          </cell>
          <cell r="P3451" t="str">
            <v>Southwest</v>
          </cell>
        </row>
        <row r="3452">
          <cell r="C3452" t="str">
            <v>Oxley Wind Farm</v>
          </cell>
          <cell r="D3452" t="str">
            <v>Oxley Wind Farm Inc.</v>
          </cell>
          <cell r="E3452" t="str">
            <v>CO</v>
          </cell>
          <cell r="G3452">
            <v>41678</v>
          </cell>
          <cell r="H3452">
            <v>48982</v>
          </cell>
          <cell r="I3452" t="str">
            <v>19 years, 11 months, 30 days</v>
          </cell>
          <cell r="J3452" t="str">
            <v>Renewables</v>
          </cell>
          <cell r="K3452" t="str">
            <v>Wind (On-Shore)</v>
          </cell>
          <cell r="L3452" t="str">
            <v>Wind</v>
          </cell>
          <cell r="M3452" t="str">
            <v>Dx</v>
          </cell>
          <cell r="N3452" t="str">
            <v>Harrow</v>
          </cell>
          <cell r="O3452" t="str">
            <v>Essex</v>
          </cell>
          <cell r="P3452" t="str">
            <v>West</v>
          </cell>
        </row>
        <row r="3453">
          <cell r="C3453" t="str">
            <v>Thornbury G.S.</v>
          </cell>
          <cell r="D3453" t="str">
            <v>Grandview Farms</v>
          </cell>
          <cell r="E3453" t="str">
            <v>CO</v>
          </cell>
          <cell r="G3453">
            <v>39448</v>
          </cell>
          <cell r="H3453">
            <v>54574</v>
          </cell>
          <cell r="I3453" t="str">
            <v>41 years, 4 months, 30 days</v>
          </cell>
          <cell r="J3453" t="str">
            <v>Renewables</v>
          </cell>
          <cell r="K3453" t="str">
            <v>Run-of-River</v>
          </cell>
          <cell r="L3453" t="str">
            <v>Waterpower</v>
          </cell>
          <cell r="M3453" t="str">
            <v>Dx</v>
          </cell>
          <cell r="N3453" t="str">
            <v>Thornbury</v>
          </cell>
          <cell r="O3453" t="str">
            <v>Grey</v>
          </cell>
          <cell r="P3453" t="str">
            <v>Southwest</v>
          </cell>
        </row>
        <row r="3454">
          <cell r="C3454" t="str">
            <v>Ravenswood Wind Farm - WTGs #1 through 6</v>
          </cell>
          <cell r="D3454" t="str">
            <v>Sky Generation LP</v>
          </cell>
          <cell r="E3454" t="str">
            <v>CO</v>
          </cell>
          <cell r="G3454">
            <v>39472</v>
          </cell>
          <cell r="H3454">
            <v>46873</v>
          </cell>
          <cell r="I3454" t="str">
            <v>20 years, 3 months, 5 days</v>
          </cell>
          <cell r="J3454" t="str">
            <v>Renewables</v>
          </cell>
          <cell r="K3454" t="str">
            <v>Wind (On-Shore)</v>
          </cell>
          <cell r="L3454" t="str">
            <v>Wind</v>
          </cell>
          <cell r="M3454" t="str">
            <v>Dx</v>
          </cell>
          <cell r="N3454" t="str">
            <v>Forest</v>
          </cell>
          <cell r="O3454" t="str">
            <v>Lambton</v>
          </cell>
          <cell r="P3454" t="str">
            <v>West</v>
          </cell>
        </row>
        <row r="3455">
          <cell r="C3455" t="str">
            <v>Proof Line Wind Farm</v>
          </cell>
          <cell r="D3455" t="str">
            <v>Sky Generation LP</v>
          </cell>
          <cell r="E3455" t="str">
            <v>CO</v>
          </cell>
          <cell r="G3455">
            <v>40175</v>
          </cell>
          <cell r="H3455">
            <v>47479</v>
          </cell>
          <cell r="I3455" t="str">
            <v>19 years, 11 months, 29 days</v>
          </cell>
          <cell r="J3455" t="str">
            <v>Renewables</v>
          </cell>
          <cell r="K3455" t="str">
            <v>Wind (On-Shore)</v>
          </cell>
          <cell r="L3455" t="str">
            <v>Wind</v>
          </cell>
          <cell r="M3455" t="str">
            <v>Dx</v>
          </cell>
          <cell r="N3455" t="str">
            <v>Forest</v>
          </cell>
          <cell r="O3455" t="str">
            <v>Lambton</v>
          </cell>
          <cell r="P3455" t="str">
            <v>West</v>
          </cell>
        </row>
        <row r="3456">
          <cell r="C3456" t="str">
            <v>High Falls</v>
          </cell>
          <cell r="D3456" t="str">
            <v>Bracebridge Generation Ltd.</v>
          </cell>
          <cell r="E3456" t="str">
            <v>CO</v>
          </cell>
          <cell r="G3456">
            <v>39111</v>
          </cell>
          <cell r="H3456">
            <v>46415</v>
          </cell>
          <cell r="I3456" t="str">
            <v>19 years, 11 months, 30 days</v>
          </cell>
          <cell r="J3456" t="str">
            <v>Renewables</v>
          </cell>
          <cell r="K3456" t="str">
            <v>Run-of-River</v>
          </cell>
          <cell r="L3456" t="str">
            <v>Waterpower</v>
          </cell>
          <cell r="M3456" t="str">
            <v>Dx</v>
          </cell>
          <cell r="N3456" t="str">
            <v>Bracebridge</v>
          </cell>
          <cell r="O3456" t="str">
            <v>Muskoka</v>
          </cell>
          <cell r="P3456" t="str">
            <v>Essa</v>
          </cell>
        </row>
        <row r="3457">
          <cell r="C3457" t="str">
            <v>Fort William First Nations Solar Farm</v>
          </cell>
          <cell r="D3457" t="str">
            <v>Thunder Bay Solar 2 LP</v>
          </cell>
          <cell r="E3457" t="str">
            <v>CO</v>
          </cell>
          <cell r="G3457">
            <v>41058</v>
          </cell>
          <cell r="H3457">
            <v>48362</v>
          </cell>
          <cell r="I3457" t="str">
            <v>19 years, 11 months, 29 days</v>
          </cell>
          <cell r="J3457" t="str">
            <v>Renewables</v>
          </cell>
          <cell r="K3457" t="str">
            <v>Solar</v>
          </cell>
          <cell r="L3457" t="str">
            <v>Solar</v>
          </cell>
          <cell r="M3457" t="str">
            <v>Dx</v>
          </cell>
          <cell r="N3457" t="str">
            <v>Thunder Bay</v>
          </cell>
          <cell r="O3457" t="str">
            <v>Thunder Bay</v>
          </cell>
          <cell r="P3457" t="str">
            <v>Northwest</v>
          </cell>
        </row>
        <row r="3458">
          <cell r="C3458" t="str">
            <v>Ryerse Solar Farm</v>
          </cell>
          <cell r="D3458" t="str">
            <v>SunE Sky Ryerse LP</v>
          </cell>
          <cell r="E3458" t="str">
            <v>CO</v>
          </cell>
          <cell r="G3458">
            <v>40556</v>
          </cell>
          <cell r="H3458">
            <v>47860</v>
          </cell>
          <cell r="I3458" t="str">
            <v>19 years, 11 months, 30 days</v>
          </cell>
          <cell r="J3458" t="str">
            <v>Renewables</v>
          </cell>
          <cell r="K3458" t="str">
            <v>Solar</v>
          </cell>
          <cell r="L3458" t="str">
            <v>Solar</v>
          </cell>
          <cell r="M3458" t="str">
            <v>Dx</v>
          </cell>
          <cell r="N3458" t="str">
            <v>Simcoe</v>
          </cell>
          <cell r="O3458" t="str">
            <v>Norfolk</v>
          </cell>
          <cell r="P3458" t="str">
            <v>Southwest</v>
          </cell>
        </row>
        <row r="3459">
          <cell r="C3459" t="str">
            <v>Fepro Farms (Klaesi Farm)</v>
          </cell>
          <cell r="D3459" t="str">
            <v>Fritz Klaesi and Paul Klaesi</v>
          </cell>
          <cell r="E3459" t="str">
            <v>CO</v>
          </cell>
          <cell r="G3459">
            <v>39387</v>
          </cell>
          <cell r="H3459">
            <v>46904</v>
          </cell>
          <cell r="I3459" t="str">
            <v>20 years, 6 months, 30 days</v>
          </cell>
          <cell r="J3459" t="str">
            <v>Renewables</v>
          </cell>
          <cell r="K3459" t="str">
            <v>Bioenergy</v>
          </cell>
          <cell r="L3459" t="str">
            <v>Biogas</v>
          </cell>
          <cell r="M3459" t="str">
            <v>Dx</v>
          </cell>
          <cell r="N3459" t="str">
            <v>Cobden</v>
          </cell>
          <cell r="O3459" t="str">
            <v>Renfrew</v>
          </cell>
          <cell r="P3459" t="str">
            <v>East</v>
          </cell>
        </row>
        <row r="3460">
          <cell r="C3460" t="str">
            <v>SunSaver1</v>
          </cell>
          <cell r="D3460" t="str">
            <v>SunSaver1 LP</v>
          </cell>
          <cell r="E3460" t="str">
            <v>CO</v>
          </cell>
          <cell r="G3460">
            <v>39850</v>
          </cell>
          <cell r="H3460">
            <v>47634</v>
          </cell>
          <cell r="I3460" t="str">
            <v>21 years, 3 months, 25 days</v>
          </cell>
          <cell r="J3460" t="str">
            <v>Renewables</v>
          </cell>
          <cell r="K3460" t="str">
            <v>Solar</v>
          </cell>
          <cell r="L3460" t="str">
            <v>Solar</v>
          </cell>
          <cell r="M3460" t="str">
            <v>Dx</v>
          </cell>
          <cell r="N3460" t="str">
            <v>Innerkip</v>
          </cell>
          <cell r="O3460" t="str">
            <v>Oxford</v>
          </cell>
          <cell r="P3460" t="str">
            <v>Southwest</v>
          </cell>
        </row>
        <row r="3461">
          <cell r="C3461" t="str">
            <v>Pinkerton Power (Joyrun Farms Inc)</v>
          </cell>
          <cell r="D3461" t="str">
            <v>Joyrun Farms Inc,/John and Irma DeVries</v>
          </cell>
          <cell r="E3461" t="str">
            <v>CO</v>
          </cell>
          <cell r="G3461">
            <v>39282</v>
          </cell>
          <cell r="H3461">
            <v>54209</v>
          </cell>
          <cell r="I3461" t="str">
            <v>40 years, 10 months, 12 days</v>
          </cell>
          <cell r="J3461" t="str">
            <v>Renewables</v>
          </cell>
          <cell r="K3461" t="str">
            <v>Run-of-River</v>
          </cell>
          <cell r="L3461" t="str">
            <v>Waterpower</v>
          </cell>
          <cell r="M3461" t="str">
            <v>Dx</v>
          </cell>
          <cell r="N3461" t="str">
            <v>Cargill</v>
          </cell>
          <cell r="O3461" t="str">
            <v>Bruce</v>
          </cell>
          <cell r="P3461" t="str">
            <v>Southwest</v>
          </cell>
        </row>
        <row r="3462">
          <cell r="C3462" t="str">
            <v>Board of Governors of Exhibition Place</v>
          </cell>
          <cell r="D3462" t="str">
            <v>Board of Governors of Exhibition Place</v>
          </cell>
          <cell r="E3462" t="str">
            <v>CO</v>
          </cell>
          <cell r="G3462">
            <v>39435</v>
          </cell>
          <cell r="H3462">
            <v>46904</v>
          </cell>
          <cell r="I3462" t="str">
            <v>20 years, 5 months, 12 days</v>
          </cell>
          <cell r="J3462" t="str">
            <v>Renewables</v>
          </cell>
          <cell r="K3462" t="str">
            <v>Solar</v>
          </cell>
          <cell r="L3462" t="str">
            <v>Solar</v>
          </cell>
          <cell r="M3462" t="str">
            <v>Dx</v>
          </cell>
          <cell r="N3462" t="str">
            <v>Toronto</v>
          </cell>
          <cell r="O3462" t="str">
            <v>Toronto</v>
          </cell>
          <cell r="P3462" t="str">
            <v>Toronto</v>
          </cell>
        </row>
        <row r="3463">
          <cell r="C3463" t="str">
            <v>Mohawk Street LFG Generation Project</v>
          </cell>
          <cell r="D3463" t="str">
            <v>The Corporation of the City of Brantford</v>
          </cell>
          <cell r="E3463" t="str">
            <v>CO</v>
          </cell>
          <cell r="G3463">
            <v>40413</v>
          </cell>
          <cell r="H3463">
            <v>47717</v>
          </cell>
          <cell r="I3463" t="str">
            <v>19 years, 11 months, 30 days</v>
          </cell>
          <cell r="J3463" t="str">
            <v>Renewables</v>
          </cell>
          <cell r="K3463" t="str">
            <v>Bioenergy</v>
          </cell>
          <cell r="L3463" t="str">
            <v>Landfill Gas</v>
          </cell>
          <cell r="M3463" t="str">
            <v>Dx</v>
          </cell>
          <cell r="N3463" t="str">
            <v>Brantford</v>
          </cell>
          <cell r="O3463" t="str">
            <v>Brant</v>
          </cell>
          <cell r="P3463" t="str">
            <v>Southwest</v>
          </cell>
        </row>
        <row r="3464">
          <cell r="C3464" t="str">
            <v>Queen's University Goodwin PVA</v>
          </cell>
          <cell r="D3464" t="str">
            <v>Faculty of Applied Science</v>
          </cell>
          <cell r="E3464" t="str">
            <v>CO</v>
          </cell>
          <cell r="G3464">
            <v>39295</v>
          </cell>
          <cell r="H3464">
            <v>46904</v>
          </cell>
          <cell r="I3464" t="str">
            <v>20 years, 9 months, 30 days</v>
          </cell>
          <cell r="J3464" t="str">
            <v>Renewables</v>
          </cell>
          <cell r="K3464" t="str">
            <v>Solar</v>
          </cell>
          <cell r="L3464" t="str">
            <v>Solar</v>
          </cell>
          <cell r="M3464" t="str">
            <v>Dx</v>
          </cell>
          <cell r="N3464" t="str">
            <v>Kingston</v>
          </cell>
          <cell r="O3464" t="str">
            <v>Frontenac</v>
          </cell>
          <cell r="P3464" t="str">
            <v>East</v>
          </cell>
        </row>
        <row r="3465">
          <cell r="C3465" t="str">
            <v>Chaudière Grinder Sluiceway Generation</v>
          </cell>
          <cell r="D3465" t="str">
            <v>Energy Ottawa Inc.</v>
          </cell>
          <cell r="E3465" t="str">
            <v>CO</v>
          </cell>
          <cell r="G3465">
            <v>39429</v>
          </cell>
          <cell r="H3465">
            <v>46733</v>
          </cell>
          <cell r="I3465" t="str">
            <v>19 years, 11 months, 29 days</v>
          </cell>
          <cell r="J3465" t="str">
            <v>Renewables</v>
          </cell>
          <cell r="K3465" t="str">
            <v>Run-of-River</v>
          </cell>
          <cell r="L3465" t="str">
            <v>Waterpower</v>
          </cell>
          <cell r="M3465" t="str">
            <v>Dx</v>
          </cell>
          <cell r="N3465" t="str">
            <v>Ottawa</v>
          </cell>
          <cell r="O3465" t="str">
            <v>Ottawa</v>
          </cell>
          <cell r="P3465" t="str">
            <v>Ottawa</v>
          </cell>
        </row>
        <row r="3466">
          <cell r="C3466" t="str">
            <v>Mohawk Point Wind Farm</v>
          </cell>
          <cell r="D3466" t="str">
            <v>AIM SOP Phase I LP</v>
          </cell>
          <cell r="E3466" t="str">
            <v>CO</v>
          </cell>
          <cell r="G3466">
            <v>39745</v>
          </cell>
          <cell r="H3466">
            <v>47231</v>
          </cell>
          <cell r="I3466" t="str">
            <v>20 years, 5 months, 30 days</v>
          </cell>
          <cell r="J3466" t="str">
            <v>Renewables</v>
          </cell>
          <cell r="K3466" t="str">
            <v>Wind (On-Shore)</v>
          </cell>
          <cell r="L3466" t="str">
            <v>Wind</v>
          </cell>
          <cell r="M3466" t="str">
            <v>Dx</v>
          </cell>
          <cell r="N3466" t="str">
            <v>Lowbanks</v>
          </cell>
          <cell r="O3466" t="str">
            <v>Haldimand</v>
          </cell>
          <cell r="P3466" t="str">
            <v>Niagara</v>
          </cell>
        </row>
        <row r="3467">
          <cell r="C3467" t="str">
            <v>Bloorview Roof PV</v>
          </cell>
          <cell r="D3467" t="str">
            <v>Bloorview Kids Rehab</v>
          </cell>
          <cell r="E3467" t="str">
            <v>CO</v>
          </cell>
          <cell r="G3467">
            <v>39553</v>
          </cell>
          <cell r="H3467">
            <v>47269</v>
          </cell>
          <cell r="I3467" t="str">
            <v>21 years, 1 months, 16 days</v>
          </cell>
          <cell r="J3467" t="str">
            <v>Renewables</v>
          </cell>
          <cell r="K3467" t="str">
            <v>Solar</v>
          </cell>
          <cell r="L3467" t="str">
            <v>Solar</v>
          </cell>
          <cell r="M3467" t="str">
            <v>Dx</v>
          </cell>
          <cell r="N3467" t="str">
            <v>Toronto</v>
          </cell>
          <cell r="O3467" t="str">
            <v>Toronto</v>
          </cell>
          <cell r="P3467" t="str">
            <v>Toronto</v>
          </cell>
        </row>
        <row r="3468">
          <cell r="C3468" t="str">
            <v>Hershey Centre Photovoltaic Installation</v>
          </cell>
          <cell r="D3468" t="str">
            <v>The Corporation of the City of Mississauga</v>
          </cell>
          <cell r="E3468" t="str">
            <v>CO</v>
          </cell>
          <cell r="G3468">
            <v>39423</v>
          </cell>
          <cell r="H3468">
            <v>46904</v>
          </cell>
          <cell r="I3468" t="str">
            <v>20 years, 5 months, 24 days</v>
          </cell>
          <cell r="J3468" t="str">
            <v>Renewables</v>
          </cell>
          <cell r="K3468" t="str">
            <v>Solar</v>
          </cell>
          <cell r="L3468" t="str">
            <v>Solar</v>
          </cell>
          <cell r="M3468" t="str">
            <v>Dx</v>
          </cell>
          <cell r="N3468" t="str">
            <v>Mississauga</v>
          </cell>
          <cell r="O3468" t="str">
            <v>Peel</v>
          </cell>
          <cell r="P3468" t="str">
            <v>Toronto</v>
          </cell>
        </row>
        <row r="3469">
          <cell r="C3469" t="str">
            <v>Frogmore Wind Farm</v>
          </cell>
          <cell r="D3469" t="str">
            <v>AIM SOP Phase I LP</v>
          </cell>
          <cell r="E3469" t="str">
            <v>CO</v>
          </cell>
          <cell r="G3469">
            <v>39611</v>
          </cell>
          <cell r="H3469">
            <v>46873</v>
          </cell>
          <cell r="I3469" t="str">
            <v>19 years, 10 months, 18 days</v>
          </cell>
          <cell r="J3469" t="str">
            <v>Renewables</v>
          </cell>
          <cell r="K3469" t="str">
            <v>Wind (On-Shore)</v>
          </cell>
          <cell r="L3469" t="str">
            <v>Wind</v>
          </cell>
          <cell r="M3469" t="str">
            <v>Dx</v>
          </cell>
          <cell r="N3469" t="str">
            <v>Clear Creek</v>
          </cell>
          <cell r="O3469" t="str">
            <v>Norfolk</v>
          </cell>
          <cell r="P3469" t="str">
            <v>West</v>
          </cell>
        </row>
        <row r="3470">
          <cell r="C3470" t="str">
            <v>Cultus Wind Farm</v>
          </cell>
          <cell r="D3470" t="str">
            <v>AIM SOP Phase I LP</v>
          </cell>
          <cell r="E3470" t="str">
            <v>CO</v>
          </cell>
          <cell r="G3470">
            <v>39611</v>
          </cell>
          <cell r="H3470">
            <v>46873</v>
          </cell>
          <cell r="I3470" t="str">
            <v>19 years, 10 months, 18 days</v>
          </cell>
          <cell r="J3470" t="str">
            <v>Renewables</v>
          </cell>
          <cell r="K3470" t="str">
            <v>Wind (On-Shore)</v>
          </cell>
          <cell r="L3470" t="str">
            <v>Wind</v>
          </cell>
          <cell r="M3470" t="str">
            <v>Dx</v>
          </cell>
          <cell r="N3470" t="str">
            <v>Clear Creek</v>
          </cell>
          <cell r="O3470" t="str">
            <v>Norfolk</v>
          </cell>
          <cell r="P3470" t="str">
            <v>West</v>
          </cell>
        </row>
        <row r="3471">
          <cell r="C3471" t="str">
            <v>Wilson's Mill</v>
          </cell>
          <cell r="D3471" t="str">
            <v>Riverforge Renewables Inc.</v>
          </cell>
          <cell r="E3471" t="str">
            <v>CO</v>
          </cell>
          <cell r="G3471">
            <v>39311</v>
          </cell>
          <cell r="H3471">
            <v>54209</v>
          </cell>
          <cell r="I3471" t="str">
            <v>40 years, 9 months, 14 days</v>
          </cell>
          <cell r="J3471" t="str">
            <v>Renewables</v>
          </cell>
          <cell r="K3471" t="str">
            <v>Run-of-River</v>
          </cell>
          <cell r="L3471" t="str">
            <v>Waterpower</v>
          </cell>
          <cell r="M3471" t="str">
            <v>Dx</v>
          </cell>
          <cell r="N3471" t="str">
            <v>Fergus</v>
          </cell>
          <cell r="O3471" t="str">
            <v>Wellington</v>
          </cell>
          <cell r="P3471" t="str">
            <v>Southwest</v>
          </cell>
        </row>
        <row r="3472">
          <cell r="C3472" t="str">
            <v>Sarnia Solar 5</v>
          </cell>
          <cell r="D3472" t="str">
            <v>Enbridge Renewable Energy Infrastructure LP</v>
          </cell>
          <cell r="E3472" t="str">
            <v>CO</v>
          </cell>
          <cell r="G3472">
            <v>40142</v>
          </cell>
          <cell r="H3472">
            <v>47446</v>
          </cell>
          <cell r="I3472" t="str">
            <v>19 years, 11 months, 30 days</v>
          </cell>
          <cell r="J3472" t="str">
            <v>Renewables</v>
          </cell>
          <cell r="K3472" t="str">
            <v>Solar</v>
          </cell>
          <cell r="L3472" t="str">
            <v>Solar</v>
          </cell>
          <cell r="M3472" t="str">
            <v>Dx</v>
          </cell>
          <cell r="N3472" t="str">
            <v>Sarnia</v>
          </cell>
          <cell r="O3472" t="str">
            <v>Lambton</v>
          </cell>
          <cell r="P3472" t="str">
            <v>West</v>
          </cell>
        </row>
        <row r="3473">
          <cell r="C3473" t="str">
            <v>Northbrook Medical Centre Gridtie System</v>
          </cell>
          <cell r="D3473" t="str">
            <v>Addington Highlands Township</v>
          </cell>
          <cell r="E3473" t="str">
            <v>CO</v>
          </cell>
          <cell r="G3473">
            <v>39524</v>
          </cell>
          <cell r="H3473">
            <v>46828</v>
          </cell>
          <cell r="I3473" t="str">
            <v>19 years, 11 months, 28 days</v>
          </cell>
          <cell r="J3473" t="str">
            <v>Renewables</v>
          </cell>
          <cell r="K3473" t="str">
            <v>Solar</v>
          </cell>
          <cell r="L3473" t="str">
            <v>Solar</v>
          </cell>
          <cell r="M3473" t="str">
            <v>Dx</v>
          </cell>
          <cell r="N3473" t="str">
            <v>Northbrook</v>
          </cell>
          <cell r="O3473" t="str">
            <v>Lennox and Addington</v>
          </cell>
          <cell r="P3473" t="str">
            <v>East</v>
          </cell>
        </row>
        <row r="3474">
          <cell r="C3474" t="str">
            <v>Petrolia Renewable Energy Project</v>
          </cell>
          <cell r="D3474" t="str">
            <v>Waste Management of Canada Corporation</v>
          </cell>
          <cell r="E3474" t="str">
            <v>CO</v>
          </cell>
          <cell r="G3474">
            <v>40374</v>
          </cell>
          <cell r="H3474">
            <v>47678</v>
          </cell>
          <cell r="I3474" t="str">
            <v>19 years, 11 months, 29 days</v>
          </cell>
          <cell r="J3474" t="str">
            <v>Renewables</v>
          </cell>
          <cell r="K3474" t="str">
            <v>Bioenergy</v>
          </cell>
          <cell r="L3474" t="str">
            <v>Landfill Gas</v>
          </cell>
          <cell r="M3474" t="str">
            <v>Dx</v>
          </cell>
          <cell r="N3474" t="str">
            <v>Petrolia</v>
          </cell>
          <cell r="O3474" t="str">
            <v>Lambton</v>
          </cell>
          <cell r="P3474" t="str">
            <v>West</v>
          </cell>
        </row>
        <row r="3475">
          <cell r="C3475" t="str">
            <v>Terryland Farms Inc</v>
          </cell>
          <cell r="D3475" t="str">
            <v>Amgreg Bio Inc.</v>
          </cell>
          <cell r="E3475" t="str">
            <v>CO</v>
          </cell>
          <cell r="G3475">
            <v>39332</v>
          </cell>
          <cell r="H3475">
            <v>46904</v>
          </cell>
          <cell r="I3475" t="str">
            <v>20 years, 8 months, 24 days</v>
          </cell>
          <cell r="J3475" t="str">
            <v>Renewables</v>
          </cell>
          <cell r="K3475" t="str">
            <v>Bioenergy</v>
          </cell>
          <cell r="L3475" t="str">
            <v>Biogas</v>
          </cell>
          <cell r="M3475" t="str">
            <v>Dx</v>
          </cell>
          <cell r="N3475" t="str">
            <v>St. Eugene</v>
          </cell>
          <cell r="O3475" t="str">
            <v>Prescott and Russell</v>
          </cell>
          <cell r="P3475" t="str">
            <v>Ottawa</v>
          </cell>
        </row>
        <row r="3476">
          <cell r="C3476" t="str">
            <v>Hinrich Farm</v>
          </cell>
          <cell r="D3476" t="str">
            <v>KRISTY SUSANNA MEINEN AND DAVID GERRIT DANIEL MEINEN</v>
          </cell>
          <cell r="E3476" t="str">
            <v>CO</v>
          </cell>
          <cell r="G3476">
            <v>39318</v>
          </cell>
          <cell r="H3476">
            <v>46622</v>
          </cell>
          <cell r="I3476" t="str">
            <v>19 years, 11 months, 30 days</v>
          </cell>
          <cell r="J3476" t="str">
            <v>Renewables</v>
          </cell>
          <cell r="K3476" t="str">
            <v>Solar</v>
          </cell>
          <cell r="L3476" t="str">
            <v>Solar</v>
          </cell>
          <cell r="M3476" t="str">
            <v>Dx</v>
          </cell>
          <cell r="N3476" t="str">
            <v>Cambridge</v>
          </cell>
          <cell r="O3476" t="str">
            <v>Waterloo</v>
          </cell>
          <cell r="P3476" t="str">
            <v>Southwest</v>
          </cell>
        </row>
        <row r="3477">
          <cell r="C3477" t="str">
            <v>Zephyr Farms Limited</v>
          </cell>
          <cell r="D3477" t="str">
            <v>Watford Wind LP</v>
          </cell>
          <cell r="E3477" t="str">
            <v>CO</v>
          </cell>
          <cell r="G3477">
            <v>41044</v>
          </cell>
          <cell r="H3477">
            <v>48348</v>
          </cell>
          <cell r="I3477" t="str">
            <v>19 years, 11 months, 29 days</v>
          </cell>
          <cell r="J3477" t="str">
            <v>Renewables</v>
          </cell>
          <cell r="K3477" t="str">
            <v>Wind (On-Shore)</v>
          </cell>
          <cell r="L3477" t="str">
            <v>Wind</v>
          </cell>
          <cell r="M3477" t="str">
            <v>Dx</v>
          </cell>
          <cell r="N3477" t="str">
            <v>Watford</v>
          </cell>
          <cell r="O3477" t="str">
            <v>Lambton</v>
          </cell>
          <cell r="P3477" t="str">
            <v>West</v>
          </cell>
        </row>
        <row r="3478">
          <cell r="C3478" t="str">
            <v>East Quarry Landfill Gas Utilization</v>
          </cell>
          <cell r="D3478" t="str">
            <v>Integrated Gas Recovery Services Inc.</v>
          </cell>
          <cell r="E3478" t="str">
            <v>CO</v>
          </cell>
          <cell r="G3478">
            <v>39435</v>
          </cell>
          <cell r="H3478">
            <v>46739</v>
          </cell>
          <cell r="I3478" t="str">
            <v>19 years, 11 months, 29 days</v>
          </cell>
          <cell r="J3478" t="str">
            <v>Renewables</v>
          </cell>
          <cell r="K3478" t="str">
            <v>Bioenergy</v>
          </cell>
          <cell r="L3478" t="str">
            <v>Landfill Gas</v>
          </cell>
          <cell r="M3478" t="str">
            <v>Dx</v>
          </cell>
          <cell r="N3478" t="str">
            <v>Niagara Falls</v>
          </cell>
          <cell r="O3478" t="str">
            <v>Niagara</v>
          </cell>
          <cell r="P3478" t="str">
            <v>Niagara</v>
          </cell>
        </row>
        <row r="3479">
          <cell r="C3479" t="str">
            <v>Jura Wind</v>
          </cell>
          <cell r="D3479" t="str">
            <v>Hog-Tied Farms Ltd.</v>
          </cell>
          <cell r="E3479" t="str">
            <v>CO</v>
          </cell>
          <cell r="G3479">
            <v>39372</v>
          </cell>
          <cell r="H3479">
            <v>46904</v>
          </cell>
          <cell r="I3479" t="str">
            <v>20 years, 7 months, 14 days</v>
          </cell>
          <cell r="J3479" t="str">
            <v>Renewables</v>
          </cell>
          <cell r="K3479" t="str">
            <v>Wind (On-Shore)</v>
          </cell>
          <cell r="L3479" t="str">
            <v>Wind</v>
          </cell>
          <cell r="M3479" t="str">
            <v>Dx</v>
          </cell>
          <cell r="N3479" t="str">
            <v>Thedford</v>
          </cell>
          <cell r="O3479" t="str">
            <v>Lambton</v>
          </cell>
          <cell r="P3479" t="str">
            <v>West</v>
          </cell>
        </row>
        <row r="3480">
          <cell r="C3480" t="str">
            <v>Tilbury Solar 2</v>
          </cell>
          <cell r="D3480" t="str">
            <v>Tilbury Solar Project L.P.</v>
          </cell>
          <cell r="E3480" t="str">
            <v>CO</v>
          </cell>
          <cell r="G3480">
            <v>40532</v>
          </cell>
          <cell r="H3480">
            <v>47836</v>
          </cell>
          <cell r="I3480" t="str">
            <v>19 years, 11 months, 29 days</v>
          </cell>
          <cell r="J3480" t="str">
            <v>Renewables</v>
          </cell>
          <cell r="K3480" t="str">
            <v>Solar</v>
          </cell>
          <cell r="L3480" t="str">
            <v>Solar</v>
          </cell>
          <cell r="M3480" t="str">
            <v>Dx</v>
          </cell>
          <cell r="N3480" t="str">
            <v>Tilbury</v>
          </cell>
          <cell r="O3480" t="str">
            <v>Chatham-Kent</v>
          </cell>
          <cell r="P3480" t="str">
            <v>West</v>
          </cell>
        </row>
        <row r="3481">
          <cell r="C3481" t="str">
            <v>PGG1</v>
          </cell>
          <cell r="D3481" t="str">
            <v>SSM1 Canada, L.P.</v>
          </cell>
          <cell r="E3481" t="str">
            <v>CO</v>
          </cell>
          <cell r="G3481">
            <v>40472</v>
          </cell>
          <cell r="H3481">
            <v>47776</v>
          </cell>
          <cell r="I3481" t="str">
            <v>19 years, 11 months, 29 days</v>
          </cell>
          <cell r="J3481" t="str">
            <v>Renewables</v>
          </cell>
          <cell r="K3481" t="str">
            <v>Solar</v>
          </cell>
          <cell r="L3481" t="str">
            <v>Solar</v>
          </cell>
          <cell r="M3481" t="str">
            <v>Dx</v>
          </cell>
          <cell r="N3481" t="str">
            <v>Sault Ste. Marie</v>
          </cell>
          <cell r="O3481" t="str">
            <v>Algoma</v>
          </cell>
          <cell r="P3481" t="str">
            <v>Northeast</v>
          </cell>
        </row>
        <row r="3482">
          <cell r="C3482" t="str">
            <v>WISE, 762 Euclid</v>
          </cell>
          <cell r="D3482" t="str">
            <v>Mark Day and Kahleen Little</v>
          </cell>
          <cell r="E3482" t="str">
            <v>CO</v>
          </cell>
          <cell r="G3482">
            <v>39388</v>
          </cell>
          <cell r="H3482">
            <v>46692</v>
          </cell>
          <cell r="I3482" t="str">
            <v>19 years, 11 months, 30 days</v>
          </cell>
          <cell r="J3482" t="str">
            <v>Renewables</v>
          </cell>
          <cell r="K3482" t="str">
            <v>Solar</v>
          </cell>
          <cell r="L3482" t="str">
            <v>Solar</v>
          </cell>
          <cell r="M3482" t="str">
            <v>Dx</v>
          </cell>
          <cell r="N3482" t="str">
            <v>Toronto</v>
          </cell>
          <cell r="O3482" t="str">
            <v>Toronto</v>
          </cell>
          <cell r="P3482" t="str">
            <v>Toronto</v>
          </cell>
        </row>
        <row r="3483">
          <cell r="C3483" t="str">
            <v>Blue Moon Solar Farm</v>
          </cell>
          <cell r="D3483" t="str">
            <v>Lily Lake Solar Inc.</v>
          </cell>
          <cell r="E3483" t="str">
            <v>CO</v>
          </cell>
          <cell r="G3483">
            <v>40619</v>
          </cell>
          <cell r="H3483">
            <v>47923</v>
          </cell>
          <cell r="I3483" t="str">
            <v>19 years, 11 months, 27 days</v>
          </cell>
          <cell r="J3483" t="str">
            <v>Renewables</v>
          </cell>
          <cell r="K3483" t="str">
            <v>Solar</v>
          </cell>
          <cell r="L3483" t="str">
            <v>Solar</v>
          </cell>
          <cell r="M3483" t="str">
            <v>Dx</v>
          </cell>
          <cell r="N3483" t="str">
            <v>Peterborough</v>
          </cell>
          <cell r="O3483" t="str">
            <v>Peterborough</v>
          </cell>
          <cell r="P3483" t="str">
            <v>East</v>
          </cell>
        </row>
        <row r="3484">
          <cell r="C3484" t="str">
            <v>Bluewater Solar 1</v>
          </cell>
          <cell r="D3484" t="str">
            <v>Enbridge Renewable Energy Infrastructure LP</v>
          </cell>
          <cell r="E3484" t="str">
            <v>CO</v>
          </cell>
          <cell r="G3484">
            <v>40403</v>
          </cell>
          <cell r="H3484">
            <v>47707</v>
          </cell>
          <cell r="I3484" t="str">
            <v>19 years, 11 months, 30 days</v>
          </cell>
          <cell r="J3484" t="str">
            <v>Renewables</v>
          </cell>
          <cell r="K3484" t="str">
            <v>Solar</v>
          </cell>
          <cell r="L3484" t="str">
            <v>Solar</v>
          </cell>
          <cell r="M3484" t="str">
            <v>Dx</v>
          </cell>
          <cell r="N3484" t="str">
            <v>Sarnia</v>
          </cell>
          <cell r="O3484" t="str">
            <v>Lambton</v>
          </cell>
          <cell r="P3484" t="str">
            <v>West</v>
          </cell>
        </row>
        <row r="3485">
          <cell r="C3485" t="str">
            <v>Bluewater Solar 1</v>
          </cell>
          <cell r="D3485" t="str">
            <v>Enbridge Renewable Energy Infrastructure LP</v>
          </cell>
          <cell r="E3485" t="str">
            <v>CO</v>
          </cell>
          <cell r="G3485">
            <v>40392</v>
          </cell>
          <cell r="H3485">
            <v>47696</v>
          </cell>
          <cell r="I3485" t="str">
            <v>19 years, 11 months, 30 days</v>
          </cell>
          <cell r="J3485" t="str">
            <v>Renewables</v>
          </cell>
          <cell r="K3485" t="str">
            <v>Solar</v>
          </cell>
          <cell r="L3485" t="str">
            <v>Solar</v>
          </cell>
          <cell r="M3485" t="str">
            <v>Dx</v>
          </cell>
          <cell r="N3485" t="str">
            <v>Sarnia</v>
          </cell>
          <cell r="O3485" t="str">
            <v>Lambton</v>
          </cell>
          <cell r="P3485" t="str">
            <v>West</v>
          </cell>
        </row>
        <row r="3486">
          <cell r="C3486" t="str">
            <v>Welland Canal Weir 2 Generating Station</v>
          </cell>
          <cell r="D3486" t="str">
            <v>Rankin Renewable Power Inc.</v>
          </cell>
          <cell r="E3486" t="str">
            <v>CO</v>
          </cell>
          <cell r="G3486">
            <v>39756</v>
          </cell>
          <cell r="H3486">
            <v>47060</v>
          </cell>
          <cell r="I3486" t="str">
            <v>19 years, 11 months, 30 days</v>
          </cell>
          <cell r="J3486" t="str">
            <v>Renewables</v>
          </cell>
          <cell r="K3486" t="str">
            <v>Run-of-River</v>
          </cell>
          <cell r="L3486" t="str">
            <v>Waterpower</v>
          </cell>
          <cell r="M3486" t="str">
            <v>Dx</v>
          </cell>
          <cell r="N3486" t="str">
            <v>Niagara-on-the-Lake</v>
          </cell>
          <cell r="O3486" t="str">
            <v>Niagara</v>
          </cell>
          <cell r="P3486" t="str">
            <v>Niagara</v>
          </cell>
        </row>
        <row r="3487">
          <cell r="C3487" t="str">
            <v>Welland Canal Weir 3 Generating Station</v>
          </cell>
          <cell r="D3487" t="str">
            <v>Rankin Renewable Power Inc.</v>
          </cell>
          <cell r="E3487" t="str">
            <v>CO</v>
          </cell>
          <cell r="G3487">
            <v>40070</v>
          </cell>
          <cell r="H3487">
            <v>47374</v>
          </cell>
          <cell r="I3487" t="str">
            <v>19 years, 11 months, 30 days</v>
          </cell>
          <cell r="J3487" t="str">
            <v>Renewables</v>
          </cell>
          <cell r="K3487" t="str">
            <v>Run-of-River</v>
          </cell>
          <cell r="L3487" t="str">
            <v>Waterpower</v>
          </cell>
          <cell r="M3487" t="str">
            <v>Dx</v>
          </cell>
          <cell r="N3487" t="str">
            <v>Niagara-on-the-Lake</v>
          </cell>
          <cell r="O3487" t="str">
            <v>Niagara</v>
          </cell>
          <cell r="P3487" t="str">
            <v>Niagara</v>
          </cell>
        </row>
        <row r="3488">
          <cell r="C3488" t="str">
            <v>WISE, 158 Arlington</v>
          </cell>
          <cell r="D3488" t="str">
            <v>Judith Silver</v>
          </cell>
          <cell r="E3488" t="str">
            <v>CO</v>
          </cell>
          <cell r="G3488">
            <v>39367</v>
          </cell>
          <cell r="H3488">
            <v>46671</v>
          </cell>
          <cell r="I3488" t="str">
            <v>19 years, 11 months, 29 days</v>
          </cell>
          <cell r="J3488" t="str">
            <v>Renewables</v>
          </cell>
          <cell r="K3488" t="str">
            <v>Solar</v>
          </cell>
          <cell r="L3488" t="str">
            <v>Solar</v>
          </cell>
          <cell r="M3488" t="str">
            <v>Dx</v>
          </cell>
          <cell r="N3488" t="str">
            <v>Toronto</v>
          </cell>
          <cell r="O3488" t="str">
            <v>Toronto</v>
          </cell>
          <cell r="P3488" t="str">
            <v>Toronto</v>
          </cell>
        </row>
        <row r="3489">
          <cell r="C3489" t="str">
            <v>Welland Canal Weir 1 Generating Station</v>
          </cell>
          <cell r="D3489" t="str">
            <v>Rankin Renewable Power Inc.</v>
          </cell>
          <cell r="E3489" t="str">
            <v>CO</v>
          </cell>
          <cell r="G3489">
            <v>39759</v>
          </cell>
          <cell r="H3489">
            <v>47063</v>
          </cell>
          <cell r="I3489" t="str">
            <v>19 years, 11 months, 30 days</v>
          </cell>
          <cell r="J3489" t="str">
            <v>Renewables</v>
          </cell>
          <cell r="K3489" t="str">
            <v>Run-of-River</v>
          </cell>
          <cell r="L3489" t="str">
            <v>Waterpower</v>
          </cell>
          <cell r="M3489" t="str">
            <v>Dx</v>
          </cell>
          <cell r="N3489" t="str">
            <v>St. Catharines</v>
          </cell>
          <cell r="O3489" t="str">
            <v>Niagara</v>
          </cell>
          <cell r="P3489" t="str">
            <v>Niagara</v>
          </cell>
        </row>
        <row r="3490">
          <cell r="C3490" t="str">
            <v>Rosa Flora Wind Turbine</v>
          </cell>
          <cell r="D3490" t="str">
            <v>Rosa Flora Growers Limited</v>
          </cell>
          <cell r="E3490" t="str">
            <v>CO</v>
          </cell>
          <cell r="G3490">
            <v>39902</v>
          </cell>
          <cell r="H3490">
            <v>47206</v>
          </cell>
          <cell r="I3490" t="str">
            <v>19 years, 11 months, 27 days</v>
          </cell>
          <cell r="J3490" t="str">
            <v>Renewables</v>
          </cell>
          <cell r="K3490" t="str">
            <v>Wind (On-Shore)</v>
          </cell>
          <cell r="L3490" t="str">
            <v>Wind</v>
          </cell>
          <cell r="M3490" t="str">
            <v>Dx</v>
          </cell>
          <cell r="N3490" t="str">
            <v>Dunnville</v>
          </cell>
          <cell r="O3490" t="str">
            <v>Haldimand</v>
          </cell>
          <cell r="P3490" t="str">
            <v>Niagara</v>
          </cell>
        </row>
        <row r="3491">
          <cell r="C3491" t="str">
            <v>Thunder Bay Landfill Gas Utilization</v>
          </cell>
          <cell r="D3491" t="str">
            <v>Thunder Bay Hydro Renewable Power Inc.</v>
          </cell>
          <cell r="E3491" t="str">
            <v>CO</v>
          </cell>
          <cell r="G3491">
            <v>40395</v>
          </cell>
          <cell r="H3491">
            <v>47699</v>
          </cell>
          <cell r="I3491" t="str">
            <v>19 years, 11 months, 30 days</v>
          </cell>
          <cell r="J3491" t="str">
            <v>Renewables</v>
          </cell>
          <cell r="K3491" t="str">
            <v>Bioenergy</v>
          </cell>
          <cell r="L3491" t="str">
            <v>Landfill Gas</v>
          </cell>
          <cell r="M3491" t="str">
            <v>Dx</v>
          </cell>
          <cell r="N3491" t="str">
            <v>Thunder Bay</v>
          </cell>
          <cell r="O3491" t="str">
            <v>Thunder Bay</v>
          </cell>
          <cell r="P3491" t="str">
            <v>Northwest</v>
          </cell>
        </row>
        <row r="3492">
          <cell r="C3492" t="str">
            <v>South River Hydroelectric Project</v>
          </cell>
          <cell r="D3492" t="str">
            <v>South River Power Generation Corporation</v>
          </cell>
          <cell r="E3492" t="str">
            <v>CO</v>
          </cell>
          <cell r="G3492">
            <v>40344</v>
          </cell>
          <cell r="H3492">
            <v>54953</v>
          </cell>
          <cell r="I3492" t="str">
            <v>39 years, 11 months, 30 days</v>
          </cell>
          <cell r="J3492" t="str">
            <v>Renewables</v>
          </cell>
          <cell r="K3492" t="str">
            <v>Run-of-River</v>
          </cell>
          <cell r="L3492" t="str">
            <v>Waterpower</v>
          </cell>
          <cell r="M3492" t="str">
            <v>Dx</v>
          </cell>
          <cell r="N3492" t="str">
            <v>South River</v>
          </cell>
          <cell r="O3492" t="str">
            <v>Parry Sound</v>
          </cell>
          <cell r="P3492" t="str">
            <v>Essa</v>
          </cell>
        </row>
        <row r="3493">
          <cell r="C3493" t="str">
            <v>Glanbrook Landfill Gas Power Plant</v>
          </cell>
          <cell r="D3493" t="str">
            <v>Hamilton Renewable Power Inc.</v>
          </cell>
          <cell r="E3493" t="str">
            <v>CO</v>
          </cell>
          <cell r="G3493">
            <v>39771</v>
          </cell>
          <cell r="H3493">
            <v>47075</v>
          </cell>
          <cell r="I3493" t="str">
            <v>19 years, 11 months, 30 days</v>
          </cell>
          <cell r="J3493" t="str">
            <v>Renewables</v>
          </cell>
          <cell r="K3493" t="str">
            <v>Simple Cycle</v>
          </cell>
          <cell r="L3493" t="str">
            <v>Landfill Gas</v>
          </cell>
          <cell r="M3493" t="str">
            <v>Dx</v>
          </cell>
          <cell r="N3493" t="str">
            <v>Binbrook</v>
          </cell>
          <cell r="O3493" t="str">
            <v>Hamilton</v>
          </cell>
          <cell r="P3493" t="str">
            <v>Southwest</v>
          </cell>
        </row>
        <row r="3494">
          <cell r="C3494" t="str">
            <v>PGG002</v>
          </cell>
          <cell r="D3494" t="str">
            <v>SSM1 Canada, L.P.</v>
          </cell>
          <cell r="E3494" t="str">
            <v>CO</v>
          </cell>
          <cell r="G3494">
            <v>40469</v>
          </cell>
          <cell r="H3494">
            <v>47773</v>
          </cell>
          <cell r="I3494" t="str">
            <v>19 years, 11 months, 29 days</v>
          </cell>
          <cell r="J3494" t="str">
            <v>Renewables</v>
          </cell>
          <cell r="K3494" t="str">
            <v>Solar</v>
          </cell>
          <cell r="L3494" t="str">
            <v>Solar</v>
          </cell>
          <cell r="M3494" t="str">
            <v>Dx</v>
          </cell>
          <cell r="N3494" t="str">
            <v>Sault Ste. Marie</v>
          </cell>
          <cell r="O3494" t="str">
            <v>Algoma</v>
          </cell>
          <cell r="P3494" t="str">
            <v>Northeast</v>
          </cell>
        </row>
        <row r="3495">
          <cell r="C3495" t="str">
            <v>Solar Array # 8</v>
          </cell>
          <cell r="D3495" t="str">
            <v>The Natured Standard Inc.</v>
          </cell>
          <cell r="E3495" t="str">
            <v>CO</v>
          </cell>
          <cell r="G3495">
            <v>40640</v>
          </cell>
          <cell r="H3495">
            <v>47944</v>
          </cell>
          <cell r="I3495" t="str">
            <v>19 years, 11 months, 30 days</v>
          </cell>
          <cell r="J3495" t="str">
            <v>Renewables</v>
          </cell>
          <cell r="K3495" t="str">
            <v>Solar</v>
          </cell>
          <cell r="L3495" t="str">
            <v>Solar</v>
          </cell>
          <cell r="M3495" t="str">
            <v>Dx</v>
          </cell>
          <cell r="N3495" t="str">
            <v>Sarnia</v>
          </cell>
          <cell r="O3495" t="str">
            <v>Lambton</v>
          </cell>
          <cell r="P3495" t="str">
            <v>West</v>
          </cell>
        </row>
        <row r="3496">
          <cell r="C3496" t="str">
            <v>Belmont Solar 1</v>
          </cell>
          <cell r="D3496" t="str">
            <v>ABW Solar General Partnership</v>
          </cell>
          <cell r="E3496" t="str">
            <v>CO</v>
          </cell>
          <cell r="G3496">
            <v>41299</v>
          </cell>
          <cell r="H3496">
            <v>48603</v>
          </cell>
          <cell r="I3496" t="str">
            <v>19 years, 11 months, 30 days</v>
          </cell>
          <cell r="J3496" t="str">
            <v>Renewables</v>
          </cell>
          <cell r="K3496" t="str">
            <v>Solar</v>
          </cell>
          <cell r="L3496" t="str">
            <v>Solar</v>
          </cell>
          <cell r="M3496" t="str">
            <v>Dx</v>
          </cell>
          <cell r="N3496" t="str">
            <v>Belmont</v>
          </cell>
          <cell r="O3496" t="str">
            <v>Elgin</v>
          </cell>
          <cell r="P3496" t="str">
            <v>West</v>
          </cell>
        </row>
        <row r="3497">
          <cell r="C3497" t="str">
            <v>Belmont Solar 2</v>
          </cell>
          <cell r="D3497" t="str">
            <v>ABW Solar General Partnership</v>
          </cell>
          <cell r="E3497" t="str">
            <v>CO</v>
          </cell>
          <cell r="G3497">
            <v>41299</v>
          </cell>
          <cell r="H3497">
            <v>48603</v>
          </cell>
          <cell r="I3497" t="str">
            <v>19 years, 11 months, 30 days</v>
          </cell>
          <cell r="J3497" t="str">
            <v>Renewables</v>
          </cell>
          <cell r="K3497" t="str">
            <v>Solar</v>
          </cell>
          <cell r="L3497" t="str">
            <v>Solar</v>
          </cell>
          <cell r="M3497" t="str">
            <v>Dx</v>
          </cell>
          <cell r="N3497" t="str">
            <v>Belmont</v>
          </cell>
          <cell r="O3497" t="str">
            <v>Elgin</v>
          </cell>
          <cell r="P3497" t="str">
            <v>West</v>
          </cell>
        </row>
        <row r="3498">
          <cell r="C3498" t="str">
            <v>Almonte Lower Falls Re-Development</v>
          </cell>
          <cell r="D3498" t="str">
            <v>Mississippi River Power Corporation</v>
          </cell>
          <cell r="E3498" t="str">
            <v>CO</v>
          </cell>
          <cell r="G3498">
            <v>40277</v>
          </cell>
          <cell r="H3498">
            <v>47581</v>
          </cell>
          <cell r="I3498" t="str">
            <v>19 years, 11 months, 30 days</v>
          </cell>
          <cell r="J3498" t="str">
            <v>Renewables</v>
          </cell>
          <cell r="K3498" t="str">
            <v>Run-of-River</v>
          </cell>
          <cell r="L3498" t="str">
            <v>Waterpower</v>
          </cell>
          <cell r="M3498" t="str">
            <v>Dx</v>
          </cell>
          <cell r="N3498" t="str">
            <v>Almonte</v>
          </cell>
          <cell r="O3498" t="str">
            <v>Lanark</v>
          </cell>
          <cell r="P3498" t="str">
            <v>East</v>
          </cell>
        </row>
        <row r="3499">
          <cell r="C3499" t="str">
            <v>Terra View Woodlawn</v>
          </cell>
          <cell r="D3499" t="str">
            <v>Andrew Lambden</v>
          </cell>
          <cell r="E3499" t="str">
            <v>CO</v>
          </cell>
          <cell r="G3499">
            <v>39485</v>
          </cell>
          <cell r="H3499">
            <v>46789</v>
          </cell>
          <cell r="I3499" t="str">
            <v>19 years, 11 months, 30 days</v>
          </cell>
          <cell r="J3499" t="str">
            <v>Renewables</v>
          </cell>
          <cell r="K3499" t="str">
            <v>Solar</v>
          </cell>
          <cell r="L3499" t="str">
            <v>Solar</v>
          </cell>
          <cell r="M3499" t="str">
            <v>Dx</v>
          </cell>
          <cell r="N3499" t="str">
            <v>Guelph</v>
          </cell>
          <cell r="O3499" t="str">
            <v>Wellington</v>
          </cell>
          <cell r="P3499" t="str">
            <v>Southwest</v>
          </cell>
        </row>
        <row r="3500">
          <cell r="C3500" t="str">
            <v>Walpole 1 Solar Farm</v>
          </cell>
          <cell r="D3500" t="str">
            <v>ABW Solar General Partnership</v>
          </cell>
          <cell r="E3500" t="str">
            <v>CO</v>
          </cell>
          <cell r="G3500">
            <v>41327</v>
          </cell>
          <cell r="H3500">
            <v>48631</v>
          </cell>
          <cell r="I3500" t="str">
            <v>19 years, 11 months, 30 days</v>
          </cell>
          <cell r="J3500" t="str">
            <v>Renewables</v>
          </cell>
          <cell r="K3500" t="str">
            <v>Solar</v>
          </cell>
          <cell r="L3500" t="str">
            <v>Solar</v>
          </cell>
          <cell r="M3500" t="str">
            <v>Dx</v>
          </cell>
          <cell r="N3500" t="str">
            <v>Hagersville</v>
          </cell>
          <cell r="O3500" t="str">
            <v>Haldimand</v>
          </cell>
          <cell r="P3500" t="str">
            <v>Southwest</v>
          </cell>
        </row>
        <row r="3501">
          <cell r="C3501" t="str">
            <v>PGG003</v>
          </cell>
          <cell r="D3501" t="str">
            <v>SSM2 Canada, L.P.</v>
          </cell>
          <cell r="E3501" t="str">
            <v>CO</v>
          </cell>
          <cell r="G3501">
            <v>40792</v>
          </cell>
          <cell r="H3501">
            <v>48096</v>
          </cell>
          <cell r="I3501" t="str">
            <v>19 years, 11 months, 30 days</v>
          </cell>
          <cell r="J3501" t="str">
            <v>Renewables</v>
          </cell>
          <cell r="K3501" t="str">
            <v>Solar</v>
          </cell>
          <cell r="L3501" t="str">
            <v>Solar</v>
          </cell>
          <cell r="M3501" t="str">
            <v>Dx</v>
          </cell>
          <cell r="N3501" t="str">
            <v>Sault Ste. Marie</v>
          </cell>
          <cell r="O3501" t="str">
            <v>Algoma</v>
          </cell>
          <cell r="P3501" t="str">
            <v>Northeast</v>
          </cell>
        </row>
        <row r="3502">
          <cell r="C3502" t="str">
            <v>PGG004</v>
          </cell>
          <cell r="D3502" t="str">
            <v>SSM2 Canada, L.P.</v>
          </cell>
          <cell r="E3502" t="str">
            <v>CO</v>
          </cell>
          <cell r="G3502">
            <v>40792</v>
          </cell>
          <cell r="H3502">
            <v>48096</v>
          </cell>
          <cell r="I3502" t="str">
            <v>19 years, 11 months, 30 days</v>
          </cell>
          <cell r="J3502" t="str">
            <v>Renewables</v>
          </cell>
          <cell r="K3502" t="str">
            <v>Solar</v>
          </cell>
          <cell r="L3502" t="str">
            <v>Solar</v>
          </cell>
          <cell r="M3502" t="str">
            <v>Dx</v>
          </cell>
          <cell r="N3502" t="str">
            <v>Sault Ste. Marie</v>
          </cell>
          <cell r="O3502" t="str">
            <v>Algoma</v>
          </cell>
          <cell r="P3502" t="str">
            <v>Northeast</v>
          </cell>
        </row>
        <row r="3503">
          <cell r="C3503" t="str">
            <v>PGG005</v>
          </cell>
          <cell r="D3503" t="str">
            <v>SSM2 Canada, L.P.</v>
          </cell>
          <cell r="E3503" t="str">
            <v>CO</v>
          </cell>
          <cell r="G3503">
            <v>40753</v>
          </cell>
          <cell r="H3503">
            <v>48057</v>
          </cell>
          <cell r="I3503" t="str">
            <v>19 years, 11 months, 29 days</v>
          </cell>
          <cell r="J3503" t="str">
            <v>Renewables</v>
          </cell>
          <cell r="K3503" t="str">
            <v>Solar</v>
          </cell>
          <cell r="L3503" t="str">
            <v>Solar</v>
          </cell>
          <cell r="M3503" t="str">
            <v>Dx</v>
          </cell>
          <cell r="N3503" t="str">
            <v>Sault Ste. Marie</v>
          </cell>
          <cell r="O3503" t="str">
            <v>Algoma</v>
          </cell>
          <cell r="P3503" t="str">
            <v>Northeast</v>
          </cell>
        </row>
        <row r="3504">
          <cell r="C3504" t="str">
            <v>PGG006</v>
          </cell>
          <cell r="D3504" t="str">
            <v>SSM3 Canada, L.P.</v>
          </cell>
          <cell r="E3504" t="str">
            <v>CO</v>
          </cell>
          <cell r="G3504">
            <v>40876</v>
          </cell>
          <cell r="H3504">
            <v>48180</v>
          </cell>
          <cell r="I3504" t="str">
            <v>19 years, 11 months, 30 days</v>
          </cell>
          <cell r="J3504" t="str">
            <v>Renewables</v>
          </cell>
          <cell r="K3504" t="str">
            <v>Solar</v>
          </cell>
          <cell r="L3504" t="str">
            <v>Solar</v>
          </cell>
          <cell r="M3504" t="str">
            <v>Dx</v>
          </cell>
          <cell r="N3504" t="str">
            <v>Sault Ste. Marie</v>
          </cell>
          <cell r="O3504" t="str">
            <v>Algoma</v>
          </cell>
          <cell r="P3504" t="str">
            <v>Northeast</v>
          </cell>
        </row>
        <row r="3505">
          <cell r="C3505" t="str">
            <v>WISE, 215 Winona</v>
          </cell>
          <cell r="D3505" t="str">
            <v>Christopher Perri and Ifigenia Rodopoulos</v>
          </cell>
          <cell r="E3505" t="str">
            <v>CO</v>
          </cell>
          <cell r="G3505">
            <v>39707</v>
          </cell>
          <cell r="H3505">
            <v>47011</v>
          </cell>
          <cell r="I3505" t="str">
            <v>19 years, 11 months, 30 days</v>
          </cell>
          <cell r="J3505" t="str">
            <v>Renewables</v>
          </cell>
          <cell r="K3505" t="str">
            <v>Solar</v>
          </cell>
          <cell r="L3505" t="str">
            <v>Solar</v>
          </cell>
          <cell r="M3505" t="str">
            <v>Dx</v>
          </cell>
          <cell r="N3505" t="str">
            <v>Toronto</v>
          </cell>
          <cell r="O3505" t="str">
            <v>Toronto</v>
          </cell>
          <cell r="P3505" t="str">
            <v>Toronto</v>
          </cell>
        </row>
        <row r="3506">
          <cell r="C3506" t="str">
            <v>Coates Solar Grid-Tie</v>
          </cell>
          <cell r="D3506" t="str">
            <v>Ryan Smith</v>
          </cell>
          <cell r="E3506" t="str">
            <v>CO</v>
          </cell>
          <cell r="G3506">
            <v>39636</v>
          </cell>
          <cell r="H3506">
            <v>46940</v>
          </cell>
          <cell r="I3506" t="str">
            <v>19 years, 11 months, 29 days</v>
          </cell>
          <cell r="J3506" t="str">
            <v>Renewables</v>
          </cell>
          <cell r="K3506" t="str">
            <v>Solar</v>
          </cell>
          <cell r="L3506" t="str">
            <v>Solar</v>
          </cell>
          <cell r="M3506" t="str">
            <v>Dx</v>
          </cell>
          <cell r="N3506" t="str">
            <v>Guelph</v>
          </cell>
          <cell r="O3506" t="str">
            <v>Wellington</v>
          </cell>
          <cell r="P3506" t="str">
            <v>Southwest</v>
          </cell>
        </row>
        <row r="3507">
          <cell r="C3507" t="str">
            <v>Douglas New GS</v>
          </cell>
          <cell r="D3507" t="str">
            <v>Multistream Power Corporation</v>
          </cell>
          <cell r="E3507" t="str">
            <v>CO</v>
          </cell>
          <cell r="G3507">
            <v>40452</v>
          </cell>
          <cell r="H3507">
            <v>55061</v>
          </cell>
          <cell r="I3507" t="str">
            <v>39 years, 11 months, 29 days</v>
          </cell>
          <cell r="J3507" t="str">
            <v>Renewables</v>
          </cell>
          <cell r="K3507" t="str">
            <v>Run-of-River</v>
          </cell>
          <cell r="L3507" t="str">
            <v>Waterpower</v>
          </cell>
          <cell r="M3507" t="str">
            <v>Dx</v>
          </cell>
          <cell r="N3507" t="str">
            <v>Douglas</v>
          </cell>
          <cell r="O3507" t="str">
            <v>Renfrew</v>
          </cell>
          <cell r="P3507" t="str">
            <v>East</v>
          </cell>
        </row>
        <row r="3508">
          <cell r="C3508" t="str">
            <v>Sarnia Solar 6</v>
          </cell>
          <cell r="D3508" t="str">
            <v>Enbridge Renewable Energy Infrastructure LP</v>
          </cell>
          <cell r="E3508" t="str">
            <v>CO</v>
          </cell>
          <cell r="G3508">
            <v>40410</v>
          </cell>
          <cell r="H3508">
            <v>47714</v>
          </cell>
          <cell r="I3508" t="str">
            <v>19 years, 11 months, 30 days</v>
          </cell>
          <cell r="J3508" t="str">
            <v>Renewables</v>
          </cell>
          <cell r="K3508" t="str">
            <v>Solar</v>
          </cell>
          <cell r="L3508" t="str">
            <v>Solar</v>
          </cell>
          <cell r="M3508" t="str">
            <v>Dx</v>
          </cell>
          <cell r="N3508" t="str">
            <v>Sarnia</v>
          </cell>
          <cell r="O3508" t="str">
            <v>Lambton</v>
          </cell>
          <cell r="P3508" t="str">
            <v>West</v>
          </cell>
        </row>
        <row r="3509">
          <cell r="C3509" t="str">
            <v>Hydro One Brampton Commercial Solar</v>
          </cell>
          <cell r="D3509" t="str">
            <v>Hydro One Brampton</v>
          </cell>
          <cell r="E3509" t="str">
            <v>CO</v>
          </cell>
          <cell r="G3509">
            <v>39716</v>
          </cell>
          <cell r="H3509">
            <v>47269</v>
          </cell>
          <cell r="I3509" t="str">
            <v>20 years, 8 months, 6 days</v>
          </cell>
          <cell r="J3509" t="str">
            <v>Renewables</v>
          </cell>
          <cell r="K3509" t="str">
            <v>Solar</v>
          </cell>
          <cell r="L3509" t="str">
            <v>Solar</v>
          </cell>
          <cell r="M3509" t="str">
            <v>Dx</v>
          </cell>
          <cell r="N3509" t="str">
            <v>Brampton</v>
          </cell>
          <cell r="O3509" t="str">
            <v>Peel</v>
          </cell>
          <cell r="P3509" t="str">
            <v>Toronto</v>
          </cell>
        </row>
        <row r="3510">
          <cell r="C3510" t="str">
            <v>Napanee Solar Project</v>
          </cell>
          <cell r="D3510" t="str">
            <v>SunE Sandhurst LP</v>
          </cell>
          <cell r="E3510" t="str">
            <v>CO</v>
          </cell>
          <cell r="G3510">
            <v>41010</v>
          </cell>
          <cell r="H3510">
            <v>48314</v>
          </cell>
          <cell r="I3510" t="str">
            <v>19 years, 11 months, 30 days</v>
          </cell>
          <cell r="J3510" t="str">
            <v>Renewables</v>
          </cell>
          <cell r="K3510" t="str">
            <v>Solar</v>
          </cell>
          <cell r="L3510" t="str">
            <v>Solar</v>
          </cell>
          <cell r="M3510" t="str">
            <v>Dx</v>
          </cell>
          <cell r="N3510" t="str">
            <v>Bath</v>
          </cell>
          <cell r="O3510" t="str">
            <v>Lennox and Addington</v>
          </cell>
          <cell r="P3510" t="str">
            <v>East</v>
          </cell>
        </row>
        <row r="3511">
          <cell r="C3511" t="str">
            <v>Pinehedge Farms Bio-gas Project</v>
          </cell>
          <cell r="D3511" t="str">
            <v>Pinehedge Farms Inc.</v>
          </cell>
          <cell r="E3511" t="str">
            <v>CO</v>
          </cell>
          <cell r="G3511">
            <v>39484</v>
          </cell>
          <cell r="H3511">
            <v>47269</v>
          </cell>
          <cell r="I3511" t="str">
            <v>21 years, 3 months, 25 days</v>
          </cell>
          <cell r="J3511" t="str">
            <v>Renewables</v>
          </cell>
          <cell r="K3511" t="str">
            <v>Bioenergy</v>
          </cell>
          <cell r="L3511" t="str">
            <v>Biogas</v>
          </cell>
          <cell r="M3511" t="str">
            <v>Dx</v>
          </cell>
          <cell r="N3511" t="str">
            <v>St. Eugene</v>
          </cell>
          <cell r="O3511" t="str">
            <v>Prescott and Russell</v>
          </cell>
          <cell r="P3511" t="str">
            <v>Ottawa</v>
          </cell>
        </row>
        <row r="3512">
          <cell r="C3512" t="str">
            <v>Roblyn one</v>
          </cell>
          <cell r="D3512" t="str">
            <v>Mike Adam and Sarah Dart</v>
          </cell>
          <cell r="E3512" t="str">
            <v>CO</v>
          </cell>
          <cell r="G3512">
            <v>39407</v>
          </cell>
          <cell r="H3512">
            <v>46711</v>
          </cell>
          <cell r="I3512" t="str">
            <v>19 years, 11 months, 30 days</v>
          </cell>
          <cell r="J3512" t="str">
            <v>Renewables</v>
          </cell>
          <cell r="K3512" t="str">
            <v>Solar</v>
          </cell>
          <cell r="L3512" t="str">
            <v>Solar</v>
          </cell>
          <cell r="M3512" t="str">
            <v>Dx</v>
          </cell>
          <cell r="N3512" t="str">
            <v>Erinsville</v>
          </cell>
          <cell r="O3512" t="str">
            <v>Lennox and Addington</v>
          </cell>
          <cell r="P3512" t="str">
            <v>East</v>
          </cell>
        </row>
        <row r="3513">
          <cell r="C3513" t="str">
            <v>13th Sideroad</v>
          </cell>
          <cell r="D3513" t="str">
            <v>SunE Sky 13th Sideroad LP</v>
          </cell>
          <cell r="E3513" t="str">
            <v>CO</v>
          </cell>
          <cell r="G3513">
            <v>40497</v>
          </cell>
          <cell r="H3513">
            <v>47801</v>
          </cell>
          <cell r="I3513" t="str">
            <v>19 years, 11 months, 30 days</v>
          </cell>
          <cell r="J3513" t="str">
            <v>Renewables</v>
          </cell>
          <cell r="K3513" t="str">
            <v>Solar</v>
          </cell>
          <cell r="L3513" t="str">
            <v>Solar</v>
          </cell>
          <cell r="M3513" t="str">
            <v>Dx</v>
          </cell>
          <cell r="N3513" t="str">
            <v>Simcoe</v>
          </cell>
          <cell r="O3513" t="str">
            <v>Norfolk</v>
          </cell>
          <cell r="P3513" t="str">
            <v>Southwest</v>
          </cell>
        </row>
        <row r="3514">
          <cell r="C3514" t="str">
            <v>First Light 1</v>
          </cell>
          <cell r="D3514" t="str">
            <v>SunE Sky First Light LP</v>
          </cell>
          <cell r="E3514" t="str">
            <v>CO</v>
          </cell>
          <cell r="G3514">
            <v>40084</v>
          </cell>
          <cell r="H3514">
            <v>47388</v>
          </cell>
          <cell r="I3514" t="str">
            <v>19 years, 11 months, 30 days</v>
          </cell>
          <cell r="J3514" t="str">
            <v>Renewables</v>
          </cell>
          <cell r="K3514" t="str">
            <v>Solar</v>
          </cell>
          <cell r="L3514" t="str">
            <v>Solar</v>
          </cell>
          <cell r="M3514" t="str">
            <v>Dx</v>
          </cell>
          <cell r="N3514" t="str">
            <v>Napanee</v>
          </cell>
          <cell r="O3514" t="str">
            <v>Hastings</v>
          </cell>
          <cell r="P3514" t="str">
            <v>East</v>
          </cell>
        </row>
        <row r="3515">
          <cell r="C3515" t="str">
            <v>First Light 2</v>
          </cell>
          <cell r="D3515" t="str">
            <v>First Light 2 LP</v>
          </cell>
          <cell r="E3515" t="str">
            <v>CO</v>
          </cell>
          <cell r="G3515">
            <v>40904</v>
          </cell>
          <cell r="H3515">
            <v>48208</v>
          </cell>
          <cell r="I3515" t="str">
            <v>19 years, 11 months, 29 days</v>
          </cell>
          <cell r="J3515" t="str">
            <v>Renewables</v>
          </cell>
          <cell r="K3515" t="str">
            <v>Solar</v>
          </cell>
          <cell r="L3515" t="str">
            <v>Solar</v>
          </cell>
          <cell r="M3515" t="str">
            <v>Dx</v>
          </cell>
          <cell r="N3515" t="str">
            <v>Napanee</v>
          </cell>
          <cell r="O3515" t="str">
            <v>Hastings</v>
          </cell>
          <cell r="P3515" t="str">
            <v>East</v>
          </cell>
        </row>
        <row r="3516">
          <cell r="C3516" t="str">
            <v>Little Creek</v>
          </cell>
          <cell r="D3516" t="str">
            <v>Little Creek LP</v>
          </cell>
          <cell r="E3516" t="str">
            <v>CO</v>
          </cell>
          <cell r="G3516">
            <v>41717</v>
          </cell>
          <cell r="H3516">
            <v>49021</v>
          </cell>
          <cell r="I3516" t="str">
            <v>19 years, 11 months, 27 days</v>
          </cell>
          <cell r="J3516" t="str">
            <v>Renewables</v>
          </cell>
          <cell r="K3516" t="str">
            <v>Solar</v>
          </cell>
          <cell r="L3516" t="str">
            <v>Solar</v>
          </cell>
          <cell r="M3516" t="str">
            <v>Dx</v>
          </cell>
          <cell r="N3516" t="str">
            <v>Napanee</v>
          </cell>
          <cell r="O3516" t="str">
            <v>Hastings</v>
          </cell>
          <cell r="P3516" t="str">
            <v>East</v>
          </cell>
        </row>
        <row r="3517">
          <cell r="C3517" t="str">
            <v>St  Clair Solar 1</v>
          </cell>
          <cell r="D3517" t="str">
            <v>Moore Solar, LP</v>
          </cell>
          <cell r="E3517" t="str">
            <v>CO</v>
          </cell>
          <cell r="G3517">
            <v>40968</v>
          </cell>
          <cell r="H3517">
            <v>48272</v>
          </cell>
          <cell r="I3517" t="str">
            <v>19 years, 11 months, 30 days</v>
          </cell>
          <cell r="J3517" t="str">
            <v>Renewables</v>
          </cell>
          <cell r="K3517" t="str">
            <v>Solar</v>
          </cell>
          <cell r="L3517" t="str">
            <v>Solar</v>
          </cell>
          <cell r="M3517" t="str">
            <v>Dx</v>
          </cell>
          <cell r="N3517" t="str">
            <v>Mooretown</v>
          </cell>
          <cell r="O3517" t="str">
            <v>Lambton</v>
          </cell>
          <cell r="P3517" t="str">
            <v>West</v>
          </cell>
        </row>
        <row r="3518">
          <cell r="C3518" t="str">
            <v>St Clair Solar 2</v>
          </cell>
          <cell r="D3518" t="str">
            <v>Moore Solar, LP</v>
          </cell>
          <cell r="E3518" t="str">
            <v>CO</v>
          </cell>
          <cell r="G3518">
            <v>40968</v>
          </cell>
          <cell r="H3518">
            <v>48272</v>
          </cell>
          <cell r="I3518" t="str">
            <v>19 years, 11 months, 30 days</v>
          </cell>
          <cell r="J3518" t="str">
            <v>Renewables</v>
          </cell>
          <cell r="K3518" t="str">
            <v>Solar</v>
          </cell>
          <cell r="L3518" t="str">
            <v>Solar</v>
          </cell>
          <cell r="M3518" t="str">
            <v>Dx</v>
          </cell>
          <cell r="N3518" t="str">
            <v>Mooretown</v>
          </cell>
          <cell r="O3518" t="str">
            <v>Lambton</v>
          </cell>
          <cell r="P3518" t="str">
            <v>West</v>
          </cell>
        </row>
        <row r="3519">
          <cell r="C3519" t="str">
            <v>Amherstburg Solar 1</v>
          </cell>
          <cell r="D3519" t="str">
            <v>ABW Solar General Partnership</v>
          </cell>
          <cell r="E3519" t="str">
            <v>CO</v>
          </cell>
          <cell r="G3519">
            <v>41368</v>
          </cell>
          <cell r="H3519">
            <v>48672</v>
          </cell>
          <cell r="I3519" t="str">
            <v>19 years, 11 months, 30 days</v>
          </cell>
          <cell r="J3519" t="str">
            <v>Renewables</v>
          </cell>
          <cell r="K3519" t="str">
            <v>Solar</v>
          </cell>
          <cell r="L3519" t="str">
            <v>Solar</v>
          </cell>
          <cell r="M3519" t="str">
            <v>Dx</v>
          </cell>
          <cell r="N3519" t="str">
            <v>Amherstburg</v>
          </cell>
          <cell r="O3519" t="str">
            <v>Essex</v>
          </cell>
          <cell r="P3519" t="str">
            <v>West</v>
          </cell>
        </row>
        <row r="3520">
          <cell r="C3520" t="str">
            <v>Amherstburg 3</v>
          </cell>
          <cell r="D3520" t="str">
            <v>Project AMBG2 LP</v>
          </cell>
          <cell r="E3520" t="str">
            <v>CO</v>
          </cell>
          <cell r="G3520">
            <v>40770</v>
          </cell>
          <cell r="H3520">
            <v>48074</v>
          </cell>
          <cell r="I3520" t="str">
            <v>19 years, 11 months, 30 days</v>
          </cell>
          <cell r="J3520" t="str">
            <v>Renewables</v>
          </cell>
          <cell r="K3520" t="str">
            <v>Solar</v>
          </cell>
          <cell r="L3520" t="str">
            <v>Solar</v>
          </cell>
          <cell r="M3520" t="str">
            <v>Dx</v>
          </cell>
          <cell r="N3520" t="str">
            <v>Amherstburg</v>
          </cell>
          <cell r="O3520" t="str">
            <v>Essex</v>
          </cell>
          <cell r="P3520" t="str">
            <v>West</v>
          </cell>
        </row>
        <row r="3521">
          <cell r="C3521" t="str">
            <v>Amherstburg 4</v>
          </cell>
          <cell r="D3521" t="str">
            <v>Project AMBG2 LP</v>
          </cell>
          <cell r="E3521" t="str">
            <v>CO</v>
          </cell>
          <cell r="G3521">
            <v>40770</v>
          </cell>
          <cell r="H3521">
            <v>48074</v>
          </cell>
          <cell r="I3521" t="str">
            <v>19 years, 11 months, 30 days</v>
          </cell>
          <cell r="J3521" t="str">
            <v>Renewables</v>
          </cell>
          <cell r="K3521" t="str">
            <v>Solar</v>
          </cell>
          <cell r="L3521" t="str">
            <v>Solar</v>
          </cell>
          <cell r="M3521" t="str">
            <v>Dx</v>
          </cell>
          <cell r="N3521" t="str">
            <v>Amherstburg</v>
          </cell>
          <cell r="O3521" t="str">
            <v>Essex</v>
          </cell>
          <cell r="P3521" t="str">
            <v>West</v>
          </cell>
        </row>
        <row r="3522">
          <cell r="C3522" t="str">
            <v>Amherstburg 1</v>
          </cell>
          <cell r="D3522" t="str">
            <v>Helios Solar Star A-1 Partnership</v>
          </cell>
          <cell r="E3522" t="str">
            <v>CO</v>
          </cell>
          <cell r="G3522">
            <v>40724</v>
          </cell>
          <cell r="H3522">
            <v>48028</v>
          </cell>
          <cell r="I3522" t="str">
            <v>19 years, 11 months, 30 days</v>
          </cell>
          <cell r="J3522" t="str">
            <v>Renewables</v>
          </cell>
          <cell r="K3522" t="str">
            <v>Solar</v>
          </cell>
          <cell r="L3522" t="str">
            <v>Solar</v>
          </cell>
          <cell r="M3522" t="str">
            <v>Dx</v>
          </cell>
          <cell r="N3522" t="str">
            <v>Amherstburg</v>
          </cell>
          <cell r="O3522" t="str">
            <v>Essex</v>
          </cell>
          <cell r="P3522" t="str">
            <v>West</v>
          </cell>
        </row>
        <row r="3523">
          <cell r="C3523" t="str">
            <v>Harrow I Wind Farm</v>
          </cell>
          <cell r="D3523" t="str">
            <v>AIM Harrow Wind Farm LP</v>
          </cell>
          <cell r="E3523" t="str">
            <v>CO</v>
          </cell>
          <cell r="G3523">
            <v>40310</v>
          </cell>
          <cell r="H3523">
            <v>47614</v>
          </cell>
          <cell r="I3523" t="str">
            <v>19 years, 11 months, 29 days</v>
          </cell>
          <cell r="J3523" t="str">
            <v>Renewables</v>
          </cell>
          <cell r="K3523" t="str">
            <v>Wind (On-Shore)</v>
          </cell>
          <cell r="L3523" t="str">
            <v>Wind</v>
          </cell>
          <cell r="M3523" t="str">
            <v>Dx</v>
          </cell>
          <cell r="N3523" t="str">
            <v>Harrow</v>
          </cell>
          <cell r="O3523" t="str">
            <v>Essex</v>
          </cell>
          <cell r="P3523" t="str">
            <v>West</v>
          </cell>
        </row>
        <row r="3524">
          <cell r="C3524" t="str">
            <v>Harrow II Wind Farm</v>
          </cell>
          <cell r="D3524" t="str">
            <v>AIM Harrow Wind Farm LP</v>
          </cell>
          <cell r="E3524" t="str">
            <v>CO</v>
          </cell>
          <cell r="G3524">
            <v>40310</v>
          </cell>
          <cell r="H3524">
            <v>47614</v>
          </cell>
          <cell r="I3524" t="str">
            <v>19 years, 11 months, 29 days</v>
          </cell>
          <cell r="J3524" t="str">
            <v>Renewables</v>
          </cell>
          <cell r="K3524" t="str">
            <v>Wind (On-Shore)</v>
          </cell>
          <cell r="L3524" t="str">
            <v>Wind</v>
          </cell>
          <cell r="M3524" t="str">
            <v>Dx</v>
          </cell>
          <cell r="N3524" t="str">
            <v>Harrow</v>
          </cell>
          <cell r="O3524" t="str">
            <v>Essex</v>
          </cell>
          <cell r="P3524" t="str">
            <v>West</v>
          </cell>
        </row>
        <row r="3525">
          <cell r="C3525" t="str">
            <v>Harrow III Wind Farm</v>
          </cell>
          <cell r="D3525" t="str">
            <v>AIM Harrow Wind Farm LP</v>
          </cell>
          <cell r="E3525" t="str">
            <v>CO</v>
          </cell>
          <cell r="G3525">
            <v>40312</v>
          </cell>
          <cell r="H3525">
            <v>47616</v>
          </cell>
          <cell r="I3525" t="str">
            <v>19 years, 11 months, 29 days</v>
          </cell>
          <cell r="J3525" t="str">
            <v>Renewables</v>
          </cell>
          <cell r="K3525" t="str">
            <v>Wind (On-Shore)</v>
          </cell>
          <cell r="L3525" t="str">
            <v>Wind</v>
          </cell>
          <cell r="M3525" t="str">
            <v>Dx</v>
          </cell>
          <cell r="N3525" t="str">
            <v>Harrow</v>
          </cell>
          <cell r="O3525" t="str">
            <v>Essex</v>
          </cell>
          <cell r="P3525" t="str">
            <v>West</v>
          </cell>
        </row>
        <row r="3526">
          <cell r="C3526" t="str">
            <v>Harrow IV Wind Farm</v>
          </cell>
          <cell r="D3526" t="str">
            <v>AIM Harrow Wind Farm LP</v>
          </cell>
          <cell r="E3526" t="str">
            <v>CO</v>
          </cell>
          <cell r="G3526">
            <v>40319</v>
          </cell>
          <cell r="H3526">
            <v>47623</v>
          </cell>
          <cell r="I3526" t="str">
            <v>19 years, 11 months, 29 days</v>
          </cell>
          <cell r="J3526" t="str">
            <v>Renewables</v>
          </cell>
          <cell r="K3526" t="str">
            <v>Wind (On-Shore)</v>
          </cell>
          <cell r="L3526" t="str">
            <v>Wind</v>
          </cell>
          <cell r="M3526" t="str">
            <v>Dx</v>
          </cell>
          <cell r="N3526" t="str">
            <v>Harrow</v>
          </cell>
          <cell r="O3526" t="str">
            <v>Essex</v>
          </cell>
          <cell r="P3526" t="str">
            <v>West</v>
          </cell>
        </row>
        <row r="3527">
          <cell r="C3527" t="str">
            <v>Clear Creek II Wind Farm</v>
          </cell>
          <cell r="D3527" t="str">
            <v>AIM SOP Phase I LP</v>
          </cell>
          <cell r="E3527" t="str">
            <v>CO</v>
          </cell>
          <cell r="G3527">
            <v>39766</v>
          </cell>
          <cell r="H3527">
            <v>47238</v>
          </cell>
          <cell r="I3527" t="str">
            <v>20 years, 5 months, 16 days</v>
          </cell>
          <cell r="J3527" t="str">
            <v>Renewables</v>
          </cell>
          <cell r="K3527" t="str">
            <v>Wind (On-Shore)</v>
          </cell>
          <cell r="L3527" t="str">
            <v>Wind</v>
          </cell>
          <cell r="M3527" t="str">
            <v>Dx</v>
          </cell>
          <cell r="N3527" t="str">
            <v>Clear Creek</v>
          </cell>
          <cell r="O3527" t="str">
            <v>Norfolk</v>
          </cell>
          <cell r="P3527" t="str">
            <v>Southwest</v>
          </cell>
        </row>
        <row r="3528">
          <cell r="C3528" t="str">
            <v>MacLeod Windmill</v>
          </cell>
          <cell r="D3528" t="str">
            <v>TA Kent Breeze L.P.</v>
          </cell>
          <cell r="E3528" t="str">
            <v>CO</v>
          </cell>
          <cell r="G3528">
            <v>40675</v>
          </cell>
          <cell r="H3528">
            <v>47979</v>
          </cell>
          <cell r="I3528" t="str">
            <v>19 years, 11 months, 29 days</v>
          </cell>
          <cell r="J3528" t="str">
            <v>Renewables</v>
          </cell>
          <cell r="K3528" t="str">
            <v>Wind (On-Shore)</v>
          </cell>
          <cell r="L3528" t="str">
            <v>Wind</v>
          </cell>
          <cell r="M3528" t="str">
            <v>Dx</v>
          </cell>
          <cell r="N3528" t="str">
            <v>Thamesville</v>
          </cell>
          <cell r="O3528" t="str">
            <v>Chatham-Kent</v>
          </cell>
          <cell r="P3528" t="str">
            <v>West</v>
          </cell>
        </row>
        <row r="3529">
          <cell r="C3529" t="str">
            <v>North Bay City Hall Solar PV Project</v>
          </cell>
          <cell r="D3529" t="str">
            <v>Corporation of the City of North Bay</v>
          </cell>
          <cell r="E3529" t="str">
            <v>CO</v>
          </cell>
          <cell r="G3529">
            <v>39569</v>
          </cell>
          <cell r="H3529">
            <v>46873</v>
          </cell>
          <cell r="I3529" t="str">
            <v>19 years, 11 months, 29 days</v>
          </cell>
          <cell r="J3529" t="str">
            <v>Renewables</v>
          </cell>
          <cell r="K3529" t="str">
            <v>Solar</v>
          </cell>
          <cell r="L3529" t="str">
            <v>Solar</v>
          </cell>
          <cell r="M3529" t="str">
            <v>Dx</v>
          </cell>
          <cell r="N3529" t="str">
            <v>North Bay</v>
          </cell>
          <cell r="O3529" t="str">
            <v>Nipissing</v>
          </cell>
          <cell r="P3529" t="str">
            <v>Northeast</v>
          </cell>
        </row>
        <row r="3530">
          <cell r="C3530" t="str">
            <v>Parkers Corners' Solar Farm</v>
          </cell>
          <cell r="D3530" t="str">
            <v>Axium Solar St. Isidore A Limited Partnership</v>
          </cell>
          <cell r="E3530" t="str">
            <v>CO</v>
          </cell>
          <cell r="G3530">
            <v>40534</v>
          </cell>
          <cell r="H3530">
            <v>47838</v>
          </cell>
          <cell r="I3530" t="str">
            <v>19 years, 11 months, 29 days</v>
          </cell>
          <cell r="J3530" t="str">
            <v>Renewables</v>
          </cell>
          <cell r="K3530" t="str">
            <v>Solar</v>
          </cell>
          <cell r="L3530" t="str">
            <v>Solar</v>
          </cell>
          <cell r="M3530" t="str">
            <v>Dx</v>
          </cell>
          <cell r="N3530" t="str">
            <v>St. Isidore</v>
          </cell>
          <cell r="O3530" t="str">
            <v>Prescott and Russell</v>
          </cell>
          <cell r="P3530" t="str">
            <v>Ottawa</v>
          </cell>
        </row>
        <row r="3531">
          <cell r="C3531" t="str">
            <v>St. Isidore Solar Farm</v>
          </cell>
          <cell r="D3531" t="str">
            <v>Axium Solar St. Isidore B Limited Partnership</v>
          </cell>
          <cell r="E3531" t="str">
            <v>CO</v>
          </cell>
          <cell r="G3531">
            <v>40875</v>
          </cell>
          <cell r="H3531">
            <v>48179</v>
          </cell>
          <cell r="I3531" t="str">
            <v>19 years, 11 months, 30 days</v>
          </cell>
          <cell r="J3531" t="str">
            <v>Renewables</v>
          </cell>
          <cell r="K3531" t="str">
            <v>Solar</v>
          </cell>
          <cell r="L3531" t="str">
            <v>Solar</v>
          </cell>
          <cell r="M3531" t="str">
            <v>Dx</v>
          </cell>
          <cell r="N3531" t="str">
            <v>St. Isidore</v>
          </cell>
          <cell r="O3531" t="str">
            <v>Prescott and Russell</v>
          </cell>
          <cell r="P3531" t="str">
            <v>Ottawa</v>
          </cell>
        </row>
        <row r="3532">
          <cell r="C3532" t="str">
            <v>St Clair Solar 3</v>
          </cell>
          <cell r="D3532" t="str">
            <v>Sombra Solar, LP</v>
          </cell>
          <cell r="E3532" t="str">
            <v>CO</v>
          </cell>
          <cell r="G3532">
            <v>40968</v>
          </cell>
          <cell r="H3532">
            <v>48272</v>
          </cell>
          <cell r="I3532" t="str">
            <v>19 years, 11 months, 30 days</v>
          </cell>
          <cell r="J3532" t="str">
            <v>Renewables</v>
          </cell>
          <cell r="K3532" t="str">
            <v>Solar</v>
          </cell>
          <cell r="L3532" t="str">
            <v>Solar</v>
          </cell>
          <cell r="M3532" t="str">
            <v>Dx</v>
          </cell>
          <cell r="N3532" t="str">
            <v>Sombra</v>
          </cell>
          <cell r="O3532" t="str">
            <v>Lambton</v>
          </cell>
          <cell r="P3532" t="str">
            <v>West</v>
          </cell>
        </row>
        <row r="3533">
          <cell r="C3533" t="str">
            <v>St Clair Solar 4</v>
          </cell>
          <cell r="D3533" t="str">
            <v>Sombra Solar, LP</v>
          </cell>
          <cell r="E3533" t="str">
            <v>CO</v>
          </cell>
          <cell r="G3533">
            <v>40968</v>
          </cell>
          <cell r="H3533">
            <v>48272</v>
          </cell>
          <cell r="I3533" t="str">
            <v>19 years, 11 months, 30 days</v>
          </cell>
          <cell r="J3533" t="str">
            <v>Renewables</v>
          </cell>
          <cell r="K3533" t="str">
            <v>Solar</v>
          </cell>
          <cell r="L3533" t="str">
            <v>Solar</v>
          </cell>
          <cell r="M3533" t="str">
            <v>Dx</v>
          </cell>
          <cell r="N3533" t="str">
            <v>Sombra</v>
          </cell>
          <cell r="O3533" t="str">
            <v>Lambton</v>
          </cell>
          <cell r="P3533" t="str">
            <v>West</v>
          </cell>
        </row>
        <row r="3534">
          <cell r="C3534" t="str">
            <v>Seacliff Energy Biogas System</v>
          </cell>
          <cell r="D3534" t="str">
            <v>Seacliff Renewables LP</v>
          </cell>
          <cell r="E3534" t="str">
            <v>CO</v>
          </cell>
          <cell r="G3534">
            <v>40557</v>
          </cell>
          <cell r="H3534">
            <v>47861</v>
          </cell>
          <cell r="I3534" t="str">
            <v>19 years, 11 months, 30 days</v>
          </cell>
          <cell r="J3534" t="str">
            <v>Renewables</v>
          </cell>
          <cell r="K3534" t="str">
            <v>Bioenergy</v>
          </cell>
          <cell r="L3534" t="str">
            <v>Biogas</v>
          </cell>
          <cell r="M3534" t="str">
            <v>Dx</v>
          </cell>
          <cell r="N3534" t="str">
            <v>Leamington</v>
          </cell>
          <cell r="O3534" t="str">
            <v>Essex</v>
          </cell>
          <cell r="P3534" t="str">
            <v>West</v>
          </cell>
        </row>
        <row r="3535">
          <cell r="C3535" t="str">
            <v>Scotch Bush Solar Farm</v>
          </cell>
          <cell r="D3535" t="str">
            <v>Whitewater Solar Investment Corp.</v>
          </cell>
          <cell r="E3535" t="str">
            <v>CO</v>
          </cell>
          <cell r="G3535">
            <v>40907</v>
          </cell>
          <cell r="H3535">
            <v>48211</v>
          </cell>
          <cell r="I3535" t="str">
            <v>19 years, 11 months, 29 days</v>
          </cell>
          <cell r="J3535" t="str">
            <v>Renewables</v>
          </cell>
          <cell r="K3535" t="str">
            <v>Solar</v>
          </cell>
          <cell r="L3535" t="str">
            <v>Solar</v>
          </cell>
          <cell r="M3535" t="str">
            <v>Dx</v>
          </cell>
          <cell r="N3535" t="str">
            <v>Beachburg</v>
          </cell>
          <cell r="O3535" t="str">
            <v>Renfrew</v>
          </cell>
          <cell r="P3535" t="str">
            <v>East</v>
          </cell>
        </row>
        <row r="3536">
          <cell r="C3536" t="str">
            <v>Stardale SolarPark 3</v>
          </cell>
          <cell r="D3536" t="str">
            <v>Stardale Solar LP</v>
          </cell>
          <cell r="E3536" t="str">
            <v>CO</v>
          </cell>
          <cell r="G3536">
            <v>41044</v>
          </cell>
          <cell r="H3536">
            <v>48348</v>
          </cell>
          <cell r="I3536" t="str">
            <v>19 years, 11 months, 29 days</v>
          </cell>
          <cell r="J3536" t="str">
            <v>Renewables</v>
          </cell>
          <cell r="K3536" t="str">
            <v>Solar</v>
          </cell>
          <cell r="L3536" t="str">
            <v>Solar</v>
          </cell>
          <cell r="M3536" t="str">
            <v>Dx</v>
          </cell>
          <cell r="N3536" t="str">
            <v>St. Eugene</v>
          </cell>
          <cell r="O3536" t="str">
            <v>Prescott and Russell</v>
          </cell>
          <cell r="P3536" t="str">
            <v>Ottawa</v>
          </cell>
        </row>
        <row r="3537">
          <cell r="C3537" t="str">
            <v>Amherstburg #2</v>
          </cell>
          <cell r="D3537" t="str">
            <v>Helios Solar Star A-1 Partnership</v>
          </cell>
          <cell r="E3537" t="str">
            <v>CO</v>
          </cell>
          <cell r="G3537">
            <v>40724</v>
          </cell>
          <cell r="H3537">
            <v>48028</v>
          </cell>
          <cell r="I3537" t="str">
            <v>19 years, 11 months, 30 days</v>
          </cell>
          <cell r="J3537" t="str">
            <v>Renewables</v>
          </cell>
          <cell r="K3537" t="str">
            <v>Solar</v>
          </cell>
          <cell r="L3537" t="str">
            <v>Solar</v>
          </cell>
          <cell r="M3537" t="str">
            <v>Dx</v>
          </cell>
          <cell r="N3537" t="str">
            <v>Amherstburg</v>
          </cell>
          <cell r="O3537" t="str">
            <v>Essex</v>
          </cell>
          <cell r="P3537" t="str">
            <v>West</v>
          </cell>
        </row>
        <row r="3538">
          <cell r="C3538" t="str">
            <v>Stardale Solar Park 2</v>
          </cell>
          <cell r="D3538" t="str">
            <v>Stardale Solar LP</v>
          </cell>
          <cell r="E3538" t="str">
            <v>CO</v>
          </cell>
          <cell r="G3538">
            <v>41044</v>
          </cell>
          <cell r="H3538">
            <v>48348</v>
          </cell>
          <cell r="I3538" t="str">
            <v>19 years, 11 months, 29 days</v>
          </cell>
          <cell r="J3538" t="str">
            <v>Renewables</v>
          </cell>
          <cell r="K3538" t="str">
            <v>Solar</v>
          </cell>
          <cell r="L3538" t="str">
            <v>Solar</v>
          </cell>
          <cell r="M3538" t="str">
            <v>Dx</v>
          </cell>
          <cell r="N3538" t="str">
            <v>St. Eugene</v>
          </cell>
          <cell r="O3538" t="str">
            <v>Prescott and Russell</v>
          </cell>
          <cell r="P3538" t="str">
            <v>Ottawa</v>
          </cell>
        </row>
        <row r="3539">
          <cell r="C3539" t="str">
            <v>CBM PV#1</v>
          </cell>
          <cell r="D3539" t="str">
            <v>CBM  Canadian Business Machines Ltd</v>
          </cell>
          <cell r="E3539" t="str">
            <v>CO</v>
          </cell>
          <cell r="G3539">
            <v>39782</v>
          </cell>
          <cell r="H3539">
            <v>47086</v>
          </cell>
          <cell r="I3539" t="str">
            <v>19 years, 11 months, 30 days</v>
          </cell>
          <cell r="J3539" t="str">
            <v>Renewables</v>
          </cell>
          <cell r="K3539" t="str">
            <v>Solar</v>
          </cell>
          <cell r="L3539" t="str">
            <v>Solar</v>
          </cell>
          <cell r="M3539" t="str">
            <v>Dx</v>
          </cell>
          <cell r="N3539" t="str">
            <v>Milton</v>
          </cell>
          <cell r="O3539" t="str">
            <v>Halton</v>
          </cell>
          <cell r="P3539" t="str">
            <v>Southwest</v>
          </cell>
        </row>
        <row r="3540">
          <cell r="C3540" t="str">
            <v>Stardale SolarPark 1</v>
          </cell>
          <cell r="D3540" t="str">
            <v>Stardale Solar LP</v>
          </cell>
          <cell r="E3540" t="str">
            <v>CO</v>
          </cell>
          <cell r="G3540">
            <v>41044</v>
          </cell>
          <cell r="H3540">
            <v>48348</v>
          </cell>
          <cell r="I3540" t="str">
            <v>19 years, 11 months, 29 days</v>
          </cell>
          <cell r="J3540" t="str">
            <v>Renewables</v>
          </cell>
          <cell r="K3540" t="str">
            <v>Solar</v>
          </cell>
          <cell r="L3540" t="str">
            <v>Solar</v>
          </cell>
          <cell r="M3540" t="str">
            <v>Dx</v>
          </cell>
          <cell r="N3540" t="str">
            <v>St. Eugene</v>
          </cell>
          <cell r="O3540" t="str">
            <v>Prescott and Russell</v>
          </cell>
          <cell r="P3540" t="str">
            <v>Ottawa</v>
          </cell>
        </row>
        <row r="3541">
          <cell r="C3541" t="str">
            <v>Walpole Solar 2</v>
          </cell>
          <cell r="D3541" t="str">
            <v>ABW Solar General Partnership</v>
          </cell>
          <cell r="E3541" t="str">
            <v>CO</v>
          </cell>
          <cell r="G3541">
            <v>41327</v>
          </cell>
          <cell r="H3541">
            <v>48631</v>
          </cell>
          <cell r="I3541" t="str">
            <v>19 years, 11 months, 30 days</v>
          </cell>
          <cell r="J3541" t="str">
            <v>Renewables</v>
          </cell>
          <cell r="K3541" t="str">
            <v>Solar</v>
          </cell>
          <cell r="L3541" t="str">
            <v>Solar</v>
          </cell>
          <cell r="M3541" t="str">
            <v>Dx</v>
          </cell>
          <cell r="N3541" t="str">
            <v>Hagersville</v>
          </cell>
          <cell r="O3541" t="str">
            <v>Haldimand</v>
          </cell>
          <cell r="P3541" t="str">
            <v>Southwest</v>
          </cell>
        </row>
        <row r="3542">
          <cell r="C3542" t="str">
            <v>Vandermeer Greenhouses Biogas System</v>
          </cell>
          <cell r="D3542" t="str">
            <v>2507626 Ontario Inc.</v>
          </cell>
          <cell r="E3542" t="str">
            <v>CO</v>
          </cell>
          <cell r="G3542">
            <v>39930</v>
          </cell>
          <cell r="H3542">
            <v>47634</v>
          </cell>
          <cell r="I3542" t="str">
            <v>21 years, 1 months, 4 days</v>
          </cell>
          <cell r="J3542" t="str">
            <v>Renewables</v>
          </cell>
          <cell r="K3542" t="str">
            <v>Bioenergy</v>
          </cell>
          <cell r="L3542" t="str">
            <v>Biogas</v>
          </cell>
          <cell r="M3542" t="str">
            <v>Dx</v>
          </cell>
          <cell r="N3542" t="str">
            <v>Niagara-on-the-Lake</v>
          </cell>
          <cell r="O3542" t="str">
            <v>Niagara</v>
          </cell>
          <cell r="P3542" t="str">
            <v>Niagara</v>
          </cell>
        </row>
        <row r="3543">
          <cell r="C3543" t="str">
            <v>Smith Falls A</v>
          </cell>
          <cell r="D3543" t="str">
            <v>Axium Solar Elmsley East Limited Partnership</v>
          </cell>
          <cell r="E3543" t="str">
            <v>CO</v>
          </cell>
          <cell r="G3543">
            <v>40536</v>
          </cell>
          <cell r="H3543">
            <v>47840</v>
          </cell>
          <cell r="I3543" t="str">
            <v>19 years, 11 months, 29 days</v>
          </cell>
          <cell r="J3543" t="str">
            <v>Renewables</v>
          </cell>
          <cell r="K3543" t="str">
            <v>Solar</v>
          </cell>
          <cell r="L3543" t="str">
            <v>Solar</v>
          </cell>
          <cell r="M3543" t="str">
            <v>Dx</v>
          </cell>
          <cell r="N3543" t="str">
            <v>Smiths Falls</v>
          </cell>
          <cell r="O3543" t="str">
            <v>Lanark</v>
          </cell>
          <cell r="P3543" t="str">
            <v>East</v>
          </cell>
        </row>
        <row r="3544">
          <cell r="C3544" t="str">
            <v>Smith Falls B</v>
          </cell>
          <cell r="D3544" t="str">
            <v>Axium Solar Elmsley West Limited Partnership</v>
          </cell>
          <cell r="E3544" t="str">
            <v>CO</v>
          </cell>
          <cell r="G3544">
            <v>40570</v>
          </cell>
          <cell r="H3544">
            <v>47874</v>
          </cell>
          <cell r="I3544" t="str">
            <v>19 years, 11 months, 30 days</v>
          </cell>
          <cell r="J3544" t="str">
            <v>Renewables</v>
          </cell>
          <cell r="K3544" t="str">
            <v>Solar</v>
          </cell>
          <cell r="L3544" t="str">
            <v>Solar</v>
          </cell>
          <cell r="M3544" t="str">
            <v>Dx</v>
          </cell>
          <cell r="N3544" t="str">
            <v>Smiths Falls</v>
          </cell>
          <cell r="O3544" t="str">
            <v>Lanark</v>
          </cell>
          <cell r="P3544" t="str">
            <v>East</v>
          </cell>
        </row>
        <row r="3545">
          <cell r="C3545" t="str">
            <v>Harris GTPV</v>
          </cell>
          <cell r="D3545" t="str">
            <v>Bill and Penny Harris</v>
          </cell>
          <cell r="E3545" t="str">
            <v>CO</v>
          </cell>
          <cell r="G3545">
            <v>39661</v>
          </cell>
          <cell r="H3545">
            <v>46965</v>
          </cell>
          <cell r="I3545" t="str">
            <v>19 years, 11 months, 30 days</v>
          </cell>
          <cell r="J3545" t="str">
            <v>Renewables</v>
          </cell>
          <cell r="K3545" t="str">
            <v>Solar</v>
          </cell>
          <cell r="L3545" t="str">
            <v>Solar</v>
          </cell>
          <cell r="M3545" t="str">
            <v>Dx</v>
          </cell>
          <cell r="N3545" t="str">
            <v>Port Hope</v>
          </cell>
          <cell r="O3545" t="str">
            <v>Northumberland</v>
          </cell>
          <cell r="P3545" t="str">
            <v>East</v>
          </cell>
        </row>
        <row r="3546">
          <cell r="C3546" t="str">
            <v>GS-1</v>
          </cell>
          <cell r="D3546" t="str">
            <v>GS One - Parkway Solar Farm LP</v>
          </cell>
          <cell r="E3546" t="str">
            <v>CO</v>
          </cell>
          <cell r="G3546">
            <v>40996</v>
          </cell>
          <cell r="H3546">
            <v>48300</v>
          </cell>
          <cell r="I3546" t="str">
            <v>19 years, 11 months, 28 days</v>
          </cell>
          <cell r="J3546" t="str">
            <v>Renewables</v>
          </cell>
          <cell r="K3546" t="str">
            <v>Solar</v>
          </cell>
          <cell r="L3546" t="str">
            <v>Solar</v>
          </cell>
          <cell r="M3546" t="str">
            <v>Dx</v>
          </cell>
          <cell r="N3546" t="str">
            <v>Edwards</v>
          </cell>
          <cell r="O3546" t="str">
            <v>Ottawa</v>
          </cell>
        </row>
        <row r="3547">
          <cell r="C3547" t="str">
            <v>Gesner Wind Farm</v>
          </cell>
          <cell r="D3547" t="str">
            <v>Gesner Wind Farm LP</v>
          </cell>
          <cell r="E3547" t="str">
            <v>CO</v>
          </cell>
          <cell r="G3547">
            <v>41297</v>
          </cell>
          <cell r="H3547">
            <v>48601</v>
          </cell>
          <cell r="I3547" t="str">
            <v>19 years, 11 months, 30 days</v>
          </cell>
          <cell r="J3547" t="str">
            <v>Renewables</v>
          </cell>
          <cell r="K3547" t="str">
            <v>Wind (On-Shore)</v>
          </cell>
          <cell r="L3547" t="str">
            <v>Wind</v>
          </cell>
          <cell r="M3547" t="str">
            <v>Dx</v>
          </cell>
          <cell r="N3547" t="str">
            <v>Muirkirk</v>
          </cell>
          <cell r="O3547" t="str">
            <v>Chatham-Kent</v>
          </cell>
        </row>
        <row r="3548">
          <cell r="C3548" t="str">
            <v>Arnprior A</v>
          </cell>
          <cell r="D3548" t="str">
            <v>EDF EN Canada Solar Arnprior A Limited Partnership</v>
          </cell>
          <cell r="E3548" t="str">
            <v>CO</v>
          </cell>
          <cell r="G3548">
            <v>40198</v>
          </cell>
          <cell r="H3548">
            <v>47502</v>
          </cell>
          <cell r="I3548" t="str">
            <v>19 years, 11 months, 30 days</v>
          </cell>
          <cell r="J3548" t="str">
            <v>Renewables</v>
          </cell>
          <cell r="K3548" t="str">
            <v>Solar</v>
          </cell>
          <cell r="L3548" t="str">
            <v>Solar</v>
          </cell>
          <cell r="M3548" t="str">
            <v>Dx</v>
          </cell>
          <cell r="N3548" t="str">
            <v>Arnprior</v>
          </cell>
          <cell r="O3548" t="str">
            <v>Renfrew</v>
          </cell>
        </row>
        <row r="3549">
          <cell r="C3549" t="str">
            <v>Arnprior B</v>
          </cell>
          <cell r="D3549" t="str">
            <v>EDF EN Canada Solar Arnprior B Limited Partnership</v>
          </cell>
          <cell r="E3549" t="str">
            <v>CO</v>
          </cell>
          <cell r="G3549">
            <v>40177</v>
          </cell>
          <cell r="H3549">
            <v>47481</v>
          </cell>
          <cell r="I3549" t="str">
            <v>19 years, 11 months, 29 days</v>
          </cell>
          <cell r="J3549" t="str">
            <v>Renewables</v>
          </cell>
          <cell r="K3549" t="str">
            <v>Solar</v>
          </cell>
          <cell r="L3549" t="str">
            <v>Solar</v>
          </cell>
          <cell r="M3549" t="str">
            <v>Dx</v>
          </cell>
          <cell r="N3549" t="str">
            <v>Arnprior</v>
          </cell>
          <cell r="O3549" t="str">
            <v>Renfrew</v>
          </cell>
        </row>
        <row r="3550">
          <cell r="C3550" t="str">
            <v>First Light 3</v>
          </cell>
          <cell r="D3550" t="str">
            <v>Stone Mills Solar Park LP</v>
          </cell>
          <cell r="E3550" t="str">
            <v>CO</v>
          </cell>
          <cell r="G3550">
            <v>41138</v>
          </cell>
          <cell r="H3550">
            <v>48442</v>
          </cell>
          <cell r="I3550" t="str">
            <v>19 years, 11 months, 30 days</v>
          </cell>
          <cell r="J3550" t="str">
            <v>Renewables</v>
          </cell>
          <cell r="K3550" t="str">
            <v>Solar</v>
          </cell>
          <cell r="L3550" t="str">
            <v>Solar</v>
          </cell>
          <cell r="M3550" t="str">
            <v>Dx</v>
          </cell>
          <cell r="N3550" t="str">
            <v>Napanee</v>
          </cell>
          <cell r="O3550" t="str">
            <v>Hastings</v>
          </cell>
        </row>
        <row r="3551">
          <cell r="C3551" t="str">
            <v>Erie Ridge</v>
          </cell>
          <cell r="D3551" t="str">
            <v>SunE Sky Erie Ridge LP</v>
          </cell>
          <cell r="E3551" t="str">
            <v>CO</v>
          </cell>
          <cell r="G3551">
            <v>40739</v>
          </cell>
          <cell r="H3551">
            <v>48043</v>
          </cell>
          <cell r="I3551" t="str">
            <v>19 years, 11 months, 29 days</v>
          </cell>
          <cell r="J3551" t="str">
            <v>Renewables</v>
          </cell>
          <cell r="K3551" t="str">
            <v>Solar</v>
          </cell>
          <cell r="L3551" t="str">
            <v>Solar</v>
          </cell>
          <cell r="M3551" t="str">
            <v>Dx</v>
          </cell>
          <cell r="N3551" t="str">
            <v>Ridgetown</v>
          </cell>
          <cell r="O3551" t="str">
            <v>Chatham-Kent</v>
          </cell>
        </row>
        <row r="3552">
          <cell r="C3552" t="str">
            <v>Craig Slattery</v>
          </cell>
          <cell r="D3552" t="str">
            <v>Craig Slattery</v>
          </cell>
          <cell r="E3552" t="str">
            <v>CO</v>
          </cell>
          <cell r="G3552">
            <v>39769</v>
          </cell>
          <cell r="H3552">
            <v>47073</v>
          </cell>
          <cell r="I3552" t="str">
            <v>19 years, 11 months, 30 days</v>
          </cell>
          <cell r="J3552" t="str">
            <v>Renewables</v>
          </cell>
          <cell r="K3552" t="str">
            <v>Solar</v>
          </cell>
          <cell r="L3552" t="str">
            <v>Solar</v>
          </cell>
          <cell r="M3552" t="str">
            <v>Dx</v>
          </cell>
          <cell r="N3552" t="str">
            <v>Oakville</v>
          </cell>
          <cell r="O3552" t="str">
            <v>Halton</v>
          </cell>
        </row>
        <row r="3553">
          <cell r="C3553" t="str">
            <v>RePeter Solar</v>
          </cell>
          <cell r="D3553" t="str">
            <v>Peter J Nelson</v>
          </cell>
          <cell r="E3553" t="str">
            <v>CO</v>
          </cell>
          <cell r="G3553">
            <v>39814</v>
          </cell>
          <cell r="H3553">
            <v>47118</v>
          </cell>
          <cell r="I3553" t="str">
            <v>19 years, 11 months, 30 days</v>
          </cell>
          <cell r="J3553" t="str">
            <v>Renewables</v>
          </cell>
          <cell r="K3553" t="str">
            <v>Solar</v>
          </cell>
          <cell r="L3553" t="str">
            <v>Solar</v>
          </cell>
          <cell r="M3553" t="str">
            <v>Dx</v>
          </cell>
          <cell r="N3553" t="str">
            <v>Perth</v>
          </cell>
          <cell r="O3553" t="str">
            <v>Lanark</v>
          </cell>
        </row>
        <row r="3554">
          <cell r="C3554" t="str">
            <v>Archetype House</v>
          </cell>
          <cell r="D3554" t="str">
            <v>Toronto Region Conservation Authority</v>
          </cell>
          <cell r="E3554" t="str">
            <v>CO</v>
          </cell>
          <cell r="G3554">
            <v>39924</v>
          </cell>
          <cell r="H3554">
            <v>47228</v>
          </cell>
          <cell r="I3554" t="str">
            <v>19 years, 11 months, 30 days</v>
          </cell>
          <cell r="J3554" t="str">
            <v>Renewables</v>
          </cell>
          <cell r="K3554" t="str">
            <v>Solar</v>
          </cell>
          <cell r="L3554" t="str">
            <v>Solar</v>
          </cell>
          <cell r="M3554" t="str">
            <v>Dx</v>
          </cell>
          <cell r="N3554" t="str">
            <v>Woodbridge</v>
          </cell>
          <cell r="O3554" t="str">
            <v>York</v>
          </cell>
        </row>
        <row r="3555">
          <cell r="C3555" t="str">
            <v>H Kruger</v>
          </cell>
          <cell r="D3555" t="str">
            <v>Helmut Kruger</v>
          </cell>
          <cell r="E3555" t="str">
            <v>CO</v>
          </cell>
          <cell r="G3555">
            <v>39832</v>
          </cell>
          <cell r="H3555">
            <v>47136</v>
          </cell>
          <cell r="I3555" t="str">
            <v>19 years, 11 months, 30 days</v>
          </cell>
          <cell r="J3555" t="str">
            <v>Renewables</v>
          </cell>
          <cell r="K3555" t="str">
            <v>Solar</v>
          </cell>
          <cell r="L3555" t="str">
            <v>Solar</v>
          </cell>
          <cell r="M3555" t="str">
            <v>Dx</v>
          </cell>
          <cell r="N3555" t="str">
            <v>King City</v>
          </cell>
          <cell r="O3555" t="str">
            <v>York</v>
          </cell>
        </row>
        <row r="3556">
          <cell r="C3556" t="str">
            <v>John Howard Society of Peterborough</v>
          </cell>
          <cell r="D3556" t="str">
            <v>John Howard Society of Peterborough</v>
          </cell>
          <cell r="E3556" t="str">
            <v>CO</v>
          </cell>
          <cell r="G3556">
            <v>39807</v>
          </cell>
          <cell r="H3556">
            <v>47111</v>
          </cell>
          <cell r="I3556" t="str">
            <v>19 years, 11 months, 29 days</v>
          </cell>
          <cell r="J3556" t="str">
            <v>Renewables</v>
          </cell>
          <cell r="K3556" t="str">
            <v>Solar</v>
          </cell>
          <cell r="L3556" t="str">
            <v>Solar</v>
          </cell>
          <cell r="M3556" t="str">
            <v>Dx</v>
          </cell>
          <cell r="N3556" t="str">
            <v>Peterborough</v>
          </cell>
          <cell r="O3556" t="str">
            <v>Peterborough</v>
          </cell>
        </row>
        <row r="3557">
          <cell r="C3557" t="str">
            <v>London Biogas</v>
          </cell>
          <cell r="D3557" t="str">
            <v>StormFisher Environmental Ltd.</v>
          </cell>
          <cell r="E3557" t="str">
            <v>CO</v>
          </cell>
          <cell r="G3557">
            <v>40908</v>
          </cell>
          <cell r="H3557">
            <v>48212</v>
          </cell>
          <cell r="I3557" t="str">
            <v>19 years, 11 months, 29 days</v>
          </cell>
          <cell r="J3557" t="str">
            <v>Renewables</v>
          </cell>
          <cell r="K3557" t="str">
            <v>Bioenergy</v>
          </cell>
          <cell r="L3557" t="str">
            <v>Biogas</v>
          </cell>
          <cell r="M3557" t="str">
            <v>Dx</v>
          </cell>
          <cell r="N3557" t="str">
            <v>London</v>
          </cell>
          <cell r="O3557" t="str">
            <v>Middlesex</v>
          </cell>
        </row>
        <row r="3558">
          <cell r="C3558" t="str">
            <v>Atlantic Ave. WPCP - Cogeneration</v>
          </cell>
          <cell r="D3558" t="str">
            <v>The Corporation of City of Thunder Bay</v>
          </cell>
          <cell r="E3558" t="str">
            <v>CO</v>
          </cell>
          <cell r="G3558">
            <v>41004</v>
          </cell>
          <cell r="H3558">
            <v>48308</v>
          </cell>
          <cell r="I3558" t="str">
            <v>19 years, 11 months, 30 days</v>
          </cell>
          <cell r="J3558" t="str">
            <v>Renewables</v>
          </cell>
          <cell r="K3558" t="str">
            <v>Bioenergy</v>
          </cell>
          <cell r="L3558" t="str">
            <v>Biogas</v>
          </cell>
          <cell r="M3558" t="str">
            <v>Dx</v>
          </cell>
          <cell r="N3558" t="str">
            <v>Thunder Bay</v>
          </cell>
          <cell r="O3558" t="str">
            <v>Thunder Bay</v>
          </cell>
        </row>
        <row r="3559">
          <cell r="C3559" t="str">
            <v>Lock No.4 Powerhouse</v>
          </cell>
          <cell r="D3559" t="str">
            <v>The St. Lawrence Seaway Management Corporation</v>
          </cell>
          <cell r="E3559" t="str">
            <v>CO</v>
          </cell>
          <cell r="F3559">
            <v>45449</v>
          </cell>
          <cell r="G3559">
            <v>45449</v>
          </cell>
          <cell r="H3559">
            <v>52351</v>
          </cell>
          <cell r="I3559" t="str">
            <v>18 years, 10 months, 24 days</v>
          </cell>
          <cell r="J3559" t="str">
            <v>Renewables</v>
          </cell>
          <cell r="K3559" t="str">
            <v>Run-of-River</v>
          </cell>
          <cell r="L3559" t="str">
            <v>Waterpower</v>
          </cell>
          <cell r="M3559" t="str">
            <v>Dx</v>
          </cell>
          <cell r="N3559" t="str">
            <v>St. Catharines</v>
          </cell>
          <cell r="O3559" t="str">
            <v>Niagara</v>
          </cell>
        </row>
        <row r="3560">
          <cell r="C3560" t="str">
            <v>Kuiper GS</v>
          </cell>
          <cell r="D3560" t="str">
            <v>Brenda P.I. Kuiper and Richard M. Kuiper</v>
          </cell>
          <cell r="E3560" t="str">
            <v>CO</v>
          </cell>
          <cell r="F3560">
            <v>45447</v>
          </cell>
          <cell r="G3560">
            <v>45447</v>
          </cell>
          <cell r="H3560">
            <v>52351</v>
          </cell>
          <cell r="I3560" t="str">
            <v>18 years, 10 months, 26 days</v>
          </cell>
          <cell r="J3560" t="str">
            <v>Renewables</v>
          </cell>
          <cell r="K3560" t="str">
            <v>Run-of-River</v>
          </cell>
          <cell r="L3560" t="str">
            <v>Waterpower</v>
          </cell>
          <cell r="M3560" t="str">
            <v>Dx</v>
          </cell>
          <cell r="N3560" t="str">
            <v>Carlisle</v>
          </cell>
          <cell r="O3560" t="str">
            <v>Hamilton</v>
          </cell>
        </row>
        <row r="3561">
          <cell r="C3561" t="str">
            <v>Charlton G.S.</v>
          </cell>
          <cell r="D3561" t="str">
            <v>Kagawong Power Incorporated</v>
          </cell>
          <cell r="E3561" t="str">
            <v>CO</v>
          </cell>
          <cell r="F3561">
            <v>45580</v>
          </cell>
          <cell r="G3561">
            <v>45580</v>
          </cell>
          <cell r="H3561">
            <v>52351</v>
          </cell>
          <cell r="I3561" t="str">
            <v>18 years, 6 months, 15 days</v>
          </cell>
          <cell r="J3561" t="str">
            <v>Renewables</v>
          </cell>
          <cell r="K3561" t="str">
            <v>Run-of-River</v>
          </cell>
          <cell r="L3561" t="str">
            <v>Waterpower</v>
          </cell>
          <cell r="M3561" t="str">
            <v>Dx</v>
          </cell>
          <cell r="N3561" t="str">
            <v>Charlton</v>
          </cell>
          <cell r="O3561" t="str">
            <v>Timiskaming</v>
          </cell>
        </row>
        <row r="3562">
          <cell r="C3562" t="str">
            <v>Twin Falls Generating Station</v>
          </cell>
          <cell r="D3562" t="str">
            <v>Twin Falls Limited Partnership</v>
          </cell>
          <cell r="E3562" t="str">
            <v>CO</v>
          </cell>
          <cell r="G3562">
            <v>45809</v>
          </cell>
          <cell r="H3562">
            <v>52351</v>
          </cell>
          <cell r="I3562" t="str">
            <v>17 years, 10 months, 29 days</v>
          </cell>
          <cell r="J3562" t="str">
            <v>Renewables</v>
          </cell>
          <cell r="K3562" t="str">
            <v>Run-of-River</v>
          </cell>
          <cell r="L3562" t="str">
            <v>Waterpower</v>
          </cell>
          <cell r="M3562" t="str">
            <v>Tx</v>
          </cell>
          <cell r="N3562" t="str">
            <v>Manitouwadge</v>
          </cell>
          <cell r="O3562" t="str">
            <v>Thunder Bay</v>
          </cell>
        </row>
        <row r="3563">
          <cell r="C3563" t="str">
            <v>McLeod Dam Hydro Facility</v>
          </cell>
          <cell r="D3563" t="str">
            <v>Quinte Conservation Association</v>
          </cell>
          <cell r="E3563" t="str">
            <v>CO</v>
          </cell>
          <cell r="G3563">
            <v>45918</v>
          </cell>
          <cell r="H3563">
            <v>52351</v>
          </cell>
          <cell r="I3563" t="str">
            <v>17 years, 7 months, 12 days</v>
          </cell>
          <cell r="J3563" t="str">
            <v>Renewables</v>
          </cell>
          <cell r="K3563" t="str">
            <v>Hydroelectric Dam</v>
          </cell>
          <cell r="L3563" t="str">
            <v>Waterpower</v>
          </cell>
          <cell r="M3563" t="str">
            <v>Dx</v>
          </cell>
          <cell r="N3563" t="str">
            <v>Belleville</v>
          </cell>
          <cell r="O3563" t="str">
            <v>Hastings</v>
          </cell>
        </row>
        <row r="3564">
          <cell r="C3564" t="str">
            <v>Smooth Rock Falls CGS</v>
          </cell>
          <cell r="D3564" t="str">
            <v>Gemini-SRF Power Corporation</v>
          </cell>
          <cell r="E3564" t="str">
            <v>CO</v>
          </cell>
          <cell r="G3564">
            <v>45974</v>
          </cell>
          <cell r="H3564">
            <v>52351</v>
          </cell>
          <cell r="I3564" t="str">
            <v>17 years, 5 months, 17 days</v>
          </cell>
          <cell r="J3564" t="str">
            <v>Renewables</v>
          </cell>
          <cell r="K3564" t="str">
            <v>Run-of-River</v>
          </cell>
          <cell r="L3564" t="str">
            <v>Waterpower</v>
          </cell>
          <cell r="M3564" t="str">
            <v>Tx</v>
          </cell>
          <cell r="N3564" t="str">
            <v>Smooth Rock Falls</v>
          </cell>
          <cell r="O3564" t="str">
            <v>Cochrane</v>
          </cell>
        </row>
        <row r="3565">
          <cell r="C3565" t="str">
            <v>Glen Miller Power L.P.</v>
          </cell>
          <cell r="D3565" t="str">
            <v>Glen Miller Power Limited Partnership</v>
          </cell>
          <cell r="E3565" t="str">
            <v>CO</v>
          </cell>
          <cell r="G3565">
            <v>45992</v>
          </cell>
          <cell r="H3565">
            <v>52351</v>
          </cell>
          <cell r="I3565" t="str">
            <v>17 years, 4 months, 29 days</v>
          </cell>
          <cell r="J3565" t="str">
            <v>Renewables</v>
          </cell>
          <cell r="K3565" t="str">
            <v>Run-of-River</v>
          </cell>
          <cell r="L3565" t="str">
            <v>Waterpower</v>
          </cell>
          <cell r="M3565" t="str">
            <v>Dx</v>
          </cell>
          <cell r="N3565" t="str">
            <v>Trenton</v>
          </cell>
          <cell r="O3565" t="str">
            <v>Hastings</v>
          </cell>
        </row>
        <row r="3566">
          <cell r="C3566" t="str">
            <v>Calm Lake CGS</v>
          </cell>
          <cell r="D3566" t="str">
            <v>H2O Power Limited Partnership, Watergen Canada Holdings Inc.</v>
          </cell>
          <cell r="E3566" t="str">
            <v>CO</v>
          </cell>
          <cell r="G3566">
            <v>45803</v>
          </cell>
          <cell r="H3566">
            <v>52351</v>
          </cell>
          <cell r="I3566" t="str">
            <v>17 years, 11 months, 4 days</v>
          </cell>
          <cell r="J3566" t="str">
            <v>Renewables</v>
          </cell>
          <cell r="K3566" t="str">
            <v>Run-of-River</v>
          </cell>
          <cell r="L3566" t="str">
            <v>Waterpower</v>
          </cell>
          <cell r="M3566" t="str">
            <v>Tx</v>
          </cell>
          <cell r="N3566" t="str">
            <v>Atikokan</v>
          </cell>
          <cell r="O3566" t="str">
            <v>Rainy River</v>
          </cell>
        </row>
        <row r="3567">
          <cell r="C3567" t="str">
            <v>Sturgeon Falls CGS</v>
          </cell>
          <cell r="D3567" t="str">
            <v>H2O Power Limited Partnership, Watergen Canada Holdings Inc.</v>
          </cell>
          <cell r="E3567" t="str">
            <v>CO</v>
          </cell>
          <cell r="G3567">
            <v>45803</v>
          </cell>
          <cell r="H3567">
            <v>52351</v>
          </cell>
          <cell r="I3567" t="str">
            <v>17 years, 11 months, 4 days</v>
          </cell>
          <cell r="J3567" t="str">
            <v>Renewables</v>
          </cell>
          <cell r="K3567" t="str">
            <v>Run-of-River</v>
          </cell>
          <cell r="L3567" t="str">
            <v>Waterpower</v>
          </cell>
          <cell r="M3567" t="str">
            <v>Tx</v>
          </cell>
          <cell r="N3567" t="str">
            <v>Atikokan</v>
          </cell>
          <cell r="O3567" t="str">
            <v>Rainy River</v>
          </cell>
        </row>
        <row r="3568">
          <cell r="C3568" t="str">
            <v>Kenora CGS</v>
          </cell>
          <cell r="D3568" t="str">
            <v>H2O Power Limited Partnership, Watergen Canada Holdings Inc.</v>
          </cell>
          <cell r="E3568" t="str">
            <v>CO</v>
          </cell>
          <cell r="G3568">
            <v>45803</v>
          </cell>
          <cell r="H3568">
            <v>52351</v>
          </cell>
          <cell r="I3568" t="str">
            <v>17 years, 11 months, 4 days</v>
          </cell>
          <cell r="J3568" t="str">
            <v>Renewables</v>
          </cell>
          <cell r="K3568" t="str">
            <v>Run-of-River</v>
          </cell>
          <cell r="L3568" t="str">
            <v>Waterpower</v>
          </cell>
          <cell r="M3568" t="str">
            <v>Tx</v>
          </cell>
          <cell r="N3568" t="str">
            <v>Kenora</v>
          </cell>
          <cell r="O3568" t="str">
            <v>Kenora</v>
          </cell>
        </row>
      </sheetData>
      <sheetData sheetId="2"/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01BA51-9002-4C37-B0B7-CC9C186B71C8}" name="Table2" displayName="Table2" ref="A1:O288" totalsRowShown="0" headerRowDxfId="2">
  <autoFilter ref="A1:O288" xr:uid="{C001BA51-9002-4C37-B0B7-CC9C186B71C8}"/>
  <sortState xmlns:xlrd2="http://schemas.microsoft.com/office/spreadsheetml/2017/richdata2" ref="A2:O240">
    <sortCondition ref="B1:B240"/>
  </sortState>
  <tableColumns count="15">
    <tableColumn id="1" xr3:uid="{FBBAE020-93DE-4A5F-867C-2AD16A5239D7}" name="Province"/>
    <tableColumn id="2" xr3:uid="{C8C104A6-E212-4D22-AAD5-0EA370F15236}" name="Project Name"/>
    <tableColumn id="13" xr3:uid="{3D2D6FD9-2930-4B44-8C75-5D3D0038A249}" name="CODERS Name"/>
    <tableColumn id="12" xr3:uid="{2C232AE4-97E1-438A-AC11-F3CBFF623DE1}" name="Location"/>
    <tableColumn id="15" xr3:uid="{336EB980-D97D-405E-87A1-E318858EB211}" name="Latitude"/>
    <tableColumn id="14" xr3:uid="{1D52F6F1-5FC5-4265-8509-8B3C241BBA32}" name="Longitude"/>
    <tableColumn id="3" xr3:uid="{505310C5-D518-4B5E-8FEA-6978AE81C28A}" name="Project Type"/>
    <tableColumn id="4" xr3:uid="{DA9C8CD4-07A1-4CAD-A3A1-2CBEE1801F50}" name="Model"/>
    <tableColumn id="5" xr3:uid="{5A28DF35-0763-44A7-8106-33FC8B38A205}" name="Capacity"/>
    <tableColumn id="6" xr3:uid="{626F7A94-507A-457C-91AB-A7A6EBE40F25}" name="Year"/>
    <tableColumn id="7" xr3:uid="{8B1732D7-5F08-43B0-9043-EE971CE95213}" name="Status"/>
    <tableColumn id="11" xr3:uid="{AB9B14F5-1E95-448B-AC76-725506722659}" name="TIER Justification"/>
    <tableColumn id="8" xr3:uid="{334FFD24-315D-47F2-A52E-2D04B25D54CB}" name="Last Modified" dataDxfId="1"/>
    <tableColumn id="9" xr3:uid="{BF13A086-2EA2-412B-83BA-FFD3396B1B3A}" name="Notes" dataDxfId="0"/>
    <tableColumn id="10" xr3:uid="{AF426183-13D1-4DB1-8A0F-945D5576384A}" name="Sourc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eso.ca/Sector-Participants/Resource-Acquisition-and-Contracts/Medium-Term-RFP" TargetMode="External"/><Relationship Id="rId21" Type="http://schemas.openxmlformats.org/officeDocument/2006/relationships/hyperlink" Target="https://www.hydroquebec.com/achats-electricite-quebec/appels-propositions/2023-01.html" TargetMode="External"/><Relationship Id="rId42" Type="http://schemas.openxmlformats.org/officeDocument/2006/relationships/hyperlink" Target="https://www.nspower.ca/about-us/press-releases/details/2026/01/30/nova-scotia-power-s-two-grid-scale-battery-sites-now-operational--supported-by-historic-partnership-and-investment" TargetMode="External"/><Relationship Id="rId63" Type="http://schemas.openxmlformats.org/officeDocument/2006/relationships/hyperlink" Target="https://www.ieso.ca/Sector-Participants/Resource-Acquisition-and-Contracts/Long-Term-RFP-and-Expedited-Process" TargetMode="External"/><Relationship Id="rId84" Type="http://schemas.openxmlformats.org/officeDocument/2006/relationships/hyperlink" Target="https://www.ieso.ca/Sector-Participants/Resource-Acquisition-and-Contracts/Long-Term-RFP-and-Expedited-Process" TargetMode="External"/><Relationship Id="rId138" Type="http://schemas.openxmlformats.org/officeDocument/2006/relationships/hyperlink" Target="https://www.ieso.ca/Sector-Participants/Resource-Acquisition-and-Contracts/Long-Term-RFP-and-Expedited-Process" TargetMode="External"/><Relationship Id="rId159" Type="http://schemas.openxmlformats.org/officeDocument/2006/relationships/hyperlink" Target="https://www.bchydro.com/toolbar/about/strategies-plans-regulatory/supply-operations/powering-growth.html" TargetMode="External"/><Relationship Id="rId170" Type="http://schemas.openxmlformats.org/officeDocument/2006/relationships/hyperlink" Target="https://www.hydro.mb.ca/corporate/call-for-wind-power/" TargetMode="External"/><Relationship Id="rId191" Type="http://schemas.openxmlformats.org/officeDocument/2006/relationships/hyperlink" Target="https://www.hydroquebec.com/a/infolabrador/" TargetMode="External"/><Relationship Id="rId205" Type="http://schemas.openxmlformats.org/officeDocument/2006/relationships/hyperlink" Target="https://www.saskpower.com/-/media/saskpower/about-us/reports/report-annualreport-2025-26.pdf" TargetMode="External"/><Relationship Id="rId107" Type="http://schemas.openxmlformats.org/officeDocument/2006/relationships/hyperlink" Target="https://www.ieso.ca/Sector-Participants/Resource-Acquisition-and-Contracts/Medium-Term-RFP" TargetMode="External"/><Relationship Id="rId11" Type="http://schemas.openxmlformats.org/officeDocument/2006/relationships/hyperlink" Target="https://irac.pe.ca/wp-content/uploads/SCBR-Request-for-the-On-Island-Capacity-for-Security-of-Supply-Project-filed-December-18-2024.pdf" TargetMode="External"/><Relationship Id="rId32" Type="http://schemas.openxmlformats.org/officeDocument/2006/relationships/hyperlink" Target="https://www.hydroquebec.com/achats-electricite-quebec/appels-propositions/2021-01.html" TargetMode="External"/><Relationship Id="rId53" Type="http://schemas.openxmlformats.org/officeDocument/2006/relationships/hyperlink" Target="https://www.nspower.ca/docs/default-source/monthly-reports/10-year-system-outlook-report.pdf?sfvrsn=d39bca29_66" TargetMode="External"/><Relationship Id="rId74" Type="http://schemas.openxmlformats.org/officeDocument/2006/relationships/hyperlink" Target="https://www.ieso.ca/Sector-Participants/Resource-Acquisition-and-Contracts/Long-Term-RFP-and-Expedited-Process" TargetMode="External"/><Relationship Id="rId128" Type="http://schemas.openxmlformats.org/officeDocument/2006/relationships/hyperlink" Target="https://www.ieso.ca/Sector-Participants/Resource-Acquisition-and-Contracts/Medium-Term-RFP" TargetMode="External"/><Relationship Id="rId149" Type="http://schemas.openxmlformats.org/officeDocument/2006/relationships/hyperlink" Target="https://www.bchydro.com/work-with-us/selling-clean-energy/2024-call-for-power/participants.html" TargetMode="External"/><Relationship Id="rId5" Type="http://schemas.openxmlformats.org/officeDocument/2006/relationships/hyperlink" Target="https://www.princeedwardisland.ca/en/feature/projects-under-environmental-review-undertakings/" TargetMode="External"/><Relationship Id="rId95" Type="http://schemas.openxmlformats.org/officeDocument/2006/relationships/hyperlink" Target="https://www.ieso.ca/Sector-Participants/Resource-Acquisition-and-Contracts/Long-Term-2-RFP" TargetMode="External"/><Relationship Id="rId160" Type="http://schemas.openxmlformats.org/officeDocument/2006/relationships/hyperlink" Target="https://www.bchydro.com/toolbar/about/strategies-plans-regulatory/supply-operations/powering-growth.html" TargetMode="External"/><Relationship Id="rId181" Type="http://schemas.openxmlformats.org/officeDocument/2006/relationships/hyperlink" Target="https://www.nbpower.com/media/1492536/2023_irp.pdf" TargetMode="External"/><Relationship Id="rId22" Type="http://schemas.openxmlformats.org/officeDocument/2006/relationships/hyperlink" Target="https://www.hydroquebec.com/achats-electricite-quebec/appels-propositions/2023-01.html" TargetMode="External"/><Relationship Id="rId43" Type="http://schemas.openxmlformats.org/officeDocument/2006/relationships/hyperlink" Target="https://www.nspower.ca/about-us/press-releases/details/2026/01/30/nova-scotia-power-s-two-grid-scale-battery-sites-now-operational--supported-by-historic-partnership-and-investment" TargetMode="External"/><Relationship Id="rId64" Type="http://schemas.openxmlformats.org/officeDocument/2006/relationships/hyperlink" Target="https://www.ieso.ca/Sector-Participants/Resource-Acquisition-and-Contracts/Long-Term-RFP-and-Expedited-Process" TargetMode="External"/><Relationship Id="rId118" Type="http://schemas.openxmlformats.org/officeDocument/2006/relationships/hyperlink" Target="https://www.ieso.ca/Sector-Participants/Resource-Acquisition-and-Contracts/Medium-Term-RFP" TargetMode="External"/><Relationship Id="rId139" Type="http://schemas.openxmlformats.org/officeDocument/2006/relationships/hyperlink" Target="https://www.ieso.ca/Sector-Participants/Resource-Acquisition-and-Contracts/Long-Term-RFP-and-Expedited-Process" TargetMode="External"/><Relationship Id="rId85" Type="http://schemas.openxmlformats.org/officeDocument/2006/relationships/hyperlink" Target="https://www.ieso.ca/Sector-Participants/Resource-Acquisition-and-Contracts/Long-Term-RFP-and-Expedited-Process" TargetMode="External"/><Relationship Id="rId150" Type="http://schemas.openxmlformats.org/officeDocument/2006/relationships/hyperlink" Target="https://www.bchydro.com/work-with-us/selling-clean-energy/2024-call-for-power/participants.html" TargetMode="External"/><Relationship Id="rId171" Type="http://schemas.openxmlformats.org/officeDocument/2006/relationships/hyperlink" Target="https://nextgennb.com/" TargetMode="External"/><Relationship Id="rId192" Type="http://schemas.openxmlformats.org/officeDocument/2006/relationships/hyperlink" Target="https://www.nspower.ca/docs/default-source/monthly-reports/10-year-system-outlook-report.pdf?sfvrsn=d39bca29_60" TargetMode="External"/><Relationship Id="rId206" Type="http://schemas.openxmlformats.org/officeDocument/2006/relationships/hyperlink" Target="https://www.saskpower.com/-/media/saskpower/about-us/reports/report-annualreport-2025-26.pdf" TargetMode="External"/><Relationship Id="rId12" Type="http://schemas.openxmlformats.org/officeDocument/2006/relationships/hyperlink" Target="https://irac.pe.ca/wp-content/uploads/SCBR-Request-for-the-On-Island-Capacity-for-Security-of-Supply-Project-filed-December-18-2024.pdf" TargetMode="External"/><Relationship Id="rId33" Type="http://schemas.openxmlformats.org/officeDocument/2006/relationships/hyperlink" Target="https://www.hydroquebec.com/achats-electricite-quebec/appels-propositions/2021-02.html" TargetMode="External"/><Relationship Id="rId108" Type="http://schemas.openxmlformats.org/officeDocument/2006/relationships/hyperlink" Target="https://www.ieso.ca/Sector-Participants/Resource-Acquisition-and-Contracts/Medium-Term-RFP" TargetMode="External"/><Relationship Id="rId129" Type="http://schemas.openxmlformats.org/officeDocument/2006/relationships/hyperlink" Target="https://www.ieso.ca/Sector-Participants/Resource-Acquisition-and-Contracts/Medium-Term-RFP" TargetMode="External"/><Relationship Id="rId54" Type="http://schemas.openxmlformats.org/officeDocument/2006/relationships/hyperlink" Target="https://www.nspower.ca/docs/default-source/monthly-reports/10-year-system-outlook-report.pdf?sfvrsn=d39bca29_66" TargetMode="External"/><Relationship Id="rId75" Type="http://schemas.openxmlformats.org/officeDocument/2006/relationships/hyperlink" Target="https://www.ieso.ca/Sector-Participants/Resource-Acquisition-and-Contracts/Long-Term-RFP-and-Expedited-Process" TargetMode="External"/><Relationship Id="rId96" Type="http://schemas.openxmlformats.org/officeDocument/2006/relationships/hyperlink" Target="https://www.ieso.ca/Sector-Participants/Resource-Acquisition-and-Contracts/Long-Term-2-RFP" TargetMode="External"/><Relationship Id="rId140" Type="http://schemas.openxmlformats.org/officeDocument/2006/relationships/hyperlink" Target="https://www.aeso.ca/grid/transmission-projects/connection-project-reporting/" TargetMode="External"/><Relationship Id="rId161" Type="http://schemas.openxmlformats.org/officeDocument/2006/relationships/hyperlink" Target="https://www.saskpower.com/our-power-future/infrastructure-projects/construction-projects/planning-and-construction-projects/coal-life-extension-project/boundary-dam-power-station-life-extension" TargetMode="External"/><Relationship Id="rId182" Type="http://schemas.openxmlformats.org/officeDocument/2006/relationships/hyperlink" Target="https://www.nbpower.com/media/1492536/2023_irp.pdf" TargetMode="External"/><Relationship Id="rId6" Type="http://schemas.openxmlformats.org/officeDocument/2006/relationships/hyperlink" Target="https://www.princeedwardisland.ca/en/feature/projects-under-environmental-review-undertakings/" TargetMode="External"/><Relationship Id="rId23" Type="http://schemas.openxmlformats.org/officeDocument/2006/relationships/hyperlink" Target="https://www.hydroquebec.com/achats-electricite-quebec/appels-propositions/2023-01.html" TargetMode="External"/><Relationship Id="rId119" Type="http://schemas.openxmlformats.org/officeDocument/2006/relationships/hyperlink" Target="https://www.ieso.ca/Sector-Participants/Resource-Acquisition-and-Contracts/Medium-Term-RFP" TargetMode="External"/><Relationship Id="rId44" Type="http://schemas.openxmlformats.org/officeDocument/2006/relationships/hyperlink" Target="https://www.nspower.ca/irp" TargetMode="External"/><Relationship Id="rId65" Type="http://schemas.openxmlformats.org/officeDocument/2006/relationships/hyperlink" Target="https://www.ieso.ca/Sector-Participants/Resource-Acquisition-and-Contracts/Long-Term-RFP-and-Expedited-Process" TargetMode="External"/><Relationship Id="rId86" Type="http://schemas.openxmlformats.org/officeDocument/2006/relationships/hyperlink" Target="https://www.ieso.ca/Sector-Participants/Resource-Acquisition-and-Contracts/Long-Term-RFP-and-Expedited-Process" TargetMode="External"/><Relationship Id="rId130" Type="http://schemas.openxmlformats.org/officeDocument/2006/relationships/hyperlink" Target="https://www.ieso.ca/Sector-Participants/Resource-Acquisition-and-Contracts/Medium-Term-RFP" TargetMode="External"/><Relationship Id="rId151" Type="http://schemas.openxmlformats.org/officeDocument/2006/relationships/hyperlink" Target="https://www.bchydro.com/work-with-us/selling-clean-energy/2024-call-for-power/participants.html" TargetMode="External"/><Relationship Id="rId172" Type="http://schemas.openxmlformats.org/officeDocument/2006/relationships/hyperlink" Target="http://cookvillesolar.com/" TargetMode="External"/><Relationship Id="rId193" Type="http://schemas.openxmlformats.org/officeDocument/2006/relationships/hyperlink" Target="https://www.nspower.ca/docs/default-source/monthly-reports/10-year-system-outlook-report.pdf?sfvrsn=d39bca29_60" TargetMode="External"/><Relationship Id="rId207" Type="http://schemas.openxmlformats.org/officeDocument/2006/relationships/hyperlink" Target="https://www.saskpower.com/-/media/saskpower/about-us/reports/report-annualreport-2025-26.pdf" TargetMode="External"/><Relationship Id="rId13" Type="http://schemas.openxmlformats.org/officeDocument/2006/relationships/hyperlink" Target="https://irac.pe.ca/wp-content/uploads/SCBR-Request-for-the-On-Island-Capacity-for-Security-of-Supply-Project-filed-December-18-2024.pdf" TargetMode="External"/><Relationship Id="rId109" Type="http://schemas.openxmlformats.org/officeDocument/2006/relationships/hyperlink" Target="https://www.ieso.ca/Sector-Participants/Resource-Acquisition-and-Contracts/Medium-Term-RFP" TargetMode="External"/><Relationship Id="rId34" Type="http://schemas.openxmlformats.org/officeDocument/2006/relationships/hyperlink" Target="https://www.hydroquebec.com/achats-electricite-quebec/appels-propositions/2021-02.html" TargetMode="External"/><Relationship Id="rId55" Type="http://schemas.openxmlformats.org/officeDocument/2006/relationships/hyperlink" Target="https://www.nspower.ca/docs/default-source/monthly-reports/10-year-system-outlook-report.pdf?sfvrsn=d39bca29_66" TargetMode="External"/><Relationship Id="rId76" Type="http://schemas.openxmlformats.org/officeDocument/2006/relationships/hyperlink" Target="https://www.ieso.ca/Sector-Participants/Resource-Acquisition-and-Contracts/Long-Term-RFP-and-Expedited-Process" TargetMode="External"/><Relationship Id="rId97" Type="http://schemas.openxmlformats.org/officeDocument/2006/relationships/hyperlink" Target="https://www.ieso.ca/Sector-Participants/Resource-Acquisition-and-Contracts/Long-Term-2-RFP" TargetMode="External"/><Relationship Id="rId120" Type="http://schemas.openxmlformats.org/officeDocument/2006/relationships/hyperlink" Target="https://www.ieso.ca/Sector-Participants/Resource-Acquisition-and-Contracts/Medium-Term-RFP" TargetMode="External"/><Relationship Id="rId141" Type="http://schemas.openxmlformats.org/officeDocument/2006/relationships/hyperlink" Target="https://www.aeso.ca/grid/transmission-projects/connection-project-reporting/" TargetMode="External"/><Relationship Id="rId7" Type="http://schemas.openxmlformats.org/officeDocument/2006/relationships/hyperlink" Target="https://irac.pe.ca/wp-content/uploads/SCBR-Request-for-the-On-Island-Capacity-for-Security-of-Supply-Project-filed-December-18-2024.pdf" TargetMode="External"/><Relationship Id="rId162" Type="http://schemas.openxmlformats.org/officeDocument/2006/relationships/hyperlink" Target="https://www.saskpower.com/our-power-future/infrastructure-projects/construction-projects/planning-and-construction-projects/coal-life-extension-project/boundary-dam-power-station-life-extension" TargetMode="External"/><Relationship Id="rId183" Type="http://schemas.openxmlformats.org/officeDocument/2006/relationships/hyperlink" Target="https://www.nbpower.com/media/1492536/2023_irp.pdf" TargetMode="External"/><Relationship Id="rId24" Type="http://schemas.openxmlformats.org/officeDocument/2006/relationships/hyperlink" Target="https://www.hydroquebec.com/achats-electricite-quebec/appels-propositions/2023-01.html" TargetMode="External"/><Relationship Id="rId45" Type="http://schemas.openxmlformats.org/officeDocument/2006/relationships/hyperlink" Target="https://novascotia.ca/nse/ea/fangpgf-salt-springs/" TargetMode="External"/><Relationship Id="rId66" Type="http://schemas.openxmlformats.org/officeDocument/2006/relationships/hyperlink" Target="https://www.ieso.ca/Sector-Participants/Resource-Acquisition-and-Contracts/Long-Term-RFP-and-Expedited-Process" TargetMode="External"/><Relationship Id="rId87" Type="http://schemas.openxmlformats.org/officeDocument/2006/relationships/hyperlink" Target="https://www.ieso.ca/Sector-Participants/Resource-Acquisition-and-Contracts/Long-Term-RFP-and-Expedited-Process" TargetMode="External"/><Relationship Id="rId110" Type="http://schemas.openxmlformats.org/officeDocument/2006/relationships/hyperlink" Target="https://www.ieso.ca/Sector-Participants/Resource-Acquisition-and-Contracts/Medium-Term-RFP" TargetMode="External"/><Relationship Id="rId131" Type="http://schemas.openxmlformats.org/officeDocument/2006/relationships/hyperlink" Target="https://www.ieso.ca/Sector-Participants/Resource-Acquisition-and-Contracts/Medium-Term-RFP" TargetMode="External"/><Relationship Id="rId152" Type="http://schemas.openxmlformats.org/officeDocument/2006/relationships/hyperlink" Target="https://www.bchydro.com/work-with-us/selling-clean-energy/2025-call-for-power/participants.html" TargetMode="External"/><Relationship Id="rId173" Type="http://schemas.openxmlformats.org/officeDocument/2006/relationships/hyperlink" Target="http://www.pub.nf.ca/applications/NLH2018ReliabilityAdequacy/reports/From%20NLH%20-%20%202025%20Near-Term%20Reliability%20Annual%20Report%20-%20%202025-11-20.PDF" TargetMode="External"/><Relationship Id="rId194" Type="http://schemas.openxmlformats.org/officeDocument/2006/relationships/hyperlink" Target="https://www.nspower.ca/docs/default-source/monthly-reports/10-year-system-outlook-report.pdf?sfvrsn=d39bca29_60" TargetMode="External"/><Relationship Id="rId208" Type="http://schemas.openxmlformats.org/officeDocument/2006/relationships/hyperlink" Target="https://www.saskpower.com/-/media/saskpower/about-us/reports/report-annualreport-2025-26.pdf" TargetMode="External"/><Relationship Id="rId19" Type="http://schemas.openxmlformats.org/officeDocument/2006/relationships/hyperlink" Target="https://www.aeso.ca/grid/transmission-projects/connection-project-reporting/" TargetMode="External"/><Relationship Id="rId14" Type="http://schemas.openxmlformats.org/officeDocument/2006/relationships/hyperlink" Target="https://nlhydro.com/about-us/our-electricity-system/major-projects/" TargetMode="External"/><Relationship Id="rId30" Type="http://schemas.openxmlformats.org/officeDocument/2006/relationships/hyperlink" Target="https://www.hydroquebec.com/achats-electricite-quebec/appels-propositions/2021-01.html" TargetMode="External"/><Relationship Id="rId35" Type="http://schemas.openxmlformats.org/officeDocument/2006/relationships/hyperlink" Target="https://www.parcseoliensseigneuriedebeaupre.com/desneiges" TargetMode="External"/><Relationship Id="rId56" Type="http://schemas.openxmlformats.org/officeDocument/2006/relationships/hyperlink" Target="https://www.maritimeelectric.com/media/j02ba1vx/scbr-request-for-the-on-island-capacity-for-security-of-supply-project-filed-december-18-2024.pdf" TargetMode="External"/><Relationship Id="rId77" Type="http://schemas.openxmlformats.org/officeDocument/2006/relationships/hyperlink" Target="https://www.ieso.ca/Sector-Participants/Resource-Acquisition-and-Contracts/Long-Term-RFP-and-Expedited-Process" TargetMode="External"/><Relationship Id="rId100" Type="http://schemas.openxmlformats.org/officeDocument/2006/relationships/hyperlink" Target="https://www.ieso.ca/Sector-Participants/Resource-Acquisition-and-Contracts/Long-Term-2-RFP" TargetMode="External"/><Relationship Id="rId105" Type="http://schemas.openxmlformats.org/officeDocument/2006/relationships/hyperlink" Target="https://www.ieso.ca/Sector-Participants/Resource-Acquisition-and-Contracts/Long-Term-2-RFP" TargetMode="External"/><Relationship Id="rId126" Type="http://schemas.openxmlformats.org/officeDocument/2006/relationships/hyperlink" Target="https://www.ieso.ca/Sector-Participants/Resource-Acquisition-and-Contracts/Medium-Term-RFP" TargetMode="External"/><Relationship Id="rId147" Type="http://schemas.openxmlformats.org/officeDocument/2006/relationships/hyperlink" Target="https://www.bchydro.com/work-with-us/selling-clean-energy/2024-call-for-power/participants.html" TargetMode="External"/><Relationship Id="rId168" Type="http://schemas.openxmlformats.org/officeDocument/2006/relationships/hyperlink" Target="https://www.saskpower.com/our-power-future/infrastructure-projects/construction-projects/planning-and-construction-projects/coal-life-extension-project/poplar-river-power-station-life-extension" TargetMode="External"/><Relationship Id="rId8" Type="http://schemas.openxmlformats.org/officeDocument/2006/relationships/hyperlink" Target="https://irac.pe.ca/wp-content/uploads/SCBR-Request-for-the-On-Island-Capacity-for-Security-of-Supply-Project-filed-December-18-2024.pdf" TargetMode="External"/><Relationship Id="rId51" Type="http://schemas.openxmlformats.org/officeDocument/2006/relationships/hyperlink" Target="https://www.nspower.ca/docs/default-source/monthly-reports/10-year-system-outlook-report.pdf?sfvrsn=d39bca29_66" TargetMode="External"/><Relationship Id="rId72" Type="http://schemas.openxmlformats.org/officeDocument/2006/relationships/hyperlink" Target="https://www.ieso.ca/Sector-Participants/Resource-Acquisition-and-Contracts/Long-Term-RFP-and-Expedited-Process" TargetMode="External"/><Relationship Id="rId93" Type="http://schemas.openxmlformats.org/officeDocument/2006/relationships/hyperlink" Target="https://www.ieso.ca/Sector-Participants/Resource-Acquisition-and-Contracts/Long-Term-2-RFP" TargetMode="External"/><Relationship Id="rId98" Type="http://schemas.openxmlformats.org/officeDocument/2006/relationships/hyperlink" Target="https://www.ieso.ca/Sector-Participants/Resource-Acquisition-and-Contracts/Long-Term-2-RFP" TargetMode="External"/><Relationship Id="rId121" Type="http://schemas.openxmlformats.org/officeDocument/2006/relationships/hyperlink" Target="https://www.ieso.ca/Sector-Participants/Resource-Acquisition-and-Contracts/Medium-Term-RFP" TargetMode="External"/><Relationship Id="rId142" Type="http://schemas.openxmlformats.org/officeDocument/2006/relationships/hyperlink" Target="https://www.bchydro.com/work-with-us/selling-clean-energy/2024-call-for-power/participants.html" TargetMode="External"/><Relationship Id="rId163" Type="http://schemas.openxmlformats.org/officeDocument/2006/relationships/hyperlink" Target="https://www.saskpower.com/our-power-future/infrastructure-projects/construction-projects/planning-and-construction-projects/coal-life-extension-project/boundary-dam-power-station-life-extension" TargetMode="External"/><Relationship Id="rId184" Type="http://schemas.openxmlformats.org/officeDocument/2006/relationships/hyperlink" Target="https://www.nbpower.com/media/1492536/2023_irp.pdf" TargetMode="External"/><Relationship Id="rId189" Type="http://schemas.openxmlformats.org/officeDocument/2006/relationships/hyperlink" Target="https://www.nbpower.com/media/1492536/2023_irp.pdf" TargetMode="External"/><Relationship Id="rId3" Type="http://schemas.openxmlformats.org/officeDocument/2006/relationships/hyperlink" Target="https://www2.gnb.ca/content/gnb/en/departments/elg/environment/content/environmental_impactassessment/registrations.html" TargetMode="External"/><Relationship Id="rId214" Type="http://schemas.openxmlformats.org/officeDocument/2006/relationships/customProperty" Target="../customProperty1.bin"/><Relationship Id="rId25" Type="http://schemas.openxmlformats.org/officeDocument/2006/relationships/hyperlink" Target="https://www.hydroquebec.com/achats-electricite-quebec/appels-propositions/2023-01.html" TargetMode="External"/><Relationship Id="rId46" Type="http://schemas.openxmlformats.org/officeDocument/2006/relationships/hyperlink" Target="https://novascotia.ca/nse/ea/fangpgf-marshdale/" TargetMode="External"/><Relationship Id="rId67" Type="http://schemas.openxmlformats.org/officeDocument/2006/relationships/hyperlink" Target="https://www.ieso.ca/Sector-Participants/Resource-Acquisition-and-Contracts/Long-Term-RFP-and-Expedited-Process" TargetMode="External"/><Relationship Id="rId116" Type="http://schemas.openxmlformats.org/officeDocument/2006/relationships/hyperlink" Target="https://www.ieso.ca/Sector-Participants/Resource-Acquisition-and-Contracts/Medium-Term-RFP" TargetMode="External"/><Relationship Id="rId137" Type="http://schemas.openxmlformats.org/officeDocument/2006/relationships/hyperlink" Target="https://www.ieso.ca/Sector-Participants/Resource-Acquisition-and-Contracts/Long-Term-RFP-and-Expedited-Process" TargetMode="External"/><Relationship Id="rId158" Type="http://schemas.openxmlformats.org/officeDocument/2006/relationships/hyperlink" Target="https://www.bchydro.com/toolbar/about/strategies-plans-regulatory/supply-operations/powering-growth.html" TargetMode="External"/><Relationship Id="rId20" Type="http://schemas.openxmlformats.org/officeDocument/2006/relationships/hyperlink" Target="https://www.hydroquebec.com/achats-electricite-quebec/appels-propositions/2023-01.html" TargetMode="External"/><Relationship Id="rId41" Type="http://schemas.openxmlformats.org/officeDocument/2006/relationships/hyperlink" Target="https://www.nspower.ca/about-us/press-releases/details/2026/01/30/nova-scotia-power-s-two-grid-scale-battery-sites-now-operational--supported-by-historic-partnership-and-investment" TargetMode="External"/><Relationship Id="rId62" Type="http://schemas.openxmlformats.org/officeDocument/2006/relationships/hyperlink" Target="https://www.ieso.ca/Sector-Participants/Resource-Acquisition-and-Contracts/Long-Term-RFP-and-Expedited-Process" TargetMode="External"/><Relationship Id="rId83" Type="http://schemas.openxmlformats.org/officeDocument/2006/relationships/hyperlink" Target="https://www.ieso.ca/Sector-Participants/Resource-Acquisition-and-Contracts/Long-Term-RFP-and-Expedited-Process" TargetMode="External"/><Relationship Id="rId88" Type="http://schemas.openxmlformats.org/officeDocument/2006/relationships/hyperlink" Target="https://www.ieso.ca/Sector-Participants/Resource-Acquisition-and-Contracts/Long-Term-RFP-and-Expedited-Process" TargetMode="External"/><Relationship Id="rId111" Type="http://schemas.openxmlformats.org/officeDocument/2006/relationships/hyperlink" Target="https://www.ieso.ca/Sector-Participants/Resource-Acquisition-and-Contracts/Medium-Term-RFP" TargetMode="External"/><Relationship Id="rId132" Type="http://schemas.openxmlformats.org/officeDocument/2006/relationships/hyperlink" Target="https://www.ieso.ca/Sector-Participants/Resource-Acquisition-and-Contracts/Medium-Term-RFP" TargetMode="External"/><Relationship Id="rId153" Type="http://schemas.openxmlformats.org/officeDocument/2006/relationships/hyperlink" Target="https://www.bchydro.com/work-with-us/selling-clean-energy/2025-call-for-power/participants.html" TargetMode="External"/><Relationship Id="rId174" Type="http://schemas.openxmlformats.org/officeDocument/2006/relationships/hyperlink" Target="http://www.pub.nf.ca/applications/NLH2018ReliabilityAdequacy/reports/From%20NLH%20-%20%202025%20Near-Term%20Reliability%20Annual%20Report%20-%20%202025-11-20.PDF" TargetMode="External"/><Relationship Id="rId179" Type="http://schemas.openxmlformats.org/officeDocument/2006/relationships/hyperlink" Target="https://www.nbpower.com/media/1492536/2023_irp.pdf" TargetMode="External"/><Relationship Id="rId195" Type="http://schemas.openxmlformats.org/officeDocument/2006/relationships/hyperlink" Target="https://www.nspower.ca/docs/default-source/monthly-reports/10-year-system-outlook-report.pdf?sfvrsn=d39bca29_60" TargetMode="External"/><Relationship Id="rId209" Type="http://schemas.openxmlformats.org/officeDocument/2006/relationships/hyperlink" Target="https://www.saskpower.com/-/media/saskpower/about-us/reports/report-annualreport-2025-26.pdf" TargetMode="External"/><Relationship Id="rId190" Type="http://schemas.openxmlformats.org/officeDocument/2006/relationships/hyperlink" Target="https://www.nbpower.com/media/1492536/2023_irp.pdf" TargetMode="External"/><Relationship Id="rId204" Type="http://schemas.openxmlformats.org/officeDocument/2006/relationships/hyperlink" Target="https://www.saskpower.com/-/media/saskpower/about-us/reports/report-annualreport-2025-26.pdf" TargetMode="External"/><Relationship Id="rId15" Type="http://schemas.openxmlformats.org/officeDocument/2006/relationships/hyperlink" Target="https://nlhydro.com/about-us/our-electricity-system/major-projects/" TargetMode="External"/><Relationship Id="rId36" Type="http://schemas.openxmlformats.org/officeDocument/2006/relationships/hyperlink" Target="https://www.parcseoliensseigneuriedebeaupre.com/desneiges" TargetMode="External"/><Relationship Id="rId57" Type="http://schemas.openxmlformats.org/officeDocument/2006/relationships/hyperlink" Target="https://www.maritimeelectric.com/media/j02ba1vx/scbr-request-for-the-on-island-capacity-for-security-of-supply-project-filed-december-18-2024.pdf" TargetMode="External"/><Relationship Id="rId106" Type="http://schemas.openxmlformats.org/officeDocument/2006/relationships/hyperlink" Target="https://www.ieso.ca/Sector-Participants/Resource-Acquisition-and-Contracts/Medium-Term-RFP" TargetMode="External"/><Relationship Id="rId127" Type="http://schemas.openxmlformats.org/officeDocument/2006/relationships/hyperlink" Target="https://www.ieso.ca/Sector-Participants/Resource-Acquisition-and-Contracts/Medium-Term-RFP" TargetMode="External"/><Relationship Id="rId10" Type="http://schemas.openxmlformats.org/officeDocument/2006/relationships/hyperlink" Target="https://irac.pe.ca/wp-content/uploads/SCBR-Request-for-the-On-Island-Capacity-for-Security-of-Supply-Project-filed-December-18-2024.pdf" TargetMode="External"/><Relationship Id="rId31" Type="http://schemas.openxmlformats.org/officeDocument/2006/relationships/hyperlink" Target="https://www.hydroquebec.com/achats-electricite-quebec/appels-propositions/2021-01.html" TargetMode="External"/><Relationship Id="rId52" Type="http://schemas.openxmlformats.org/officeDocument/2006/relationships/hyperlink" Target="https://www.nspower.ca/docs/default-source/monthly-reports/10-year-system-outlook-report.pdf?sfvrsn=d39bca29_66" TargetMode="External"/><Relationship Id="rId73" Type="http://schemas.openxmlformats.org/officeDocument/2006/relationships/hyperlink" Target="https://www.ieso.ca/Sector-Participants/Resource-Acquisition-and-Contracts/Long-Term-RFP-and-Expedited-Process" TargetMode="External"/><Relationship Id="rId78" Type="http://schemas.openxmlformats.org/officeDocument/2006/relationships/hyperlink" Target="https://www.ieso.ca/Sector-Participants/Resource-Acquisition-and-Contracts/Long-Term-RFP-and-Expedited-Process" TargetMode="External"/><Relationship Id="rId94" Type="http://schemas.openxmlformats.org/officeDocument/2006/relationships/hyperlink" Target="https://www.ieso.ca/Sector-Participants/Resource-Acquisition-and-Contracts/Long-Term-2-RFP" TargetMode="External"/><Relationship Id="rId99" Type="http://schemas.openxmlformats.org/officeDocument/2006/relationships/hyperlink" Target="https://www.ieso.ca/Sector-Participants/Resource-Acquisition-and-Contracts/Long-Term-2-RFP" TargetMode="External"/><Relationship Id="rId101" Type="http://schemas.openxmlformats.org/officeDocument/2006/relationships/hyperlink" Target="https://www.ieso.ca/Sector-Participants/Resource-Acquisition-and-Contracts/Long-Term-2-RFP" TargetMode="External"/><Relationship Id="rId122" Type="http://schemas.openxmlformats.org/officeDocument/2006/relationships/hyperlink" Target="https://www.ieso.ca/Sector-Participants/Resource-Acquisition-and-Contracts/Medium-Term-RFP" TargetMode="External"/><Relationship Id="rId143" Type="http://schemas.openxmlformats.org/officeDocument/2006/relationships/hyperlink" Target="https://www.bchydro.com/work-with-us/selling-clean-energy/2024-call-for-power/participants.html" TargetMode="External"/><Relationship Id="rId148" Type="http://schemas.openxmlformats.org/officeDocument/2006/relationships/hyperlink" Target="https://www.bchydro.com/work-with-us/selling-clean-energy/2024-call-for-power/participants.html" TargetMode="External"/><Relationship Id="rId164" Type="http://schemas.openxmlformats.org/officeDocument/2006/relationships/hyperlink" Target="https://www.saskpower.com/our-power-future/infrastructure-projects/construction-projects/planning-and-construction-projects/coal-life-extension-project/boundary-dam-power-station-life-extension" TargetMode="External"/><Relationship Id="rId169" Type="http://schemas.openxmlformats.org/officeDocument/2006/relationships/hyperlink" Target="https://www.hydro.mb.ca/engage/brandon-dispatchable-capacity/" TargetMode="External"/><Relationship Id="rId185" Type="http://schemas.openxmlformats.org/officeDocument/2006/relationships/hyperlink" Target="https://www.nbpower.com/media/1492536/2023_irp.pdf" TargetMode="External"/><Relationship Id="rId4" Type="http://schemas.openxmlformats.org/officeDocument/2006/relationships/hyperlink" Target="https://www.nbpower.com/en/about-us/news-media-centre/news/2025/nb-power-invites-expressions-of-interest-for-15-year-battery-storage-partnership/" TargetMode="External"/><Relationship Id="rId9" Type="http://schemas.openxmlformats.org/officeDocument/2006/relationships/hyperlink" Target="https://irac.pe.ca/wp-content/uploads/SCBR-Request-for-the-On-Island-Capacity-for-Security-of-Supply-Project-filed-December-18-2024.pdf" TargetMode="External"/><Relationship Id="rId180" Type="http://schemas.openxmlformats.org/officeDocument/2006/relationships/hyperlink" Target="https://www.nbpower.com/media/1492536/2023_irp.pdf" TargetMode="External"/><Relationship Id="rId210" Type="http://schemas.openxmlformats.org/officeDocument/2006/relationships/hyperlink" Target="https://www.saskpower.com/-/media/saskpower/about-us/reports/report-annualreport-2025-26.pdf" TargetMode="External"/><Relationship Id="rId215" Type="http://schemas.openxmlformats.org/officeDocument/2006/relationships/table" Target="../tables/table1.xml"/><Relationship Id="rId26" Type="http://schemas.openxmlformats.org/officeDocument/2006/relationships/hyperlink" Target="https://www.hydroquebec.com/achats-electricite-quebec/appels-propositions/2023-01.html" TargetMode="External"/><Relationship Id="rId47" Type="http://schemas.openxmlformats.org/officeDocument/2006/relationships/hyperlink" Target="https://www2.gnb.ca/content/gnb/en/departments/elg/environment/content/environmental_impactassessment/registrations.html" TargetMode="External"/><Relationship Id="rId68" Type="http://schemas.openxmlformats.org/officeDocument/2006/relationships/hyperlink" Target="https://www.ieso.ca/Sector-Participants/Resource-Acquisition-and-Contracts/Long-Term-RFP-and-Expedited-Process" TargetMode="External"/><Relationship Id="rId89" Type="http://schemas.openxmlformats.org/officeDocument/2006/relationships/hyperlink" Target="https://www.ieso.ca/Sector-Participants/Resource-Acquisition-and-Contracts/Long-Term-RFP-and-Expedited-Process" TargetMode="External"/><Relationship Id="rId112" Type="http://schemas.openxmlformats.org/officeDocument/2006/relationships/hyperlink" Target="https://www.ieso.ca/Sector-Participants/Resource-Acquisition-and-Contracts/Medium-Term-RFP" TargetMode="External"/><Relationship Id="rId133" Type="http://schemas.openxmlformats.org/officeDocument/2006/relationships/hyperlink" Target="https://www.ieso.ca/Sector-Participants/Resource-Acquisition-and-Contracts/Long-Term-RFP-and-Expedited-Process" TargetMode="External"/><Relationship Id="rId154" Type="http://schemas.openxmlformats.org/officeDocument/2006/relationships/hyperlink" Target="https://www.bchydro.com/work-with-us/selling-clean-energy/2025-call-for-power/participants.html" TargetMode="External"/><Relationship Id="rId175" Type="http://schemas.openxmlformats.org/officeDocument/2006/relationships/hyperlink" Target="http://www.pub.nf.ca/applications/NLH2018ReliabilityAdequacy/reports/From%20NLH%20-%20%202025%20Near-Term%20Reliability%20Annual%20Report%20-%20%202025-11-20.PDF" TargetMode="External"/><Relationship Id="rId196" Type="http://schemas.openxmlformats.org/officeDocument/2006/relationships/hyperlink" Target="https://www.nspower.ca/docs/default-source/monthly-reports/10-year-system-outlook-report.pdf?sfvrsn=d39bca29_60" TargetMode="External"/><Relationship Id="rId200" Type="http://schemas.openxmlformats.org/officeDocument/2006/relationships/hyperlink" Target="https://www.naturalforces.ca/projects/aulds-mountain-wind-farm/" TargetMode="External"/><Relationship Id="rId16" Type="http://schemas.openxmlformats.org/officeDocument/2006/relationships/hyperlink" Target="https://www.hydroquebec.com/a/infolabrador/" TargetMode="External"/><Relationship Id="rId37" Type="http://schemas.openxmlformats.org/officeDocument/2006/relationships/hyperlink" Target="https://www.parcseoliensseigneuriedebeaupre.com/desneiges" TargetMode="External"/><Relationship Id="rId58" Type="http://schemas.openxmlformats.org/officeDocument/2006/relationships/hyperlink" Target="https://www.maritimeelectric.com/media/j02ba1vx/scbr-request-for-the-on-island-capacity-for-security-of-supply-project-filed-december-18-2024.pdf" TargetMode="External"/><Relationship Id="rId79" Type="http://schemas.openxmlformats.org/officeDocument/2006/relationships/hyperlink" Target="https://www.ieso.ca/Sector-Participants/Resource-Acquisition-and-Contracts/Long-Term-RFP-and-Expedited-Process" TargetMode="External"/><Relationship Id="rId102" Type="http://schemas.openxmlformats.org/officeDocument/2006/relationships/hyperlink" Target="https://www.ieso.ca/Sector-Participants/Resource-Acquisition-and-Contracts/Long-Term-2-RFP" TargetMode="External"/><Relationship Id="rId123" Type="http://schemas.openxmlformats.org/officeDocument/2006/relationships/hyperlink" Target="https://www.ieso.ca/Sector-Participants/Resource-Acquisition-and-Contracts/Medium-Term-RFP" TargetMode="External"/><Relationship Id="rId144" Type="http://schemas.openxmlformats.org/officeDocument/2006/relationships/hyperlink" Target="https://www.bchydro.com/work-with-us/selling-clean-energy/2024-call-for-power/participants.html" TargetMode="External"/><Relationship Id="rId90" Type="http://schemas.openxmlformats.org/officeDocument/2006/relationships/hyperlink" Target="https://www.ieso.ca/Sector-Participants/Resource-Acquisition-and-Contracts/Long-Term-2-RFP" TargetMode="External"/><Relationship Id="rId165" Type="http://schemas.openxmlformats.org/officeDocument/2006/relationships/hyperlink" Target="https://www.saskpower.com/our-power-future/infrastructure-projects/construction-projects/planning-and-construction-projects/coal-life-extension-project/boundary-dam-power-station-life-extension" TargetMode="External"/><Relationship Id="rId186" Type="http://schemas.openxmlformats.org/officeDocument/2006/relationships/hyperlink" Target="https://www.nbpower.com/media/1492536/2023_irp.pdf" TargetMode="External"/><Relationship Id="rId211" Type="http://schemas.openxmlformats.org/officeDocument/2006/relationships/hyperlink" Target="https://www.saskpower.com/-/media/saskpower/about-us/reports/report-annualreport-2025-26.pdf" TargetMode="External"/><Relationship Id="rId27" Type="http://schemas.openxmlformats.org/officeDocument/2006/relationships/hyperlink" Target="https://www.hydroquebec.com/achats-electricite-quebec/appels-propositions/2023-01.html" TargetMode="External"/><Relationship Id="rId48" Type="http://schemas.openxmlformats.org/officeDocument/2006/relationships/hyperlink" Target="https://www.nspower.ca/docs/default-source/monthly-reports/10-year-system-outlook-report.pdf?sfvrsn=d39bca29_66" TargetMode="External"/><Relationship Id="rId69" Type="http://schemas.openxmlformats.org/officeDocument/2006/relationships/hyperlink" Target="https://www.ieso.ca/Sector-Participants/Resource-Acquisition-and-Contracts/Long-Term-RFP-and-Expedited-Process" TargetMode="External"/><Relationship Id="rId113" Type="http://schemas.openxmlformats.org/officeDocument/2006/relationships/hyperlink" Target="https://www.ieso.ca/Sector-Participants/Resource-Acquisition-and-Contracts/Medium-Term-RFP" TargetMode="External"/><Relationship Id="rId134" Type="http://schemas.openxmlformats.org/officeDocument/2006/relationships/hyperlink" Target="https://www.ieso.ca/Sector-Participants/Resource-Acquisition-and-Contracts/Long-Term-RFP-and-Expedited-Process" TargetMode="External"/><Relationship Id="rId80" Type="http://schemas.openxmlformats.org/officeDocument/2006/relationships/hyperlink" Target="https://www.ieso.ca/Sector-Participants/Resource-Acquisition-and-Contracts/Long-Term-RFP-and-Expedited-Process" TargetMode="External"/><Relationship Id="rId155" Type="http://schemas.openxmlformats.org/officeDocument/2006/relationships/hyperlink" Target="https://www.bchydro.com/work-with-us/selling-clean-energy/2025-call-for-power/participants.html" TargetMode="External"/><Relationship Id="rId176" Type="http://schemas.openxmlformats.org/officeDocument/2006/relationships/hyperlink" Target="http://www.pub.nf.ca/applications/NLH2018ReliabilityAdequacy/reports/From%20NLH%20-%20%202025%20Near-Term%20Reliability%20Annual%20Report%20-%20%202025-11-20.PDF" TargetMode="External"/><Relationship Id="rId197" Type="http://schemas.openxmlformats.org/officeDocument/2006/relationships/hyperlink" Target="https://cib-bic.ca/en/projects/clean-energy/mersey-river-wind/" TargetMode="External"/><Relationship Id="rId201" Type="http://schemas.openxmlformats.org/officeDocument/2006/relationships/hyperlink" Target="https://cib-bic.ca/en/projects/clean-energy/mersey-river-wind/" TargetMode="External"/><Relationship Id="rId17" Type="http://schemas.openxmlformats.org/officeDocument/2006/relationships/hyperlink" Target="https://www.hydroquebec.com/a/infolabrador/" TargetMode="External"/><Relationship Id="rId38" Type="http://schemas.openxmlformats.org/officeDocument/2006/relationships/hyperlink" Target="https://www.collectiveenergy.ca/wind-power/nutinamu-chauvin/" TargetMode="External"/><Relationship Id="rId59" Type="http://schemas.openxmlformats.org/officeDocument/2006/relationships/hyperlink" Target="https://www.princeedwardisland.ca/en/feature/projects-under-environmental-review-undertakings/" TargetMode="External"/><Relationship Id="rId103" Type="http://schemas.openxmlformats.org/officeDocument/2006/relationships/hyperlink" Target="https://www.ieso.ca/Sector-Participants/Resource-Acquisition-and-Contracts/Long-Term-2-RFP" TargetMode="External"/><Relationship Id="rId124" Type="http://schemas.openxmlformats.org/officeDocument/2006/relationships/hyperlink" Target="https://www.ieso.ca/Sector-Participants/Resource-Acquisition-and-Contracts/Medium-Term-RFP" TargetMode="External"/><Relationship Id="rId70" Type="http://schemas.openxmlformats.org/officeDocument/2006/relationships/hyperlink" Target="https://www.ieso.ca/Sector-Participants/Resource-Acquisition-and-Contracts/Long-Term-RFP-and-Expedited-Process" TargetMode="External"/><Relationship Id="rId91" Type="http://schemas.openxmlformats.org/officeDocument/2006/relationships/hyperlink" Target="https://www.ieso.ca/Sector-Participants/Resource-Acquisition-and-Contracts/Long-Term-2-RFP" TargetMode="External"/><Relationship Id="rId145" Type="http://schemas.openxmlformats.org/officeDocument/2006/relationships/hyperlink" Target="https://www.bchydro.com/work-with-us/selling-clean-energy/2024-call-for-power/participants.html" TargetMode="External"/><Relationship Id="rId166" Type="http://schemas.openxmlformats.org/officeDocument/2006/relationships/hyperlink" Target="https://www.saskpower.com/our-power-future/infrastructure-projects/construction-projects/planning-and-construction-projects/coal-life-extension-project/shand-power-station-life-extension" TargetMode="External"/><Relationship Id="rId187" Type="http://schemas.openxmlformats.org/officeDocument/2006/relationships/hyperlink" Target="https://www.nbpower.com/media/1492536/2023_irp.pdf" TargetMode="External"/><Relationship Id="rId1" Type="http://schemas.openxmlformats.org/officeDocument/2006/relationships/hyperlink" Target="https://www.nbpower.com/en/about-us/projects" TargetMode="External"/><Relationship Id="rId212" Type="http://schemas.openxmlformats.org/officeDocument/2006/relationships/hyperlink" Target="https://www.saskpower.com/-/media/saskpower/about-us/reports/report-annualreport-2025-26.pdf" TargetMode="External"/><Relationship Id="rId28" Type="http://schemas.openxmlformats.org/officeDocument/2006/relationships/hyperlink" Target="https://www.hydroquebec.com/achats-electricite-quebec/appels-propositions/2021-01.html" TargetMode="External"/><Relationship Id="rId49" Type="http://schemas.openxmlformats.org/officeDocument/2006/relationships/hyperlink" Target="https://www.nspower.ca/docs/default-source/monthly-reports/10-year-system-outlook-report.pdf?sfvrsn=d39bca29_66" TargetMode="External"/><Relationship Id="rId114" Type="http://schemas.openxmlformats.org/officeDocument/2006/relationships/hyperlink" Target="https://www.ieso.ca/Sector-Participants/Resource-Acquisition-and-Contracts/Medium-Term-RFP" TargetMode="External"/><Relationship Id="rId60" Type="http://schemas.openxmlformats.org/officeDocument/2006/relationships/hyperlink" Target="https://www.ieso.ca/Sector-Participants/Resource-Acquisition-and-Contracts/Long-Term-RFP-and-Expedited-Process" TargetMode="External"/><Relationship Id="rId81" Type="http://schemas.openxmlformats.org/officeDocument/2006/relationships/hyperlink" Target="https://www.ieso.ca/Sector-Participants/Resource-Acquisition-and-Contracts/Long-Term-RFP-and-Expedited-Process" TargetMode="External"/><Relationship Id="rId135" Type="http://schemas.openxmlformats.org/officeDocument/2006/relationships/hyperlink" Target="https://www.ieso.ca/Sector-Participants/Resource-Acquisition-and-Contracts/Long-Term-RFP-and-Expedited-Process" TargetMode="External"/><Relationship Id="rId156" Type="http://schemas.openxmlformats.org/officeDocument/2006/relationships/hyperlink" Target="https://www.bchydro.com/toolbar/about/strategies-plans-regulatory/supply-operations/powering-growth.html" TargetMode="External"/><Relationship Id="rId177" Type="http://schemas.openxmlformats.org/officeDocument/2006/relationships/hyperlink" Target="http://www.pub.nf.ca/applications/NLH2018ReliabilityAdequacy/reports/From%20NLH%20-%20%202025%20Near-Term%20Reliability%20Annual%20Report%20-%20%202025-11-20.PDF" TargetMode="External"/><Relationship Id="rId198" Type="http://schemas.openxmlformats.org/officeDocument/2006/relationships/hyperlink" Target="https://www.naturalforces.ca/projects/minas-highlands-wind-project-benjamins-mill-wind-project-phase-2/" TargetMode="External"/><Relationship Id="rId202" Type="http://schemas.openxmlformats.org/officeDocument/2006/relationships/hyperlink" Target="https://www.nspower.ca/docs/default-source/monthly-reports/10-year-system-outlook-report.pdf?sfvrsn=d39bca29_60" TargetMode="External"/><Relationship Id="rId18" Type="http://schemas.openxmlformats.org/officeDocument/2006/relationships/hyperlink" Target="https://www.aeso.ca/grid/transmission-projects/connection-project-reporting/" TargetMode="External"/><Relationship Id="rId39" Type="http://schemas.openxmlformats.org/officeDocument/2006/relationships/hyperlink" Target="https://www.collectiveenergy.ca/wind-power/wocawson/" TargetMode="External"/><Relationship Id="rId50" Type="http://schemas.openxmlformats.org/officeDocument/2006/relationships/hyperlink" Target="https://www.nspower.ca/docs/default-source/monthly-reports/10-year-system-outlook-report.pdf?sfvrsn=d39bca29_66" TargetMode="External"/><Relationship Id="rId104" Type="http://schemas.openxmlformats.org/officeDocument/2006/relationships/hyperlink" Target="https://www.ieso.ca/Sector-Participants/Resource-Acquisition-and-Contracts/Long-Term-2-RFP" TargetMode="External"/><Relationship Id="rId125" Type="http://schemas.openxmlformats.org/officeDocument/2006/relationships/hyperlink" Target="https://www.ieso.ca/Sector-Participants/Resource-Acquisition-and-Contracts/Medium-Term-RFP" TargetMode="External"/><Relationship Id="rId146" Type="http://schemas.openxmlformats.org/officeDocument/2006/relationships/hyperlink" Target="https://www.bchydro.com/work-with-us/selling-clean-energy/2024-call-for-power/participants.html" TargetMode="External"/><Relationship Id="rId167" Type="http://schemas.openxmlformats.org/officeDocument/2006/relationships/hyperlink" Target="https://www.saskpower.com/our-power-future/infrastructure-projects/construction-projects/planning-and-construction-projects/coal-life-extension-project/poplar-river-power-station-life-extension" TargetMode="External"/><Relationship Id="rId188" Type="http://schemas.openxmlformats.org/officeDocument/2006/relationships/hyperlink" Target="https://www.nbpower.com/media/1492536/2023_irp.pdf" TargetMode="External"/><Relationship Id="rId71" Type="http://schemas.openxmlformats.org/officeDocument/2006/relationships/hyperlink" Target="https://www.ieso.ca/Sector-Participants/Resource-Acquisition-and-Contracts/Long-Term-RFP-and-Expedited-Process" TargetMode="External"/><Relationship Id="rId92" Type="http://schemas.openxmlformats.org/officeDocument/2006/relationships/hyperlink" Target="https://www.ieso.ca/Sector-Participants/Resource-Acquisition-and-Contracts/Long-Term-2-RFP" TargetMode="External"/><Relationship Id="rId213" Type="http://schemas.openxmlformats.org/officeDocument/2006/relationships/hyperlink" Target="https://www.saskpower.com/-/media/saskpower/about-us/reports/report-annualreport-2025-26.pdf" TargetMode="External"/><Relationship Id="rId2" Type="http://schemas.openxmlformats.org/officeDocument/2006/relationships/hyperlink" Target="https://www.nbpower.com/en/about-us/projects" TargetMode="External"/><Relationship Id="rId29" Type="http://schemas.openxmlformats.org/officeDocument/2006/relationships/hyperlink" Target="https://www.hydroquebec.com/achats-electricite-quebec/appels-propositions/2021-01.html" TargetMode="External"/><Relationship Id="rId40" Type="http://schemas.openxmlformats.org/officeDocument/2006/relationships/hyperlink" Target="https://www.collectiveenergy.ca/wind-power/parc-eolien-utshishkau/" TargetMode="External"/><Relationship Id="rId115" Type="http://schemas.openxmlformats.org/officeDocument/2006/relationships/hyperlink" Target="https://www.ieso.ca/Sector-Participants/Resource-Acquisition-and-Contracts/Medium-Term-RFP" TargetMode="External"/><Relationship Id="rId136" Type="http://schemas.openxmlformats.org/officeDocument/2006/relationships/hyperlink" Target="https://www.ieso.ca/Sector-Participants/Resource-Acquisition-and-Contracts/Long-Term-RFP-and-Expedited-Process" TargetMode="External"/><Relationship Id="rId157" Type="http://schemas.openxmlformats.org/officeDocument/2006/relationships/hyperlink" Target="https://www.bchydro.com/toolbar/about/strategies-plans-regulatory/supply-operations/powering-growth.html" TargetMode="External"/><Relationship Id="rId178" Type="http://schemas.openxmlformats.org/officeDocument/2006/relationships/hyperlink" Target="https://www.nbpower.com/media/1492536/2023_irp.pdf" TargetMode="External"/><Relationship Id="rId61" Type="http://schemas.openxmlformats.org/officeDocument/2006/relationships/hyperlink" Target="https://www.ieso.ca/Sector-Participants/Resource-Acquisition-and-Contracts/Long-Term-RFP-and-Expedited-Process" TargetMode="External"/><Relationship Id="rId82" Type="http://schemas.openxmlformats.org/officeDocument/2006/relationships/hyperlink" Target="https://www.ieso.ca/Sector-Participants/Resource-Acquisition-and-Contracts/Long-Term-RFP-and-Expedited-Process" TargetMode="External"/><Relationship Id="rId199" Type="http://schemas.openxmlformats.org/officeDocument/2006/relationships/hyperlink" Target="https://www.porthawkesburypaper.com/wind-project.html" TargetMode="External"/><Relationship Id="rId203" Type="http://schemas.openxmlformats.org/officeDocument/2006/relationships/hyperlink" Target="https://www.saskpower.com/-/media/saskpower/about-us/reports/report-annualreport-2025-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88710-E4B5-4F20-B9AF-2FED31E2CBDA}">
  <dimension ref="A1"/>
  <sheetViews>
    <sheetView zoomScale="62" workbookViewId="0">
      <selection activeCell="S30" sqref="S30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CA82D-8D88-49D5-B264-0E689D4141D6}">
  <dimension ref="A1:A18"/>
  <sheetViews>
    <sheetView workbookViewId="0">
      <selection activeCell="A8" sqref="A8"/>
    </sheetView>
  </sheetViews>
  <sheetFormatPr defaultRowHeight="14.4" x14ac:dyDescent="0.3"/>
  <cols>
    <col min="1" max="1" width="122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7" spans="1:1" x14ac:dyDescent="0.3">
      <c r="A17" t="s">
        <v>14</v>
      </c>
    </row>
    <row r="18" spans="1:1" x14ac:dyDescent="0.3">
      <c r="A18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6673F-3887-418A-8227-25C44CB51E2C}">
  <dimension ref="A1:C29"/>
  <sheetViews>
    <sheetView workbookViewId="0">
      <selection activeCell="B28" sqref="B28"/>
    </sheetView>
  </sheetViews>
  <sheetFormatPr defaultRowHeight="14.4" x14ac:dyDescent="0.3"/>
  <cols>
    <col min="1" max="1" width="37.88671875" customWidth="1"/>
    <col min="2" max="2" width="22.109375" customWidth="1"/>
  </cols>
  <sheetData>
    <row r="1" spans="1:3" x14ac:dyDescent="0.3">
      <c r="A1" t="s">
        <v>16</v>
      </c>
    </row>
    <row r="2" spans="1:3" x14ac:dyDescent="0.3">
      <c r="A2" t="s">
        <v>17</v>
      </c>
      <c r="B2" t="s">
        <v>18</v>
      </c>
    </row>
    <row r="3" spans="1:3" x14ac:dyDescent="0.3">
      <c r="A3" t="s">
        <v>19</v>
      </c>
      <c r="B3" t="s">
        <v>20</v>
      </c>
    </row>
    <row r="4" spans="1:3" x14ac:dyDescent="0.3">
      <c r="A4" t="s">
        <v>21</v>
      </c>
      <c r="B4" t="s">
        <v>22</v>
      </c>
    </row>
    <row r="5" spans="1:3" x14ac:dyDescent="0.3">
      <c r="A5" t="s">
        <v>23</v>
      </c>
      <c r="B5" t="s">
        <v>24</v>
      </c>
    </row>
    <row r="6" spans="1:3" x14ac:dyDescent="0.3">
      <c r="A6" t="s">
        <v>25</v>
      </c>
      <c r="B6" t="s">
        <v>26</v>
      </c>
    </row>
    <row r="7" spans="1:3" x14ac:dyDescent="0.3">
      <c r="A7" t="s">
        <v>27</v>
      </c>
      <c r="B7" t="s">
        <v>28</v>
      </c>
    </row>
    <row r="10" spans="1:3" x14ac:dyDescent="0.3">
      <c r="A10" t="s">
        <v>29</v>
      </c>
    </row>
    <row r="11" spans="1:3" x14ac:dyDescent="0.3">
      <c r="A11" s="7" t="s">
        <v>30</v>
      </c>
      <c r="B11">
        <v>0</v>
      </c>
      <c r="C11" t="s">
        <v>31</v>
      </c>
    </row>
    <row r="12" spans="1:3" x14ac:dyDescent="0.3">
      <c r="A12" s="8"/>
      <c r="B12">
        <v>1</v>
      </c>
      <c r="C12" t="s">
        <v>32</v>
      </c>
    </row>
    <row r="13" spans="1:3" x14ac:dyDescent="0.3">
      <c r="A13" s="8"/>
      <c r="B13">
        <v>2</v>
      </c>
      <c r="C13" t="s">
        <v>33</v>
      </c>
    </row>
    <row r="14" spans="1:3" x14ac:dyDescent="0.3">
      <c r="A14" s="7" t="s">
        <v>34</v>
      </c>
      <c r="B14">
        <v>3</v>
      </c>
      <c r="C14" t="s">
        <v>35</v>
      </c>
    </row>
    <row r="15" spans="1:3" x14ac:dyDescent="0.3">
      <c r="A15" s="8"/>
      <c r="B15">
        <v>4</v>
      </c>
      <c r="C15" t="s">
        <v>36</v>
      </c>
    </row>
    <row r="16" spans="1:3" x14ac:dyDescent="0.3">
      <c r="A16" s="8"/>
      <c r="B16">
        <v>5</v>
      </c>
      <c r="C16" t="s">
        <v>37</v>
      </c>
    </row>
    <row r="17" spans="1:3" x14ac:dyDescent="0.3">
      <c r="A17" s="8"/>
      <c r="B17">
        <v>6</v>
      </c>
      <c r="C17" t="s">
        <v>38</v>
      </c>
    </row>
    <row r="20" spans="1:3" x14ac:dyDescent="0.3">
      <c r="A20" t="s">
        <v>39</v>
      </c>
    </row>
    <row r="21" spans="1:3" x14ac:dyDescent="0.3">
      <c r="A21" t="s">
        <v>40</v>
      </c>
    </row>
    <row r="22" spans="1:3" x14ac:dyDescent="0.3">
      <c r="A22" t="s">
        <v>41</v>
      </c>
    </row>
    <row r="23" spans="1:3" x14ac:dyDescent="0.3">
      <c r="A23" t="s">
        <v>42</v>
      </c>
    </row>
    <row r="25" spans="1:3" x14ac:dyDescent="0.3">
      <c r="A25" t="s">
        <v>43</v>
      </c>
    </row>
    <row r="26" spans="1:3" x14ac:dyDescent="0.3">
      <c r="A26" t="s">
        <v>44</v>
      </c>
    </row>
    <row r="28" spans="1:3" x14ac:dyDescent="0.3">
      <c r="A28" t="s">
        <v>45</v>
      </c>
      <c r="B28" t="s">
        <v>46</v>
      </c>
    </row>
    <row r="29" spans="1:3" x14ac:dyDescent="0.3">
      <c r="A29" t="s">
        <v>47</v>
      </c>
      <c r="B29" t="s">
        <v>48</v>
      </c>
    </row>
  </sheetData>
  <mergeCells count="2">
    <mergeCell ref="A11:A13"/>
    <mergeCell ref="A14:A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2C485-E494-414D-9646-B32E92738026}">
  <dimension ref="A1:O288"/>
  <sheetViews>
    <sheetView tabSelected="1" zoomScaleNormal="100" workbookViewId="0">
      <selection activeCell="G34" sqref="G34"/>
    </sheetView>
  </sheetViews>
  <sheetFormatPr defaultRowHeight="14.4" x14ac:dyDescent="0.3"/>
  <cols>
    <col min="1" max="1" width="10.6640625" customWidth="1"/>
    <col min="2" max="2" width="45.6640625" bestFit="1" customWidth="1"/>
    <col min="3" max="3" width="27.6640625" bestFit="1" customWidth="1"/>
    <col min="4" max="4" width="27.88671875" customWidth="1"/>
    <col min="5" max="5" width="11.33203125" bestFit="1" customWidth="1"/>
    <col min="6" max="6" width="13" bestFit="1" customWidth="1"/>
    <col min="7" max="7" width="14.33203125" bestFit="1" customWidth="1"/>
    <col min="8" max="8" width="17.6640625" bestFit="1" customWidth="1"/>
    <col min="9" max="9" width="11.109375" bestFit="1" customWidth="1"/>
    <col min="10" max="10" width="12" bestFit="1" customWidth="1"/>
    <col min="11" max="11" width="15.33203125" bestFit="1" customWidth="1"/>
    <col min="12" max="12" width="29.5546875" style="1" customWidth="1"/>
    <col min="13" max="13" width="15.33203125" bestFit="1" customWidth="1"/>
    <col min="14" max="14" width="56.44140625" customWidth="1"/>
    <col min="15" max="15" width="109.44140625" customWidth="1"/>
  </cols>
  <sheetData>
    <row r="1" spans="1:15" s="1" customFormat="1" x14ac:dyDescent="0.3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16</v>
      </c>
      <c r="L1" s="1" t="s">
        <v>59</v>
      </c>
      <c r="M1" s="1" t="s">
        <v>60</v>
      </c>
      <c r="N1" s="1" t="s">
        <v>61</v>
      </c>
      <c r="O1" s="1" t="s">
        <v>62</v>
      </c>
    </row>
    <row r="2" spans="1:15" x14ac:dyDescent="0.3">
      <c r="A2" t="s">
        <v>63</v>
      </c>
      <c r="B2" t="s">
        <v>64</v>
      </c>
      <c r="D2" t="str">
        <f>VLOOKUP(Table2[[#This Row],[Project Name]],'[1]Connection Project List'!$B$1:$C$219,2,FALSE)</f>
        <v>04-Medicine Hat</v>
      </c>
      <c r="E2">
        <v>50.357066000000003</v>
      </c>
      <c r="F2">
        <v>-111.355867</v>
      </c>
      <c r="G2" t="s">
        <v>41</v>
      </c>
      <c r="H2" t="s">
        <v>65</v>
      </c>
      <c r="I2">
        <v>100</v>
      </c>
      <c r="J2">
        <v>2026</v>
      </c>
      <c r="K2" t="s">
        <v>66</v>
      </c>
      <c r="L2" t="s">
        <v>67</v>
      </c>
      <c r="M2" s="2">
        <v>46048</v>
      </c>
      <c r="N2" s="1"/>
      <c r="O2" s="4" t="s">
        <v>68</v>
      </c>
    </row>
    <row r="3" spans="1:15" x14ac:dyDescent="0.3">
      <c r="A3" t="s">
        <v>63</v>
      </c>
      <c r="B3" t="s">
        <v>69</v>
      </c>
      <c r="D3" t="str">
        <f>VLOOKUP(Table2[[#This Row],[Project Name]],'[1]Connection Project List'!$B$1:$C$219,2,FALSE)</f>
        <v>28-Cold Lake</v>
      </c>
      <c r="E3">
        <v>54.039096000000001</v>
      </c>
      <c r="F3">
        <v>-110.618281</v>
      </c>
      <c r="G3" t="s">
        <v>41</v>
      </c>
      <c r="H3" t="s">
        <v>70</v>
      </c>
      <c r="I3">
        <v>72</v>
      </c>
      <c r="J3">
        <v>2029</v>
      </c>
      <c r="K3" t="s">
        <v>66</v>
      </c>
      <c r="L3" t="str">
        <f>_xlfn.CONCAT("Stage ", VLOOKUP(Table2[[#This Row],[Project Name]],'[1]Connection Project List'!$B$1:$G$219,6,FALSE))</f>
        <v>Stage 5</v>
      </c>
      <c r="M3" s="2">
        <v>46048</v>
      </c>
      <c r="N3" s="1" t="s">
        <v>71</v>
      </c>
      <c r="O3" s="4" t="s">
        <v>68</v>
      </c>
    </row>
    <row r="4" spans="1:15" x14ac:dyDescent="0.3">
      <c r="A4" t="s">
        <v>63</v>
      </c>
      <c r="B4" t="s">
        <v>72</v>
      </c>
      <c r="D4" t="str">
        <f>VLOOKUP(Table2[[#This Row],[Project Name]],'[1]Connection Project List'!$B$1:$C$219,2,FALSE)</f>
        <v>48-Empress</v>
      </c>
      <c r="E4">
        <v>50.689613999999999</v>
      </c>
      <c r="F4">
        <v>-110.05216</v>
      </c>
      <c r="G4" t="str">
        <f>VLOOKUP(Table2[[#This Row],[Project Name]],'[1]Connection Project List'!$B$1:$E$219,4,FALSE)</f>
        <v>Connection</v>
      </c>
      <c r="H4" t="str">
        <f>VLOOKUP(Table2[[#This Row],[Project Name]],'[1]Connection Project List'!$B$1:$F$219,5,FALSE)</f>
        <v>Solar</v>
      </c>
      <c r="I4">
        <v>150</v>
      </c>
      <c r="J4">
        <v>2028</v>
      </c>
      <c r="K4" t="s">
        <v>66</v>
      </c>
      <c r="L4" t="str">
        <f>_xlfn.CONCAT("Stage ", VLOOKUP(Table2[[#This Row],[Project Name]],'[1]Connection Project List'!$B$1:$G$219,6,FALSE))</f>
        <v>Stage 4</v>
      </c>
      <c r="M4" s="2">
        <v>46212</v>
      </c>
      <c r="N4" s="1"/>
      <c r="O4" s="4" t="s">
        <v>68</v>
      </c>
    </row>
    <row r="5" spans="1:15" x14ac:dyDescent="0.3">
      <c r="A5" t="s">
        <v>63</v>
      </c>
      <c r="B5" t="s">
        <v>73</v>
      </c>
      <c r="D5" t="str">
        <f>VLOOKUP(Table2[[#This Row],[Project Name]],'[1]Connection Project List'!$B$1:$C$219,2,FALSE)</f>
        <v>06-Calgary</v>
      </c>
      <c r="E5">
        <v>51.065199</v>
      </c>
      <c r="F5">
        <v>-114.13341800000001</v>
      </c>
      <c r="G5" t="s">
        <v>40</v>
      </c>
      <c r="H5" t="s">
        <v>70</v>
      </c>
      <c r="I5">
        <v>5</v>
      </c>
      <c r="J5">
        <v>2026</v>
      </c>
      <c r="K5" t="s">
        <v>66</v>
      </c>
      <c r="L5" t="str">
        <f>_xlfn.CONCAT("Stage ", VLOOKUP(Table2[[#This Row],[Project Name]],'[1]Connection Project List'!$B$1:$G$219,6,FALSE))</f>
        <v>Stage 5</v>
      </c>
      <c r="M5" s="2">
        <v>46048</v>
      </c>
      <c r="N5" s="1"/>
      <c r="O5" s="4" t="s">
        <v>68</v>
      </c>
    </row>
    <row r="6" spans="1:15" x14ac:dyDescent="0.3">
      <c r="A6" t="s">
        <v>63</v>
      </c>
      <c r="B6" t="s">
        <v>74</v>
      </c>
      <c r="D6" t="str">
        <f>VLOOKUP(Table2[[#This Row],[Project Name]],'[1]Connection Project List'!$B$1:$C$219,2,FALSE)</f>
        <v>47-Brooks</v>
      </c>
      <c r="E6">
        <v>50.674576000000002</v>
      </c>
      <c r="F6">
        <v>-112.312332</v>
      </c>
      <c r="G6" t="s">
        <v>40</v>
      </c>
      <c r="H6" t="s">
        <v>65</v>
      </c>
      <c r="I6">
        <v>5</v>
      </c>
      <c r="J6">
        <v>2027</v>
      </c>
      <c r="K6" t="s">
        <v>66</v>
      </c>
      <c r="L6" t="str">
        <f>_xlfn.CONCAT("Stage ", VLOOKUP(Table2[[#This Row],[Project Name]],'[1]Connection Project List'!$B$1:$G$219,6,FALSE))</f>
        <v>Stage 5</v>
      </c>
      <c r="M6" s="2">
        <v>46048</v>
      </c>
      <c r="N6" s="1"/>
      <c r="O6" s="4" t="s">
        <v>68</v>
      </c>
    </row>
    <row r="7" spans="1:15" x14ac:dyDescent="0.3">
      <c r="A7" t="s">
        <v>63</v>
      </c>
      <c r="B7" t="s">
        <v>75</v>
      </c>
      <c r="D7" t="str">
        <f>VLOOKUP(Table2[[#This Row],[Project Name]],'[1]Connection Project List'!$B$1:$C$219,2,FALSE)</f>
        <v>37-Provost</v>
      </c>
      <c r="E7">
        <v>52.4071</v>
      </c>
      <c r="F7">
        <v>-110.497</v>
      </c>
      <c r="G7" t="s">
        <v>40</v>
      </c>
      <c r="H7" t="s">
        <v>65</v>
      </c>
      <c r="I7">
        <v>22</v>
      </c>
      <c r="J7" t="s">
        <v>76</v>
      </c>
      <c r="K7" t="s">
        <v>66</v>
      </c>
      <c r="L7" t="str">
        <f>_xlfn.CONCAT("Stage ", VLOOKUP(Table2[[#This Row],[Project Name]],'[1]Connection Project List'!$B$1:$G$219,6,FALSE))</f>
        <v>Stage 5</v>
      </c>
      <c r="M7" s="2">
        <v>46048</v>
      </c>
      <c r="N7" s="1" t="s">
        <v>77</v>
      </c>
      <c r="O7" s="4" t="s">
        <v>68</v>
      </c>
    </row>
    <row r="8" spans="1:15" x14ac:dyDescent="0.3">
      <c r="A8" t="s">
        <v>63</v>
      </c>
      <c r="B8" t="s">
        <v>78</v>
      </c>
      <c r="D8" t="str">
        <f>VLOOKUP(Table2[[#This Row],[Project Name]],'[1]Connection Project List'!$B$1:$C$219,2,FALSE)</f>
        <v>37-Provost</v>
      </c>
      <c r="E8">
        <v>52.618501999999999</v>
      </c>
      <c r="F8">
        <v>-110.265373</v>
      </c>
      <c r="G8" t="s">
        <v>40</v>
      </c>
      <c r="H8" t="s">
        <v>65</v>
      </c>
      <c r="I8">
        <v>18</v>
      </c>
      <c r="J8">
        <v>2026</v>
      </c>
      <c r="K8" t="s">
        <v>66</v>
      </c>
      <c r="L8" t="str">
        <f>_xlfn.CONCAT("Stage ", VLOOKUP(Table2[[#This Row],[Project Name]],'[1]Connection Project List'!$B$1:$G$219,6,FALSE))</f>
        <v>Stage 5</v>
      </c>
      <c r="M8" s="2">
        <v>46048</v>
      </c>
      <c r="N8" s="1" t="s">
        <v>77</v>
      </c>
      <c r="O8" s="4" t="s">
        <v>68</v>
      </c>
    </row>
    <row r="9" spans="1:15" x14ac:dyDescent="0.3">
      <c r="A9" t="s">
        <v>63</v>
      </c>
      <c r="B9" t="s">
        <v>79</v>
      </c>
      <c r="D9" t="str">
        <f>VLOOKUP(Table2[[#This Row],[Project Name]],'[1]Connection Project List'!$B$1:$C$219,2,FALSE)</f>
        <v>46-High River</v>
      </c>
      <c r="E9">
        <v>50.654604999999997</v>
      </c>
      <c r="F9">
        <v>-113.87147</v>
      </c>
      <c r="G9" t="s">
        <v>41</v>
      </c>
      <c r="H9" t="s">
        <v>80</v>
      </c>
      <c r="I9">
        <v>7</v>
      </c>
      <c r="J9">
        <v>2027</v>
      </c>
      <c r="K9" t="s">
        <v>66</v>
      </c>
      <c r="L9" t="str">
        <f>_xlfn.CONCAT("Stage ", VLOOKUP(Table2[[#This Row],[Project Name]],'[1]Connection Project List'!$B$1:$G$219,6,FALSE))</f>
        <v>Stage 5</v>
      </c>
      <c r="M9" s="2">
        <v>46048</v>
      </c>
      <c r="N9" s="1" t="s">
        <v>81</v>
      </c>
      <c r="O9" s="4" t="s">
        <v>68</v>
      </c>
    </row>
    <row r="10" spans="1:15" x14ac:dyDescent="0.3">
      <c r="A10" t="s">
        <v>63</v>
      </c>
      <c r="B10" t="s">
        <v>82</v>
      </c>
      <c r="C10" t="s">
        <v>83</v>
      </c>
      <c r="D10" t="str">
        <f>VLOOKUP(Table2[[#This Row],[Project Name]],'[1]Connection Project List'!$B$1:$C$219,2,FALSE)</f>
        <v>04-Medicine Hat</v>
      </c>
      <c r="E10">
        <v>50.033234</v>
      </c>
      <c r="F10">
        <v>-110.480254</v>
      </c>
      <c r="G10" t="s">
        <v>41</v>
      </c>
      <c r="H10" t="s">
        <v>65</v>
      </c>
      <c r="I10">
        <v>216</v>
      </c>
      <c r="J10">
        <v>2028</v>
      </c>
      <c r="K10" t="s">
        <v>66</v>
      </c>
      <c r="L10" t="str">
        <f>_xlfn.CONCAT("Stage ", VLOOKUP(Table2[[#This Row],[Project Name]],'[1]Connection Project List'!$B$1:$G$219,6,FALSE))</f>
        <v>Stage 5</v>
      </c>
      <c r="M10" s="2">
        <v>46212</v>
      </c>
      <c r="N10" s="1" t="s">
        <v>84</v>
      </c>
      <c r="O10" s="4" t="s">
        <v>68</v>
      </c>
    </row>
    <row r="11" spans="1:15" x14ac:dyDescent="0.3">
      <c r="A11" t="s">
        <v>63</v>
      </c>
      <c r="B11" t="s">
        <v>85</v>
      </c>
      <c r="D11" t="str">
        <f>VLOOKUP(Table2[[#This Row],[Project Name]],'[1]Connection Project List'!$B$1:$C$219,2,FALSE)</f>
        <v>06-Calgary</v>
      </c>
      <c r="G11" t="s">
        <v>40</v>
      </c>
      <c r="H11" t="s">
        <v>70</v>
      </c>
      <c r="I11">
        <v>0</v>
      </c>
      <c r="J11" t="s">
        <v>76</v>
      </c>
      <c r="L11" t="str">
        <f>_xlfn.CONCAT("Stage ", VLOOKUP(Table2[[#This Row],[Project Name]],'[1]Connection Project List'!$B$1:$G$219,6,FALSE))</f>
        <v>Stage 5</v>
      </c>
      <c r="M11" s="2">
        <v>46048</v>
      </c>
      <c r="N11" t="s">
        <v>86</v>
      </c>
      <c r="O11" s="4" t="s">
        <v>68</v>
      </c>
    </row>
    <row r="12" spans="1:15" x14ac:dyDescent="0.3">
      <c r="A12" t="s">
        <v>63</v>
      </c>
      <c r="B12" t="s">
        <v>87</v>
      </c>
      <c r="D12" t="str">
        <f>VLOOKUP(Table2[[#This Row],[Project Name]],'[1]Connection Project List'!$B$1:$C$219,2,FALSE)</f>
        <v>42-Hanna</v>
      </c>
      <c r="E12">
        <v>51.310955999999997</v>
      </c>
      <c r="F12">
        <v>-110.491412</v>
      </c>
      <c r="G12" t="s">
        <v>41</v>
      </c>
      <c r="H12" t="s">
        <v>88</v>
      </c>
      <c r="I12">
        <v>250</v>
      </c>
      <c r="J12">
        <v>2027</v>
      </c>
      <c r="K12" t="s">
        <v>66</v>
      </c>
      <c r="L12" t="str">
        <f>_xlfn.CONCAT("Stage ", VLOOKUP(Table2[[#This Row],[Project Name]],'[1]Connection Project List'!$B$1:$G$219,6,FALSE))</f>
        <v>Stage 5</v>
      </c>
      <c r="M12" s="2">
        <v>46048</v>
      </c>
      <c r="N12" s="1" t="s">
        <v>89</v>
      </c>
      <c r="O12" s="4" t="s">
        <v>68</v>
      </c>
    </row>
    <row r="13" spans="1:15" x14ac:dyDescent="0.3">
      <c r="A13" t="s">
        <v>63</v>
      </c>
      <c r="B13" t="s">
        <v>90</v>
      </c>
      <c r="D13" t="str">
        <f>VLOOKUP(Table2[[#This Row],[Project Name]],'[1]Connection Project List'!$B$1:$C$219,2,FALSE)</f>
        <v>43-Sheerness</v>
      </c>
      <c r="E13">
        <v>51.516598000000002</v>
      </c>
      <c r="F13">
        <v>-111.667832</v>
      </c>
      <c r="G13" t="s">
        <v>40</v>
      </c>
      <c r="H13" t="s">
        <v>65</v>
      </c>
      <c r="I13">
        <v>12</v>
      </c>
      <c r="J13">
        <v>2027</v>
      </c>
      <c r="K13" t="s">
        <v>66</v>
      </c>
      <c r="L13" t="str">
        <f>_xlfn.CONCAT("Stage ", VLOOKUP(Table2[[#This Row],[Project Name]],'[1]Connection Project List'!$B$1:$G$219,6,FALSE))</f>
        <v>Stage 5</v>
      </c>
      <c r="M13" s="2">
        <v>46048</v>
      </c>
      <c r="N13" s="1"/>
      <c r="O13" s="4" t="s">
        <v>68</v>
      </c>
    </row>
    <row r="14" spans="1:15" x14ac:dyDescent="0.3">
      <c r="A14" t="s">
        <v>63</v>
      </c>
      <c r="B14" t="s">
        <v>91</v>
      </c>
      <c r="D14" t="str">
        <f>VLOOKUP(Table2[[#This Row],[Project Name]],'[1]Connection Project List'!$B$1:$C$219,2,FALSE)</f>
        <v>45-Strathmore/Blackie</v>
      </c>
      <c r="E14">
        <v>50.847315000000002</v>
      </c>
      <c r="F14">
        <v>-113.53831599999999</v>
      </c>
      <c r="G14" t="s">
        <v>41</v>
      </c>
      <c r="H14" t="s">
        <v>65</v>
      </c>
      <c r="I14">
        <v>150</v>
      </c>
      <c r="J14">
        <v>2027</v>
      </c>
      <c r="K14" t="s">
        <v>66</v>
      </c>
      <c r="L14" t="str">
        <f>_xlfn.CONCAT("Stage ", VLOOKUP(Table2[[#This Row],[Project Name]],'[1]Connection Project List'!$B$1:$G$219,6,FALSE))</f>
        <v>Stage 5</v>
      </c>
      <c r="M14" s="2">
        <v>46048</v>
      </c>
      <c r="N14" s="1"/>
      <c r="O14" s="4" t="s">
        <v>68</v>
      </c>
    </row>
    <row r="15" spans="1:15" x14ac:dyDescent="0.3">
      <c r="A15" t="s">
        <v>63</v>
      </c>
      <c r="B15" t="s">
        <v>92</v>
      </c>
      <c r="D15" t="str">
        <f>VLOOKUP(Table2[[#This Row],[Project Name]],'[1]Connection Project List'!$B$1:$C$219,2,FALSE)</f>
        <v>45-Strathmore/Blackie</v>
      </c>
      <c r="E15">
        <v>50.739327000000003</v>
      </c>
      <c r="F15">
        <v>-113.417692</v>
      </c>
      <c r="G15" t="s">
        <v>41</v>
      </c>
      <c r="H15" t="s">
        <v>65</v>
      </c>
      <c r="I15">
        <v>230</v>
      </c>
      <c r="J15">
        <v>2026</v>
      </c>
      <c r="K15" t="s">
        <v>66</v>
      </c>
      <c r="L15" t="str">
        <f>_xlfn.CONCAT("Stage ", VLOOKUP(Table2[[#This Row],[Project Name]],'[1]Connection Project List'!$B$1:$G$219,6,FALSE))</f>
        <v>Stage 5</v>
      </c>
      <c r="M15" s="2">
        <v>46048</v>
      </c>
      <c r="N15" s="1"/>
      <c r="O15" s="4" t="s">
        <v>68</v>
      </c>
    </row>
    <row r="16" spans="1:15" x14ac:dyDescent="0.3">
      <c r="A16" t="s">
        <v>63</v>
      </c>
      <c r="B16" t="s">
        <v>93</v>
      </c>
      <c r="D16" t="str">
        <f>VLOOKUP(Table2[[#This Row],[Project Name]],'[1]Connection Project List'!$B$1:$C$219,2,FALSE)</f>
        <v>48-Empress</v>
      </c>
      <c r="E16">
        <v>50.730383000000003</v>
      </c>
      <c r="F16">
        <v>-111.344279</v>
      </c>
      <c r="G16" t="s">
        <v>41</v>
      </c>
      <c r="H16" t="s">
        <v>65</v>
      </c>
      <c r="I16">
        <v>220</v>
      </c>
      <c r="J16">
        <v>2028</v>
      </c>
      <c r="K16" t="s">
        <v>66</v>
      </c>
      <c r="L16" t="str">
        <f>_xlfn.CONCAT("Stage ", VLOOKUP(Table2[[#This Row],[Project Name]],'[1]Connection Project List'!$B$1:$G$219,6,FALSE))</f>
        <v>Stage 5</v>
      </c>
      <c r="M16" s="2">
        <v>46048</v>
      </c>
      <c r="N16" s="1"/>
      <c r="O16" s="4" t="s">
        <v>68</v>
      </c>
    </row>
    <row r="17" spans="1:15" x14ac:dyDescent="0.3">
      <c r="A17" t="s">
        <v>63</v>
      </c>
      <c r="B17" t="s">
        <v>93</v>
      </c>
      <c r="D17" t="str">
        <f>VLOOKUP(Table2[[#This Row],[Project Name]],'[1]Connection Project List'!$B$1:$C$219,2,FALSE)</f>
        <v>48-Empress</v>
      </c>
      <c r="E17">
        <v>50.730383000000003</v>
      </c>
      <c r="F17">
        <v>-111.344279</v>
      </c>
      <c r="G17" t="s">
        <v>41</v>
      </c>
      <c r="H17" t="s">
        <v>80</v>
      </c>
      <c r="I17">
        <v>80</v>
      </c>
      <c r="J17">
        <v>2026</v>
      </c>
      <c r="K17" t="s">
        <v>94</v>
      </c>
      <c r="L17" t="s">
        <v>94</v>
      </c>
      <c r="M17" s="2">
        <v>46048</v>
      </c>
      <c r="N17" s="1" t="s">
        <v>95</v>
      </c>
      <c r="O17" s="4" t="s">
        <v>68</v>
      </c>
    </row>
    <row r="18" spans="1:15" x14ac:dyDescent="0.3">
      <c r="A18" t="s">
        <v>63</v>
      </c>
      <c r="B18" t="s">
        <v>96</v>
      </c>
      <c r="D18" t="str">
        <f>VLOOKUP(Table2[[#This Row],[Project Name]],'[1]Connection Project List'!$B$1:$C$219,2,FALSE)</f>
        <v>48-Empress</v>
      </c>
      <c r="E18">
        <v>50.703197000000003</v>
      </c>
      <c r="F18">
        <v>-110.026844</v>
      </c>
      <c r="G18" t="s">
        <v>41</v>
      </c>
      <c r="H18" t="s">
        <v>65</v>
      </c>
      <c r="I18">
        <v>200</v>
      </c>
      <c r="J18">
        <v>2028</v>
      </c>
      <c r="K18" t="s">
        <v>66</v>
      </c>
      <c r="L18" t="str">
        <f>_xlfn.CONCAT("Stage ", VLOOKUP(Table2[[#This Row],[Project Name]],'[1]Connection Project List'!$B$1:$G$219,6,FALSE))</f>
        <v>Stage 5</v>
      </c>
      <c r="M18" s="2">
        <v>46048</v>
      </c>
      <c r="N18" s="1"/>
      <c r="O18" s="4" t="s">
        <v>68</v>
      </c>
    </row>
    <row r="19" spans="1:15" x14ac:dyDescent="0.3">
      <c r="A19" t="s">
        <v>63</v>
      </c>
      <c r="B19" t="s">
        <v>97</v>
      </c>
      <c r="D19" t="str">
        <f>VLOOKUP(Table2[[#This Row],[Project Name]],'[1]Connection Project List'!$B$1:$C$219,2,FALSE)</f>
        <v>53-Fort Macleod</v>
      </c>
      <c r="E19">
        <v>49.989310000000003</v>
      </c>
      <c r="F19">
        <v>-113.43673200000001</v>
      </c>
      <c r="G19" t="str">
        <f>VLOOKUP(Table2[[#This Row],[Project Name]],'[1]Connection Project List'!$B$1:$E$219,4,FALSE)</f>
        <v>Connection</v>
      </c>
      <c r="H19" t="str">
        <f>VLOOKUP(Table2[[#This Row],[Project Name]],'[1]Connection Project List'!$B$1:$F$219,5,FALSE)</f>
        <v>Solar</v>
      </c>
      <c r="I19">
        <v>400</v>
      </c>
      <c r="J19">
        <v>2027</v>
      </c>
      <c r="K19" t="s">
        <v>66</v>
      </c>
      <c r="L19" t="str">
        <f>_xlfn.CONCAT("Stage ", VLOOKUP(Table2[[#This Row],[Project Name]],'[1]Connection Project List'!$B$1:$G$219,6,FALSE))</f>
        <v>Stage 5</v>
      </c>
      <c r="M19" s="2">
        <v>46212</v>
      </c>
      <c r="N19" s="1"/>
      <c r="O19" s="4" t="s">
        <v>68</v>
      </c>
    </row>
    <row r="20" spans="1:15" x14ac:dyDescent="0.3">
      <c r="A20" t="s">
        <v>63</v>
      </c>
      <c r="B20" t="s">
        <v>98</v>
      </c>
      <c r="C20" t="s">
        <v>99</v>
      </c>
      <c r="E20">
        <v>50.533839999999998</v>
      </c>
      <c r="F20">
        <v>-111.670046</v>
      </c>
      <c r="G20" t="s">
        <v>40</v>
      </c>
      <c r="H20" t="s">
        <v>65</v>
      </c>
      <c r="I20">
        <v>19.600000000000001</v>
      </c>
      <c r="J20">
        <v>2025</v>
      </c>
      <c r="L20" t="e">
        <f>_xlfn.CONCAT("Stage ", VLOOKUP(Table2[[#This Row],[Project Name]],'[1]Connection Project List'!$B$1:$G$219,6,FALSE))</f>
        <v>#N/A</v>
      </c>
      <c r="M20" s="2">
        <v>46048</v>
      </c>
      <c r="N20" s="1" t="s">
        <v>100</v>
      </c>
      <c r="O20" s="4" t="s">
        <v>68</v>
      </c>
    </row>
    <row r="21" spans="1:15" x14ac:dyDescent="0.3">
      <c r="A21" t="s">
        <v>63</v>
      </c>
      <c r="B21" t="s">
        <v>101</v>
      </c>
      <c r="D21" t="str">
        <f>VLOOKUP(Table2[[#This Row],[Project Name]],'[1]Connection Project List'!$B$1:$C$219,2,FALSE)</f>
        <v>45-Strathmore/Blackie</v>
      </c>
      <c r="E21">
        <v>50.739327000000003</v>
      </c>
      <c r="F21">
        <v>-113.417692</v>
      </c>
      <c r="G21" t="s">
        <v>40</v>
      </c>
      <c r="H21" t="s">
        <v>80</v>
      </c>
      <c r="I21">
        <v>1</v>
      </c>
      <c r="J21">
        <v>2027</v>
      </c>
      <c r="K21" t="s">
        <v>66</v>
      </c>
      <c r="L21" t="str">
        <f>_xlfn.CONCAT("Stage ", VLOOKUP(Table2[[#This Row],[Project Name]],'[1]Connection Project List'!$B$1:$G$219,6,FALSE))</f>
        <v>Stage 5</v>
      </c>
      <c r="M21" s="2">
        <v>46048</v>
      </c>
      <c r="N21" s="1" t="s">
        <v>77</v>
      </c>
      <c r="O21" s="4" t="s">
        <v>68</v>
      </c>
    </row>
    <row r="22" spans="1:15" x14ac:dyDescent="0.3">
      <c r="A22" t="s">
        <v>63</v>
      </c>
      <c r="B22" t="s">
        <v>102</v>
      </c>
      <c r="D22" t="str">
        <f>VLOOKUP(Table2[[#This Row],[Project Name]],'[1]Connection Project List'!$B$1:$C$219,2,FALSE)</f>
        <v>60-Edmonton</v>
      </c>
      <c r="E22">
        <v>53.591667000000001</v>
      </c>
      <c r="F22">
        <v>-113.298278</v>
      </c>
      <c r="G22" t="s">
        <v>41</v>
      </c>
      <c r="H22" t="s">
        <v>70</v>
      </c>
      <c r="I22">
        <v>20</v>
      </c>
      <c r="J22">
        <v>2027</v>
      </c>
      <c r="K22" t="s">
        <v>66</v>
      </c>
      <c r="L22" t="str">
        <f>_xlfn.CONCAT("Stage ", VLOOKUP(Table2[[#This Row],[Project Name]],'[1]Connection Project List'!$B$1:$G$219,6,FALSE))</f>
        <v>Stage 5</v>
      </c>
      <c r="M22" s="2">
        <v>46048</v>
      </c>
      <c r="N22" s="1"/>
      <c r="O22" s="4" t="s">
        <v>68</v>
      </c>
    </row>
    <row r="23" spans="1:15" x14ac:dyDescent="0.3">
      <c r="A23" t="s">
        <v>63</v>
      </c>
      <c r="B23" t="s">
        <v>103</v>
      </c>
      <c r="D23" t="str">
        <f>VLOOKUP(Table2[[#This Row],[Project Name]],'[1]Connection Project List'!$B$1:$C$219,2,FALSE)</f>
        <v>30-Drayton Valley</v>
      </c>
      <c r="E23">
        <v>52.620700999999997</v>
      </c>
      <c r="F23">
        <v>-114.533452</v>
      </c>
      <c r="G23" t="str">
        <f>VLOOKUP(Table2[[#This Row],[Project Name]],'[1]Connection Project List'!$B$1:$E$219,4,FALSE)</f>
        <v>Connection</v>
      </c>
      <c r="H23" t="s">
        <v>104</v>
      </c>
      <c r="I23">
        <v>466</v>
      </c>
      <c r="J23">
        <v>2029</v>
      </c>
      <c r="K23" t="s">
        <v>66</v>
      </c>
      <c r="L23" t="str">
        <f>_xlfn.CONCAT("Stage ", VLOOKUP(Table2[[#This Row],[Project Name]],'[1]Connection Project List'!$B$1:$G$219,6,FALSE))</f>
        <v>Stage 4</v>
      </c>
      <c r="M23" s="2">
        <v>46212</v>
      </c>
      <c r="N23" s="1"/>
      <c r="O23" s="4" t="s">
        <v>68</v>
      </c>
    </row>
    <row r="24" spans="1:15" x14ac:dyDescent="0.3">
      <c r="A24" t="s">
        <v>63</v>
      </c>
      <c r="B24" t="s">
        <v>105</v>
      </c>
      <c r="D24" t="str">
        <f>VLOOKUP(Table2[[#This Row],[Project Name]],'[1]Connection Project List'!$B$1:$C$219,2,FALSE)</f>
        <v>24-Fox Creek</v>
      </c>
      <c r="E24">
        <v>54.439489999999999</v>
      </c>
      <c r="F24">
        <v>-117.01545299999999</v>
      </c>
      <c r="G24" t="s">
        <v>41</v>
      </c>
      <c r="H24" t="s">
        <v>106</v>
      </c>
      <c r="I24">
        <v>99</v>
      </c>
      <c r="J24">
        <v>2027</v>
      </c>
      <c r="K24" t="s">
        <v>66</v>
      </c>
      <c r="L24" t="str">
        <f>_xlfn.CONCAT("Stage ", VLOOKUP(Table2[[#This Row],[Project Name]],'[1]Connection Project List'!$B$1:$G$219,6,FALSE))</f>
        <v>Stage 5</v>
      </c>
      <c r="M24" s="2">
        <v>46048</v>
      </c>
      <c r="N24" s="1"/>
      <c r="O24" s="4" t="s">
        <v>68</v>
      </c>
    </row>
    <row r="25" spans="1:15" x14ac:dyDescent="0.3">
      <c r="A25" t="s">
        <v>63</v>
      </c>
      <c r="B25" t="s">
        <v>107</v>
      </c>
      <c r="D25" t="str">
        <f>VLOOKUP(Table2[[#This Row],[Project Name]],'[1]Connection Project List'!$B$1:$C$219,2,FALSE)</f>
        <v>30-Drayton Valley</v>
      </c>
      <c r="E25">
        <v>53.424334000000002</v>
      </c>
      <c r="F25">
        <v>-114.985753</v>
      </c>
      <c r="G25" t="s">
        <v>40</v>
      </c>
      <c r="H25" t="s">
        <v>65</v>
      </c>
      <c r="I25">
        <v>17</v>
      </c>
      <c r="J25">
        <v>2026</v>
      </c>
      <c r="K25" t="s">
        <v>66</v>
      </c>
      <c r="L25" t="str">
        <f>_xlfn.CONCAT("Stage ", VLOOKUP(Table2[[#This Row],[Project Name]],'[1]Connection Project List'!$B$1:$G$219,6,FALSE))</f>
        <v>Stage 5</v>
      </c>
      <c r="M25" s="2">
        <v>46048</v>
      </c>
      <c r="N25" s="1"/>
      <c r="O25" s="4" t="s">
        <v>68</v>
      </c>
    </row>
    <row r="26" spans="1:15" x14ac:dyDescent="0.3">
      <c r="A26" t="s">
        <v>63</v>
      </c>
      <c r="B26" t="s">
        <v>108</v>
      </c>
      <c r="D26" t="str">
        <f>VLOOKUP(Table2[[#This Row],[Project Name]],'[1]Connection Project List'!$B$1:$C$219,2,FALSE)</f>
        <v>04-Medicine Hat</v>
      </c>
      <c r="E26">
        <v>49.596941999999999</v>
      </c>
      <c r="F26">
        <v>-110.94771900000001</v>
      </c>
      <c r="G26" t="s">
        <v>41</v>
      </c>
      <c r="H26" t="s">
        <v>65</v>
      </c>
      <c r="I26">
        <v>450</v>
      </c>
      <c r="J26">
        <v>2027</v>
      </c>
      <c r="K26" t="s">
        <v>66</v>
      </c>
      <c r="L26" t="str">
        <f>_xlfn.CONCAT("Stage ", VLOOKUP(Table2[[#This Row],[Project Name]],'[1]Connection Project List'!$B$1:$G$219,6,FALSE))</f>
        <v>Stage 5</v>
      </c>
      <c r="M26" s="2">
        <v>46048</v>
      </c>
      <c r="N26" s="1"/>
      <c r="O26" s="4" t="s">
        <v>68</v>
      </c>
    </row>
    <row r="27" spans="1:15" x14ac:dyDescent="0.3">
      <c r="A27" t="s">
        <v>63</v>
      </c>
      <c r="B27" t="s">
        <v>109</v>
      </c>
      <c r="D27" t="str">
        <f>VLOOKUP(Table2[[#This Row],[Project Name]],'[1]Connection Project List'!$B$1:$C$219,2,FALSE)</f>
        <v>40-Wabamun</v>
      </c>
      <c r="E27">
        <v>53.515697000000003</v>
      </c>
      <c r="F27">
        <v>-113.911102</v>
      </c>
      <c r="G27" t="s">
        <v>40</v>
      </c>
      <c r="H27" t="s">
        <v>65</v>
      </c>
      <c r="I27">
        <v>12</v>
      </c>
      <c r="J27">
        <v>2026</v>
      </c>
      <c r="K27" t="s">
        <v>66</v>
      </c>
      <c r="L27" t="str">
        <f>_xlfn.CONCAT("Stage ", VLOOKUP(Table2[[#This Row],[Project Name]],'[1]Connection Project List'!$B$1:$G$219,6,FALSE))</f>
        <v>Stage 5</v>
      </c>
      <c r="M27" s="2">
        <v>46048</v>
      </c>
      <c r="N27" s="1"/>
      <c r="O27" s="4" t="s">
        <v>68</v>
      </c>
    </row>
    <row r="28" spans="1:15" x14ac:dyDescent="0.3">
      <c r="A28" t="s">
        <v>63</v>
      </c>
      <c r="B28" t="s">
        <v>110</v>
      </c>
      <c r="D28" t="str">
        <f>VLOOKUP(Table2[[#This Row],[Project Name]],'[1]Connection Project List'!$B$1:$C$219,2,FALSE)</f>
        <v>43-Sheerness</v>
      </c>
      <c r="E28">
        <v>51.327897999999998</v>
      </c>
      <c r="F28">
        <v>-111.56318899999999</v>
      </c>
      <c r="G28" t="s">
        <v>41</v>
      </c>
      <c r="H28" t="s">
        <v>65</v>
      </c>
      <c r="I28">
        <v>280</v>
      </c>
      <c r="J28">
        <v>2029</v>
      </c>
      <c r="K28" t="s">
        <v>66</v>
      </c>
      <c r="L28" t="str">
        <f>_xlfn.CONCAT("Stage ", VLOOKUP(Table2[[#This Row],[Project Name]],'[1]Connection Project List'!$B$1:$G$219,6,FALSE))</f>
        <v>Stage 5</v>
      </c>
      <c r="M28" s="2">
        <v>46212</v>
      </c>
      <c r="N28" s="1"/>
      <c r="O28" s="4" t="s">
        <v>68</v>
      </c>
    </row>
    <row r="29" spans="1:15" x14ac:dyDescent="0.3">
      <c r="A29" t="s">
        <v>63</v>
      </c>
      <c r="B29" t="s">
        <v>110</v>
      </c>
      <c r="D29" t="str">
        <f>VLOOKUP(Table2[[#This Row],[Project Name]],'[1]Connection Project List'!$B$1:$C$219,2,FALSE)</f>
        <v>43-Sheerness</v>
      </c>
      <c r="E29">
        <v>51.327897999999998</v>
      </c>
      <c r="F29">
        <v>-111.56318899999999</v>
      </c>
      <c r="G29" t="s">
        <v>41</v>
      </c>
      <c r="H29" t="s">
        <v>80</v>
      </c>
      <c r="I29">
        <v>100</v>
      </c>
      <c r="J29">
        <v>2029</v>
      </c>
      <c r="K29" t="s">
        <v>66</v>
      </c>
      <c r="L29" t="str">
        <f>_xlfn.CONCAT("Stage ", VLOOKUP(Table2[[#This Row],[Project Name]],'[1]Connection Project List'!$B$1:$G$219,6,FALSE))</f>
        <v>Stage 5</v>
      </c>
      <c r="M29" s="2">
        <v>46212</v>
      </c>
      <c r="N29" s="1"/>
      <c r="O29" s="4" t="s">
        <v>68</v>
      </c>
    </row>
    <row r="30" spans="1:15" x14ac:dyDescent="0.3">
      <c r="A30" t="s">
        <v>63</v>
      </c>
      <c r="B30" t="s">
        <v>111</v>
      </c>
      <c r="D30" t="str">
        <f>VLOOKUP(Table2[[#This Row],[Project Name]],'[1]Connection Project List'!$B$1:$C$219,2,FALSE)</f>
        <v>04-Medicine Hat</v>
      </c>
      <c r="E30">
        <v>55.300319999999999</v>
      </c>
      <c r="F30">
        <v>-119.17956</v>
      </c>
      <c r="G30" t="str">
        <f>VLOOKUP(Table2[[#This Row],[Project Name]],'[1]Connection Project List'!$B$1:$E$219,4,FALSE)</f>
        <v>BTF</v>
      </c>
      <c r="H30" t="s">
        <v>65</v>
      </c>
      <c r="I30">
        <v>60</v>
      </c>
      <c r="J30">
        <v>2026</v>
      </c>
      <c r="K30" t="s">
        <v>66</v>
      </c>
      <c r="L30" t="str">
        <f>_xlfn.CONCAT("Stage ", VLOOKUP(Table2[[#This Row],[Project Name]],'[1]Connection Project List'!$B$1:$G$219,6,FALSE))</f>
        <v>Stage 5</v>
      </c>
      <c r="M30" s="2">
        <v>46212</v>
      </c>
      <c r="N30" s="1" t="s">
        <v>112</v>
      </c>
      <c r="O30" s="4" t="s">
        <v>68</v>
      </c>
    </row>
    <row r="31" spans="1:15" x14ac:dyDescent="0.3">
      <c r="A31" t="s">
        <v>63</v>
      </c>
      <c r="B31" t="s">
        <v>113</v>
      </c>
      <c r="D31" t="str">
        <f>VLOOKUP(Table2[[#This Row],[Project Name]],'[1]Connection Project List'!$B$1:$C$219,2,FALSE)</f>
        <v>04-Medicine Hat</v>
      </c>
      <c r="E31">
        <v>49.811990000000002</v>
      </c>
      <c r="F31">
        <v>-110.73821100000001</v>
      </c>
      <c r="G31" t="s">
        <v>41</v>
      </c>
      <c r="H31" t="s">
        <v>88</v>
      </c>
      <c r="I31">
        <v>120</v>
      </c>
      <c r="J31">
        <v>2028</v>
      </c>
      <c r="K31" t="s">
        <v>66</v>
      </c>
      <c r="L31" t="str">
        <f>_xlfn.CONCAT("Stage ", VLOOKUP(Table2[[#This Row],[Project Name]],'[1]Connection Project List'!$B$1:$G$219,6,FALSE))</f>
        <v>Stage 5</v>
      </c>
      <c r="M31" s="2">
        <v>46048</v>
      </c>
      <c r="N31" s="1"/>
      <c r="O31" s="4" t="s">
        <v>68</v>
      </c>
    </row>
    <row r="32" spans="1:15" x14ac:dyDescent="0.3">
      <c r="A32" t="s">
        <v>63</v>
      </c>
      <c r="B32" t="s">
        <v>114</v>
      </c>
      <c r="D32" t="str">
        <f>VLOOKUP(Table2[[#This Row],[Project Name]],'[1]Connection Project List'!$B$1:$C$219,2,FALSE)</f>
        <v>31-Wetaskiwin</v>
      </c>
      <c r="E32">
        <v>53.236344000000003</v>
      </c>
      <c r="F32">
        <v>-113.93847599999999</v>
      </c>
      <c r="G32" t="s">
        <v>40</v>
      </c>
      <c r="H32" t="s">
        <v>65</v>
      </c>
      <c r="I32">
        <v>12.9</v>
      </c>
      <c r="J32">
        <v>2026</v>
      </c>
      <c r="K32" t="s">
        <v>66</v>
      </c>
      <c r="L32" t="str">
        <f>_xlfn.CONCAT("Stage ", VLOOKUP(Table2[[#This Row],[Project Name]],'[1]Connection Project List'!$B$1:$G$219,6,FALSE))</f>
        <v>Stage 5</v>
      </c>
      <c r="M32" s="2">
        <v>46048</v>
      </c>
      <c r="N32" s="1"/>
      <c r="O32" s="4" t="s">
        <v>68</v>
      </c>
    </row>
    <row r="33" spans="1:15" x14ac:dyDescent="0.3">
      <c r="A33" t="s">
        <v>63</v>
      </c>
      <c r="B33" t="s">
        <v>115</v>
      </c>
      <c r="D33" t="str">
        <f>VLOOKUP(Table2[[#This Row],[Project Name]],'[1]Connection Project List'!$B$1:$C$219,2,FALSE)</f>
        <v>33-Fort Saskatchewan</v>
      </c>
      <c r="E33">
        <v>53.812840999999999</v>
      </c>
      <c r="F33">
        <v>-113.078536</v>
      </c>
      <c r="G33" t="s">
        <v>40</v>
      </c>
      <c r="H33" t="s">
        <v>65</v>
      </c>
      <c r="I33">
        <v>58</v>
      </c>
      <c r="J33">
        <v>2028</v>
      </c>
      <c r="K33" t="s">
        <v>66</v>
      </c>
      <c r="L33" t="str">
        <f>_xlfn.CONCAT("Stage ", VLOOKUP(Table2[[#This Row],[Project Name]],'[1]Connection Project List'!$B$1:$G$219,6,FALSE))</f>
        <v>Stage 5</v>
      </c>
      <c r="M33" s="2">
        <v>46048</v>
      </c>
      <c r="N33" s="1" t="s">
        <v>116</v>
      </c>
      <c r="O33" s="4" t="s">
        <v>68</v>
      </c>
    </row>
    <row r="34" spans="1:15" x14ac:dyDescent="0.3">
      <c r="A34" t="s">
        <v>63</v>
      </c>
      <c r="B34" t="s">
        <v>117</v>
      </c>
      <c r="D34" t="s">
        <v>118</v>
      </c>
      <c r="E34">
        <v>50.728219000000003</v>
      </c>
      <c r="F34">
        <v>-111.916664</v>
      </c>
      <c r="G34" t="s">
        <v>40</v>
      </c>
      <c r="H34" t="s">
        <v>65</v>
      </c>
      <c r="I34">
        <v>19.8</v>
      </c>
      <c r="J34">
        <v>2025</v>
      </c>
      <c r="K34" t="s">
        <v>94</v>
      </c>
      <c r="L34" t="s">
        <v>94</v>
      </c>
      <c r="M34" s="2">
        <v>46048</v>
      </c>
      <c r="N34" s="1"/>
      <c r="O34" s="4" t="s">
        <v>68</v>
      </c>
    </row>
    <row r="35" spans="1:15" x14ac:dyDescent="0.3">
      <c r="A35" t="s">
        <v>63</v>
      </c>
      <c r="B35" t="s">
        <v>119</v>
      </c>
      <c r="D35" t="str">
        <f>VLOOKUP(Table2[[#This Row],[Project Name]],'[1]Connection Project List'!$B$1:$C$219,2,FALSE)</f>
        <v>37-Provost</v>
      </c>
      <c r="E35">
        <v>52.566876000000001</v>
      </c>
      <c r="F35">
        <v>-110.580957</v>
      </c>
      <c r="G35" t="s">
        <v>41</v>
      </c>
      <c r="H35" t="s">
        <v>65</v>
      </c>
      <c r="I35">
        <v>300</v>
      </c>
      <c r="J35">
        <v>2029</v>
      </c>
      <c r="K35" t="s">
        <v>66</v>
      </c>
      <c r="L35" t="str">
        <f>_xlfn.CONCAT("Stage ", VLOOKUP(Table2[[#This Row],[Project Name]],'[1]Connection Project List'!$B$1:$G$219,6,FALSE))</f>
        <v>Stage 5</v>
      </c>
      <c r="M35" s="2">
        <v>46048</v>
      </c>
      <c r="N35" s="1"/>
      <c r="O35" s="4" t="s">
        <v>68</v>
      </c>
    </row>
    <row r="36" spans="1:15" x14ac:dyDescent="0.3">
      <c r="A36" t="s">
        <v>63</v>
      </c>
      <c r="B36" t="s">
        <v>119</v>
      </c>
      <c r="D36" t="str">
        <f>VLOOKUP(Table2[[#This Row],[Project Name]],'[1]Connection Project List'!$B$1:$C$219,2,FALSE)</f>
        <v>37-Provost</v>
      </c>
      <c r="E36">
        <v>52.566876000000001</v>
      </c>
      <c r="F36">
        <v>-110.580957</v>
      </c>
      <c r="G36" t="s">
        <v>41</v>
      </c>
      <c r="H36" t="s">
        <v>80</v>
      </c>
      <c r="I36">
        <v>100</v>
      </c>
      <c r="J36">
        <v>2029</v>
      </c>
      <c r="K36" t="s">
        <v>66</v>
      </c>
      <c r="L36" t="str">
        <f>_xlfn.CONCAT("Stage ", VLOOKUP(Table2[[#This Row],[Project Name]],'[1]Connection Project List'!$B$1:$G$219,6,FALSE))</f>
        <v>Stage 5</v>
      </c>
      <c r="M36" s="2">
        <v>46048</v>
      </c>
      <c r="N36" s="1"/>
      <c r="O36" s="4" t="s">
        <v>68</v>
      </c>
    </row>
    <row r="37" spans="1:15" x14ac:dyDescent="0.3">
      <c r="A37" t="s">
        <v>63</v>
      </c>
      <c r="B37" t="s">
        <v>120</v>
      </c>
      <c r="D37" t="str">
        <f>VLOOKUP(Table2[[#This Row],[Project Name]],'[1]Connection Project List'!$B$1:$C$219,2,FALSE)</f>
        <v>38-Caroline</v>
      </c>
      <c r="E37">
        <v>52.094496999999997</v>
      </c>
      <c r="F37">
        <v>-114.75627799999999</v>
      </c>
      <c r="G37" t="s">
        <v>40</v>
      </c>
      <c r="H37" t="s">
        <v>65</v>
      </c>
      <c r="I37">
        <v>13</v>
      </c>
      <c r="J37">
        <v>2027</v>
      </c>
      <c r="K37" t="s">
        <v>66</v>
      </c>
      <c r="L37" t="str">
        <f>_xlfn.CONCAT("Stage ", VLOOKUP(Table2[[#This Row],[Project Name]],'[1]Connection Project List'!$B$1:$G$219,6,FALSE))</f>
        <v>Stage 5</v>
      </c>
      <c r="M37" s="2">
        <v>46048</v>
      </c>
      <c r="N37" s="1"/>
      <c r="O37" s="4" t="s">
        <v>68</v>
      </c>
    </row>
    <row r="38" spans="1:15" x14ac:dyDescent="0.3">
      <c r="A38" t="s">
        <v>63</v>
      </c>
      <c r="B38" t="s">
        <v>121</v>
      </c>
      <c r="E38">
        <v>52.757527000000003</v>
      </c>
      <c r="F38">
        <v>-114.107726</v>
      </c>
      <c r="G38" t="s">
        <v>40</v>
      </c>
      <c r="H38" t="s">
        <v>106</v>
      </c>
      <c r="I38">
        <v>15.5</v>
      </c>
      <c r="J38">
        <v>2026</v>
      </c>
      <c r="K38" t="s">
        <v>94</v>
      </c>
      <c r="L38" t="s">
        <v>94</v>
      </c>
      <c r="M38" s="2">
        <v>46048</v>
      </c>
      <c r="N38" s="1"/>
      <c r="O38" s="4" t="s">
        <v>68</v>
      </c>
    </row>
    <row r="39" spans="1:15" x14ac:dyDescent="0.3">
      <c r="A39" t="s">
        <v>63</v>
      </c>
      <c r="B39" t="s">
        <v>122</v>
      </c>
      <c r="E39">
        <v>54.097169999999998</v>
      </c>
      <c r="F39">
        <v>-116.618866</v>
      </c>
      <c r="G39" t="s">
        <v>41</v>
      </c>
      <c r="H39" t="s">
        <v>70</v>
      </c>
      <c r="I39">
        <v>25</v>
      </c>
      <c r="J39">
        <v>2026</v>
      </c>
      <c r="K39" t="s">
        <v>94</v>
      </c>
      <c r="L39" t="s">
        <v>94</v>
      </c>
      <c r="M39" s="2">
        <v>46048</v>
      </c>
      <c r="N39" s="1"/>
      <c r="O39" s="4" t="s">
        <v>68</v>
      </c>
    </row>
    <row r="40" spans="1:15" x14ac:dyDescent="0.3">
      <c r="A40" t="s">
        <v>63</v>
      </c>
      <c r="B40" t="s">
        <v>123</v>
      </c>
      <c r="D40" t="str">
        <f>VLOOKUP(Table2[[#This Row],[Project Name]],'[1]Connection Project List'!$B$1:$C$219,2,FALSE)</f>
        <v>06-Calgary</v>
      </c>
      <c r="E40">
        <v>51.050522999999998</v>
      </c>
      <c r="F40">
        <v>-114.013052</v>
      </c>
      <c r="G40" t="s">
        <v>40</v>
      </c>
      <c r="H40" t="s">
        <v>106</v>
      </c>
      <c r="I40">
        <v>1.1000000000000001</v>
      </c>
      <c r="J40">
        <v>2027</v>
      </c>
      <c r="K40" t="s">
        <v>66</v>
      </c>
      <c r="L40" t="str">
        <f>_xlfn.CONCAT("Stage ", VLOOKUP(Table2[[#This Row],[Project Name]],'[1]Connection Project List'!$B$1:$G$219,6,FALSE))</f>
        <v>Stage 5</v>
      </c>
      <c r="M40" s="2">
        <v>46048</v>
      </c>
      <c r="N40" s="1"/>
      <c r="O40" s="4" t="s">
        <v>68</v>
      </c>
    </row>
    <row r="41" spans="1:15" x14ac:dyDescent="0.3">
      <c r="A41" t="s">
        <v>63</v>
      </c>
      <c r="B41" t="s">
        <v>124</v>
      </c>
      <c r="D41" t="str">
        <f>VLOOKUP(Table2[[#This Row],[Project Name]],'[1]Connection Project List'!$B$1:$C$219,2,FALSE)</f>
        <v>23-Valleyview</v>
      </c>
      <c r="G41" t="s">
        <v>40</v>
      </c>
      <c r="H41" t="s">
        <v>65</v>
      </c>
      <c r="I41">
        <v>24</v>
      </c>
      <c r="J41">
        <v>2027</v>
      </c>
      <c r="K41" t="s">
        <v>125</v>
      </c>
      <c r="L41" t="str">
        <f>_xlfn.CONCAT("Stage ", VLOOKUP(Table2[[#This Row],[Project Name]],'[1]Connection Project List'!$B$1:$G$219,6,FALSE))</f>
        <v>Stage 3</v>
      </c>
      <c r="M41" s="2">
        <v>46048</v>
      </c>
      <c r="N41" s="1" t="s">
        <v>126</v>
      </c>
      <c r="O41" s="4" t="s">
        <v>68</v>
      </c>
    </row>
    <row r="42" spans="1:15" x14ac:dyDescent="0.3">
      <c r="A42" t="s">
        <v>63</v>
      </c>
      <c r="B42" t="s">
        <v>127</v>
      </c>
      <c r="D42" t="str">
        <f>VLOOKUP(Table2[[#This Row],[Project Name]],'[1]Connection Project List'!$B$1:$C$219,2,FALSE)</f>
        <v>54-Lethbridge</v>
      </c>
      <c r="G42" t="s">
        <v>40</v>
      </c>
      <c r="H42" t="s">
        <v>88</v>
      </c>
      <c r="I42">
        <v>12</v>
      </c>
      <c r="J42">
        <v>2028</v>
      </c>
      <c r="K42" t="s">
        <v>125</v>
      </c>
      <c r="L42" t="str">
        <f>_xlfn.CONCAT("Stage ", VLOOKUP(Table2[[#This Row],[Project Name]],'[1]Connection Project List'!$B$1:$G$219,6,FALSE))</f>
        <v>Stage 3</v>
      </c>
      <c r="M42" s="2">
        <v>46048</v>
      </c>
      <c r="N42" s="1" t="s">
        <v>126</v>
      </c>
      <c r="O42" s="4" t="s">
        <v>68</v>
      </c>
    </row>
    <row r="43" spans="1:15" x14ac:dyDescent="0.3">
      <c r="A43" t="s">
        <v>63</v>
      </c>
      <c r="B43" t="s">
        <v>128</v>
      </c>
      <c r="D43" t="str">
        <f>VLOOKUP(Table2[[#This Row],[Project Name]],'[1]Connection Project List'!$B$1:$C$219,2,FALSE)</f>
        <v>56-Vegreville</v>
      </c>
      <c r="E43">
        <v>53.492652999999997</v>
      </c>
      <c r="F43">
        <v>-112.044246</v>
      </c>
      <c r="G43" t="s">
        <v>40</v>
      </c>
      <c r="H43" t="s">
        <v>80</v>
      </c>
      <c r="I43">
        <v>10</v>
      </c>
      <c r="J43">
        <v>2027</v>
      </c>
      <c r="K43" t="s">
        <v>66</v>
      </c>
      <c r="L43" t="str">
        <f>_xlfn.CONCAT("Stage ", VLOOKUP(Table2[[#This Row],[Project Name]],'[1]Connection Project List'!$B$1:$G$219,6,FALSE))</f>
        <v>Stage 5</v>
      </c>
      <c r="M43" s="2">
        <v>46048</v>
      </c>
      <c r="N43" s="1"/>
      <c r="O43" s="4" t="s">
        <v>68</v>
      </c>
    </row>
    <row r="44" spans="1:15" x14ac:dyDescent="0.3">
      <c r="A44" t="s">
        <v>63</v>
      </c>
      <c r="B44" t="s">
        <v>129</v>
      </c>
      <c r="D44" t="str">
        <f>VLOOKUP(Table2[[#This Row],[Project Name]],'[1]Connection Project List'!$B$1:$C$219,2,FALSE)</f>
        <v>45-Strathmore/Blackie</v>
      </c>
      <c r="G44" t="s">
        <v>40</v>
      </c>
      <c r="H44" t="s">
        <v>80</v>
      </c>
      <c r="I44">
        <v>20</v>
      </c>
      <c r="J44">
        <v>2027</v>
      </c>
      <c r="K44" t="s">
        <v>125</v>
      </c>
      <c r="L44" t="str">
        <f>_xlfn.CONCAT("Stage ", VLOOKUP(Table2[[#This Row],[Project Name]],'[1]Connection Project List'!$B$1:$G$219,6,FALSE))</f>
        <v>Stage 3</v>
      </c>
      <c r="M44" s="2">
        <v>46048</v>
      </c>
      <c r="N44" s="1" t="s">
        <v>126</v>
      </c>
      <c r="O44" s="4" t="s">
        <v>68</v>
      </c>
    </row>
    <row r="45" spans="1:15" x14ac:dyDescent="0.3">
      <c r="A45" t="s">
        <v>63</v>
      </c>
      <c r="B45" t="s">
        <v>130</v>
      </c>
      <c r="D45" t="str">
        <f>VLOOKUP(Table2[[#This Row],[Project Name]],'[1]Connection Project List'!$B$1:$C$219,2,FALSE)</f>
        <v>32-Wainwright</v>
      </c>
      <c r="G45" t="s">
        <v>40</v>
      </c>
      <c r="H45" t="s">
        <v>131</v>
      </c>
      <c r="I45">
        <v>6</v>
      </c>
      <c r="J45">
        <v>2027</v>
      </c>
      <c r="K45" t="s">
        <v>125</v>
      </c>
      <c r="L45" t="str">
        <f>_xlfn.CONCAT("Stage ", VLOOKUP(Table2[[#This Row],[Project Name]],'[1]Connection Project List'!$B$1:$G$219,6,FALSE))</f>
        <v>Stage 3</v>
      </c>
      <c r="M45" s="2">
        <v>46048</v>
      </c>
      <c r="N45" s="1" t="s">
        <v>126</v>
      </c>
      <c r="O45" s="4" t="s">
        <v>68</v>
      </c>
    </row>
    <row r="46" spans="1:15" x14ac:dyDescent="0.3">
      <c r="A46" t="s">
        <v>63</v>
      </c>
      <c r="B46" t="s">
        <v>132</v>
      </c>
      <c r="D46" t="str">
        <f>VLOOKUP(Table2[[#This Row],[Project Name]],'[1]Connection Project List'!$B$1:$C$219,2,FALSE)</f>
        <v>32-Wainwright</v>
      </c>
      <c r="G46" t="s">
        <v>40</v>
      </c>
      <c r="H46" t="s">
        <v>131</v>
      </c>
      <c r="I46">
        <v>15</v>
      </c>
      <c r="J46">
        <v>2027</v>
      </c>
      <c r="K46" t="s">
        <v>125</v>
      </c>
      <c r="L46" t="str">
        <f>_xlfn.CONCAT("Stage ", VLOOKUP(Table2[[#This Row],[Project Name]],'[1]Connection Project List'!$B$1:$G$219,6,FALSE))</f>
        <v>Stage 3</v>
      </c>
      <c r="M46" s="2">
        <v>46048</v>
      </c>
      <c r="N46" s="1" t="s">
        <v>126</v>
      </c>
      <c r="O46" s="4" t="s">
        <v>68</v>
      </c>
    </row>
    <row r="47" spans="1:15" x14ac:dyDescent="0.3">
      <c r="A47" t="s">
        <v>63</v>
      </c>
      <c r="B47" t="s">
        <v>133</v>
      </c>
      <c r="D47" t="str">
        <f>VLOOKUP(Table2[[#This Row],[Project Name]],'[1]Connection Project List'!$B$1:$C$219,2,FALSE)</f>
        <v>23-Valleyview</v>
      </c>
      <c r="G47" t="s">
        <v>40</v>
      </c>
      <c r="H47" t="s">
        <v>80</v>
      </c>
      <c r="I47">
        <v>22</v>
      </c>
      <c r="J47">
        <v>2028</v>
      </c>
      <c r="K47" t="s">
        <v>125</v>
      </c>
      <c r="L47" t="str">
        <f>_xlfn.CONCAT("Stage ", VLOOKUP(Table2[[#This Row],[Project Name]],'[1]Connection Project List'!$B$1:$G$219,6,FALSE))</f>
        <v>Stage 3</v>
      </c>
      <c r="M47" s="2">
        <v>46048</v>
      </c>
      <c r="N47" s="1" t="s">
        <v>126</v>
      </c>
      <c r="O47" s="4" t="s">
        <v>68</v>
      </c>
    </row>
    <row r="48" spans="1:15" x14ac:dyDescent="0.3">
      <c r="A48" t="s">
        <v>63</v>
      </c>
      <c r="B48" t="s">
        <v>134</v>
      </c>
      <c r="E48">
        <v>53.525463999999999</v>
      </c>
      <c r="F48">
        <v>-116.598156</v>
      </c>
      <c r="G48" t="s">
        <v>40</v>
      </c>
      <c r="H48" t="s">
        <v>106</v>
      </c>
      <c r="I48">
        <v>32</v>
      </c>
      <c r="J48">
        <v>2025</v>
      </c>
      <c r="K48" t="s">
        <v>94</v>
      </c>
      <c r="L48" t="s">
        <v>94</v>
      </c>
      <c r="M48" s="2">
        <v>46212</v>
      </c>
      <c r="N48" s="1" t="s">
        <v>135</v>
      </c>
      <c r="O48" s="4" t="s">
        <v>68</v>
      </c>
    </row>
    <row r="49" spans="1:15" x14ac:dyDescent="0.3">
      <c r="A49" t="s">
        <v>63</v>
      </c>
      <c r="B49" t="s">
        <v>136</v>
      </c>
      <c r="D49" t="str">
        <f>VLOOKUP(Table2[[#This Row],[Project Name]],'[1]Connection Project List'!$B$1:$C$219,2,FALSE)</f>
        <v>46-High River</v>
      </c>
      <c r="E49">
        <v>50.576438000000003</v>
      </c>
      <c r="F49">
        <v>-113.870377</v>
      </c>
      <c r="G49" t="s">
        <v>40</v>
      </c>
      <c r="H49" t="s">
        <v>106</v>
      </c>
      <c r="I49">
        <v>16</v>
      </c>
      <c r="J49">
        <v>2026</v>
      </c>
      <c r="K49" t="s">
        <v>66</v>
      </c>
      <c r="L49" t="str">
        <f>_xlfn.CONCAT("Stage ", VLOOKUP(Table2[[#This Row],[Project Name]],'[1]Connection Project List'!$B$1:$G$219,6,FALSE))</f>
        <v>Stage 5</v>
      </c>
      <c r="M49" s="2">
        <v>46048</v>
      </c>
      <c r="N49" s="1"/>
      <c r="O49" s="4" t="s">
        <v>68</v>
      </c>
    </row>
    <row r="50" spans="1:15" x14ac:dyDescent="0.3">
      <c r="A50" t="s">
        <v>63</v>
      </c>
      <c r="B50" t="s">
        <v>137</v>
      </c>
      <c r="D50" t="str">
        <f>VLOOKUP(Table2[[#This Row],[Project Name]],'[1]Connection Project List'!$B$1:$C$219,2,FALSE)</f>
        <v>56-Vegreville</v>
      </c>
      <c r="E50">
        <v>54.122624999999999</v>
      </c>
      <c r="F50">
        <v>-111.960216</v>
      </c>
      <c r="G50" t="s">
        <v>40</v>
      </c>
      <c r="H50" t="s">
        <v>65</v>
      </c>
      <c r="I50">
        <v>27</v>
      </c>
      <c r="J50">
        <v>2029</v>
      </c>
      <c r="K50" t="s">
        <v>66</v>
      </c>
      <c r="L50" t="str">
        <f>_xlfn.CONCAT("Stage ", VLOOKUP(Table2[[#This Row],[Project Name]],'[1]Connection Project List'!$B$1:$G$219,6,FALSE))</f>
        <v>Stage 5</v>
      </c>
      <c r="M50" s="2">
        <v>46048</v>
      </c>
      <c r="N50" s="1" t="s">
        <v>138</v>
      </c>
      <c r="O50" s="4" t="s">
        <v>68</v>
      </c>
    </row>
    <row r="51" spans="1:15" x14ac:dyDescent="0.3">
      <c r="A51" t="s">
        <v>63</v>
      </c>
      <c r="B51" t="s">
        <v>139</v>
      </c>
      <c r="D51" t="str">
        <f>VLOOKUP(Table2[[#This Row],[Project Name]],'[1]Connection Project List'!$B$1:$C$219,2,FALSE)</f>
        <v>42-Hanna</v>
      </c>
      <c r="E51">
        <v>52.054164999999998</v>
      </c>
      <c r="F51">
        <v>-111.439644</v>
      </c>
      <c r="G51" t="s">
        <v>40</v>
      </c>
      <c r="H51" t="s">
        <v>65</v>
      </c>
      <c r="I51">
        <v>17</v>
      </c>
      <c r="J51">
        <v>2027</v>
      </c>
      <c r="K51" t="s">
        <v>66</v>
      </c>
      <c r="L51" t="str">
        <f>_xlfn.CONCAT("Stage ", VLOOKUP(Table2[[#This Row],[Project Name]],'[1]Connection Project List'!$B$1:$G$219,6,FALSE))</f>
        <v>Stage 5</v>
      </c>
      <c r="M51" s="2">
        <v>46048</v>
      </c>
      <c r="N51" s="1"/>
      <c r="O51" s="4" t="s">
        <v>68</v>
      </c>
    </row>
    <row r="52" spans="1:15" x14ac:dyDescent="0.3">
      <c r="A52" t="s">
        <v>140</v>
      </c>
      <c r="B52" t="s">
        <v>141</v>
      </c>
      <c r="D52" t="s">
        <v>142</v>
      </c>
      <c r="E52">
        <v>45.802840000000003</v>
      </c>
      <c r="F52">
        <v>-65.252529999999993</v>
      </c>
      <c r="H52" t="s">
        <v>88</v>
      </c>
      <c r="I52">
        <v>50</v>
      </c>
      <c r="J52">
        <v>2028</v>
      </c>
      <c r="K52" t="s">
        <v>125</v>
      </c>
      <c r="M52" s="2">
        <v>46217</v>
      </c>
      <c r="N52" s="1" t="s">
        <v>143</v>
      </c>
      <c r="O52" s="3" t="s">
        <v>144</v>
      </c>
    </row>
    <row r="53" spans="1:15" x14ac:dyDescent="0.3">
      <c r="A53" t="s">
        <v>145</v>
      </c>
      <c r="B53" t="s">
        <v>146</v>
      </c>
      <c r="C53" t="s">
        <v>147</v>
      </c>
      <c r="D53" t="s">
        <v>148</v>
      </c>
      <c r="H53" t="s">
        <v>88</v>
      </c>
      <c r="I53">
        <v>66</v>
      </c>
      <c r="J53">
        <v>2025</v>
      </c>
      <c r="K53" t="s">
        <v>94</v>
      </c>
      <c r="M53" s="2">
        <v>46097</v>
      </c>
      <c r="N53" s="1"/>
    </row>
    <row r="54" spans="1:15" x14ac:dyDescent="0.3">
      <c r="A54" t="s">
        <v>149</v>
      </c>
      <c r="B54" t="s">
        <v>150</v>
      </c>
      <c r="H54" t="s">
        <v>151</v>
      </c>
      <c r="I54">
        <v>1100</v>
      </c>
      <c r="J54">
        <v>2035</v>
      </c>
      <c r="K54" t="s">
        <v>152</v>
      </c>
      <c r="L54"/>
      <c r="M54" s="2">
        <v>46048</v>
      </c>
      <c r="N54" s="1" t="s">
        <v>153</v>
      </c>
      <c r="O54" s="4" t="s">
        <v>154</v>
      </c>
    </row>
    <row r="55" spans="1:15" x14ac:dyDescent="0.3">
      <c r="A55" t="s">
        <v>149</v>
      </c>
      <c r="B55" t="s">
        <v>155</v>
      </c>
      <c r="H55" t="s">
        <v>151</v>
      </c>
      <c r="I55">
        <v>2250</v>
      </c>
      <c r="J55">
        <v>2034</v>
      </c>
      <c r="K55" t="s">
        <v>152</v>
      </c>
      <c r="L55"/>
      <c r="M55" s="2">
        <v>46048</v>
      </c>
      <c r="N55" s="1" t="s">
        <v>153</v>
      </c>
      <c r="O55" s="4" t="s">
        <v>154</v>
      </c>
    </row>
    <row r="56" spans="1:15" x14ac:dyDescent="0.3">
      <c r="A56" t="s">
        <v>145</v>
      </c>
      <c r="B56" t="s">
        <v>156</v>
      </c>
      <c r="C56" t="s">
        <v>157</v>
      </c>
      <c r="H56" t="s">
        <v>80</v>
      </c>
      <c r="I56">
        <v>50</v>
      </c>
      <c r="J56">
        <v>2026</v>
      </c>
      <c r="K56" t="s">
        <v>94</v>
      </c>
      <c r="L56" s="1" t="s">
        <v>94</v>
      </c>
      <c r="M56" s="2">
        <v>46055</v>
      </c>
      <c r="N56" s="1" t="s">
        <v>158</v>
      </c>
      <c r="O56" s="4" t="s">
        <v>159</v>
      </c>
    </row>
    <row r="57" spans="1:15" x14ac:dyDescent="0.3">
      <c r="A57" t="s">
        <v>145</v>
      </c>
      <c r="B57" t="s">
        <v>160</v>
      </c>
      <c r="C57" t="s">
        <v>161</v>
      </c>
      <c r="H57" t="s">
        <v>80</v>
      </c>
      <c r="I57">
        <v>50</v>
      </c>
      <c r="J57">
        <v>2026</v>
      </c>
      <c r="K57" t="s">
        <v>94</v>
      </c>
      <c r="L57" s="1" t="s">
        <v>94</v>
      </c>
      <c r="M57" s="2">
        <v>46055</v>
      </c>
      <c r="N57" s="1" t="s">
        <v>158</v>
      </c>
      <c r="O57" s="4" t="s">
        <v>159</v>
      </c>
    </row>
    <row r="58" spans="1:15" x14ac:dyDescent="0.3">
      <c r="A58" t="s">
        <v>145</v>
      </c>
      <c r="B58" t="s">
        <v>162</v>
      </c>
      <c r="C58" t="s">
        <v>162</v>
      </c>
      <c r="D58" t="s">
        <v>163</v>
      </c>
      <c r="H58" t="s">
        <v>88</v>
      </c>
      <c r="I58">
        <v>99</v>
      </c>
      <c r="J58">
        <v>2026</v>
      </c>
      <c r="K58" t="s">
        <v>164</v>
      </c>
      <c r="M58" s="2">
        <v>46055</v>
      </c>
      <c r="N58" s="1" t="s">
        <v>165</v>
      </c>
      <c r="O58" s="4" t="s">
        <v>166</v>
      </c>
    </row>
    <row r="59" spans="1:15" x14ac:dyDescent="0.3">
      <c r="A59" t="s">
        <v>145</v>
      </c>
      <c r="B59" t="s">
        <v>167</v>
      </c>
      <c r="D59" t="s">
        <v>167</v>
      </c>
      <c r="H59" t="s">
        <v>88</v>
      </c>
      <c r="I59">
        <v>80</v>
      </c>
      <c r="J59">
        <v>2026</v>
      </c>
      <c r="K59" t="s">
        <v>164</v>
      </c>
      <c r="M59" s="2">
        <v>46055</v>
      </c>
      <c r="N59" s="1" t="s">
        <v>165</v>
      </c>
      <c r="O59" s="4" t="s">
        <v>166</v>
      </c>
    </row>
    <row r="60" spans="1:15" x14ac:dyDescent="0.3">
      <c r="A60" t="s">
        <v>145</v>
      </c>
      <c r="B60" t="s">
        <v>168</v>
      </c>
      <c r="C60" t="s">
        <v>169</v>
      </c>
      <c r="H60" t="s">
        <v>80</v>
      </c>
      <c r="I60">
        <v>50</v>
      </c>
      <c r="J60">
        <v>2026</v>
      </c>
      <c r="K60" t="s">
        <v>164</v>
      </c>
      <c r="L60" s="1" t="s">
        <v>2</v>
      </c>
      <c r="M60" s="2">
        <v>46055</v>
      </c>
      <c r="N60" s="1"/>
      <c r="O60" s="4" t="s">
        <v>159</v>
      </c>
    </row>
    <row r="61" spans="1:15" x14ac:dyDescent="0.3">
      <c r="A61" t="s">
        <v>145</v>
      </c>
      <c r="B61" t="s">
        <v>170</v>
      </c>
      <c r="D61" t="s">
        <v>171</v>
      </c>
      <c r="H61" t="s">
        <v>88</v>
      </c>
      <c r="I61">
        <v>94.4</v>
      </c>
      <c r="J61">
        <v>2026</v>
      </c>
      <c r="K61" t="s">
        <v>164</v>
      </c>
      <c r="M61" s="2">
        <v>46055</v>
      </c>
      <c r="N61" s="1" t="s">
        <v>165</v>
      </c>
      <c r="O61" s="4" t="s">
        <v>166</v>
      </c>
    </row>
    <row r="62" spans="1:15" x14ac:dyDescent="0.3">
      <c r="A62" t="s">
        <v>145</v>
      </c>
      <c r="B62" t="s">
        <v>172</v>
      </c>
      <c r="D62" t="s">
        <v>173</v>
      </c>
      <c r="H62" t="s">
        <v>88</v>
      </c>
      <c r="I62">
        <v>90</v>
      </c>
      <c r="J62">
        <v>2026</v>
      </c>
      <c r="K62" t="s">
        <v>66</v>
      </c>
      <c r="M62" s="2">
        <v>46097</v>
      </c>
      <c r="N62" s="1"/>
      <c r="O62" s="4" t="s">
        <v>174</v>
      </c>
    </row>
    <row r="63" spans="1:15" x14ac:dyDescent="0.3">
      <c r="A63" t="s">
        <v>145</v>
      </c>
      <c r="B63" t="s">
        <v>175</v>
      </c>
      <c r="D63" t="s">
        <v>176</v>
      </c>
      <c r="H63" t="s">
        <v>88</v>
      </c>
      <c r="I63">
        <v>13</v>
      </c>
      <c r="J63">
        <v>2026</v>
      </c>
      <c r="M63" s="2">
        <v>46097</v>
      </c>
      <c r="N63" s="1"/>
      <c r="O63" s="4" t="s">
        <v>177</v>
      </c>
    </row>
    <row r="64" spans="1:15" x14ac:dyDescent="0.3">
      <c r="A64" t="s">
        <v>145</v>
      </c>
      <c r="B64" t="s">
        <v>178</v>
      </c>
      <c r="D64" t="s">
        <v>179</v>
      </c>
      <c r="H64" t="s">
        <v>88</v>
      </c>
      <c r="I64">
        <v>168</v>
      </c>
      <c r="J64">
        <v>2026</v>
      </c>
      <c r="M64" s="2">
        <v>46097</v>
      </c>
      <c r="N64" s="1"/>
      <c r="O64" s="4" t="s">
        <v>180</v>
      </c>
    </row>
    <row r="65" spans="1:15" x14ac:dyDescent="0.3">
      <c r="A65" t="s">
        <v>181</v>
      </c>
      <c r="B65" t="s">
        <v>182</v>
      </c>
      <c r="D65" t="s">
        <v>183</v>
      </c>
      <c r="H65" t="s">
        <v>65</v>
      </c>
      <c r="I65">
        <v>140</v>
      </c>
      <c r="J65">
        <v>2026</v>
      </c>
      <c r="M65" s="2">
        <v>46048</v>
      </c>
      <c r="N65" s="1"/>
      <c r="O65" s="3" t="s">
        <v>184</v>
      </c>
    </row>
    <row r="66" spans="1:15" x14ac:dyDescent="0.3">
      <c r="A66" t="s">
        <v>181</v>
      </c>
      <c r="B66" t="s">
        <v>185</v>
      </c>
      <c r="D66" t="s">
        <v>183</v>
      </c>
      <c r="H66" t="s">
        <v>88</v>
      </c>
      <c r="I66">
        <v>13</v>
      </c>
      <c r="J66">
        <v>2026</v>
      </c>
      <c r="K66" t="s">
        <v>186</v>
      </c>
      <c r="L66" s="1" t="s">
        <v>187</v>
      </c>
      <c r="M66" s="2">
        <v>46097</v>
      </c>
      <c r="N66" s="1"/>
      <c r="O66" s="3" t="s">
        <v>184</v>
      </c>
    </row>
    <row r="67" spans="1:15" x14ac:dyDescent="0.3">
      <c r="A67" t="s">
        <v>181</v>
      </c>
      <c r="B67" t="s">
        <v>188</v>
      </c>
      <c r="C67" t="s">
        <v>189</v>
      </c>
      <c r="D67" t="s">
        <v>190</v>
      </c>
      <c r="H67" t="s">
        <v>88</v>
      </c>
      <c r="I67">
        <v>30</v>
      </c>
      <c r="J67">
        <v>2026</v>
      </c>
      <c r="K67" t="s">
        <v>66</v>
      </c>
      <c r="L67" s="1" t="s">
        <v>187</v>
      </c>
      <c r="M67" s="2">
        <v>46097</v>
      </c>
      <c r="N67" s="1"/>
      <c r="O67" s="4" t="s">
        <v>191</v>
      </c>
    </row>
    <row r="68" spans="1:15" x14ac:dyDescent="0.3">
      <c r="A68" t="s">
        <v>140</v>
      </c>
      <c r="B68" t="s">
        <v>192</v>
      </c>
      <c r="D68" t="s">
        <v>193</v>
      </c>
      <c r="E68">
        <v>45.71998</v>
      </c>
      <c r="F68">
        <v>-65.231449999999995</v>
      </c>
      <c r="H68" t="s">
        <v>88</v>
      </c>
      <c r="I68">
        <v>105</v>
      </c>
      <c r="J68">
        <v>2027</v>
      </c>
      <c r="K68" t="s">
        <v>66</v>
      </c>
      <c r="L68" s="1" t="s">
        <v>187</v>
      </c>
      <c r="M68" s="2">
        <v>46064</v>
      </c>
      <c r="N68" s="1" t="s">
        <v>194</v>
      </c>
      <c r="O68" s="3" t="s">
        <v>144</v>
      </c>
    </row>
    <row r="69" spans="1:15" ht="28.8" x14ac:dyDescent="0.3">
      <c r="A69" t="s">
        <v>140</v>
      </c>
      <c r="B69" t="s">
        <v>195</v>
      </c>
      <c r="D69" t="s">
        <v>196</v>
      </c>
      <c r="E69">
        <v>46.422089999999997</v>
      </c>
      <c r="F69">
        <v>-67.247609999999995</v>
      </c>
      <c r="H69" t="s">
        <v>88</v>
      </c>
      <c r="I69">
        <v>200</v>
      </c>
      <c r="J69">
        <v>2027</v>
      </c>
      <c r="K69" t="s">
        <v>125</v>
      </c>
      <c r="L69" s="1" t="s">
        <v>187</v>
      </c>
      <c r="M69" s="2">
        <v>46064</v>
      </c>
      <c r="N69" s="1" t="s">
        <v>197</v>
      </c>
      <c r="O69" s="3" t="s">
        <v>144</v>
      </c>
    </row>
    <row r="70" spans="1:15" ht="28.8" x14ac:dyDescent="0.3">
      <c r="A70" t="s">
        <v>145</v>
      </c>
      <c r="B70" t="s">
        <v>198</v>
      </c>
      <c r="D70" t="s">
        <v>179</v>
      </c>
      <c r="H70" t="s">
        <v>88</v>
      </c>
      <c r="I70">
        <v>147</v>
      </c>
      <c r="J70">
        <v>2027</v>
      </c>
      <c r="K70" t="s">
        <v>66</v>
      </c>
      <c r="L70" s="1" t="s">
        <v>199</v>
      </c>
      <c r="M70" s="2">
        <v>46064</v>
      </c>
      <c r="N70" s="1" t="s">
        <v>200</v>
      </c>
      <c r="O70" s="4" t="s">
        <v>201</v>
      </c>
    </row>
    <row r="71" spans="1:15" x14ac:dyDescent="0.3">
      <c r="A71" t="s">
        <v>145</v>
      </c>
      <c r="B71" t="s">
        <v>202</v>
      </c>
      <c r="D71" t="s">
        <v>173</v>
      </c>
      <c r="H71" t="s">
        <v>88</v>
      </c>
      <c r="I71">
        <v>58.5</v>
      </c>
      <c r="J71">
        <v>2027</v>
      </c>
      <c r="K71" t="s">
        <v>66</v>
      </c>
      <c r="M71" s="2">
        <v>46097</v>
      </c>
      <c r="N71" s="1"/>
      <c r="O71" s="4" t="s">
        <v>174</v>
      </c>
    </row>
    <row r="72" spans="1:15" ht="28.8" x14ac:dyDescent="0.3">
      <c r="A72" t="s">
        <v>145</v>
      </c>
      <c r="B72" t="s">
        <v>203</v>
      </c>
      <c r="H72" t="s">
        <v>204</v>
      </c>
      <c r="I72">
        <v>300</v>
      </c>
      <c r="J72">
        <v>2027</v>
      </c>
      <c r="K72" t="s">
        <v>125</v>
      </c>
      <c r="L72" s="1" t="s">
        <v>205</v>
      </c>
      <c r="M72" s="2">
        <v>46097</v>
      </c>
      <c r="N72" s="1" t="s">
        <v>206</v>
      </c>
      <c r="O72" s="4" t="s">
        <v>207</v>
      </c>
    </row>
    <row r="73" spans="1:15" ht="28.8" x14ac:dyDescent="0.3">
      <c r="A73" t="s">
        <v>145</v>
      </c>
      <c r="B73" t="s">
        <v>208</v>
      </c>
      <c r="H73" t="s">
        <v>204</v>
      </c>
      <c r="I73">
        <v>300</v>
      </c>
      <c r="J73">
        <v>2027</v>
      </c>
      <c r="K73" t="s">
        <v>125</v>
      </c>
      <c r="L73" s="1" t="s">
        <v>205</v>
      </c>
      <c r="M73" s="2">
        <v>46097</v>
      </c>
      <c r="N73" s="1" t="s">
        <v>206</v>
      </c>
      <c r="O73" s="4" t="s">
        <v>209</v>
      </c>
    </row>
    <row r="74" spans="1:15" x14ac:dyDescent="0.3">
      <c r="A74" t="s">
        <v>181</v>
      </c>
      <c r="B74" t="s">
        <v>210</v>
      </c>
      <c r="D74" t="s">
        <v>211</v>
      </c>
      <c r="H74" t="s">
        <v>88</v>
      </c>
      <c r="I74">
        <v>18</v>
      </c>
      <c r="J74">
        <v>2027</v>
      </c>
      <c r="M74" s="2">
        <v>46048</v>
      </c>
      <c r="N74" s="1"/>
      <c r="O74" s="4" t="s">
        <v>191</v>
      </c>
    </row>
    <row r="75" spans="1:15" x14ac:dyDescent="0.3">
      <c r="A75" t="s">
        <v>140</v>
      </c>
      <c r="B75" t="s">
        <v>212</v>
      </c>
      <c r="H75" t="s">
        <v>213</v>
      </c>
      <c r="J75">
        <v>2028</v>
      </c>
      <c r="K75" t="s">
        <v>164</v>
      </c>
      <c r="M75" s="2">
        <v>46048</v>
      </c>
      <c r="N75" s="1" t="s">
        <v>214</v>
      </c>
      <c r="O75" s="3" t="s">
        <v>144</v>
      </c>
    </row>
    <row r="76" spans="1:15" ht="28.8" x14ac:dyDescent="0.3">
      <c r="A76" t="s">
        <v>140</v>
      </c>
      <c r="B76" t="s">
        <v>215</v>
      </c>
      <c r="D76" t="s">
        <v>216</v>
      </c>
      <c r="E76">
        <v>47.567639999999997</v>
      </c>
      <c r="F76">
        <v>-66.263750000000002</v>
      </c>
      <c r="H76" t="s">
        <v>88</v>
      </c>
      <c r="I76">
        <v>63</v>
      </c>
      <c r="J76">
        <v>2028</v>
      </c>
      <c r="K76" t="s">
        <v>66</v>
      </c>
      <c r="L76" s="1" t="s">
        <v>217</v>
      </c>
      <c r="M76" s="2">
        <v>46064</v>
      </c>
      <c r="N76" s="1" t="s">
        <v>218</v>
      </c>
      <c r="O76" s="3" t="s">
        <v>144</v>
      </c>
    </row>
    <row r="77" spans="1:15" x14ac:dyDescent="0.3">
      <c r="A77" t="s">
        <v>140</v>
      </c>
      <c r="B77" t="s">
        <v>219</v>
      </c>
      <c r="E77">
        <v>46.038490000000003</v>
      </c>
      <c r="F77">
        <v>-64.266329999999996</v>
      </c>
      <c r="H77" t="s">
        <v>220</v>
      </c>
      <c r="I77">
        <v>500</v>
      </c>
      <c r="J77">
        <v>2028</v>
      </c>
      <c r="K77" t="s">
        <v>66</v>
      </c>
      <c r="L77" s="1" t="s">
        <v>221</v>
      </c>
      <c r="M77" s="2">
        <v>46064</v>
      </c>
      <c r="N77" s="1" t="s">
        <v>222</v>
      </c>
      <c r="O77" s="3" t="s">
        <v>144</v>
      </c>
    </row>
    <row r="78" spans="1:15" x14ac:dyDescent="0.3">
      <c r="A78" t="s">
        <v>140</v>
      </c>
      <c r="B78" t="s">
        <v>223</v>
      </c>
      <c r="D78" t="s">
        <v>224</v>
      </c>
      <c r="E78">
        <v>46.583469999999998</v>
      </c>
      <c r="F78">
        <v>-67.416399999999996</v>
      </c>
      <c r="H78" t="s">
        <v>88</v>
      </c>
      <c r="I78">
        <v>92</v>
      </c>
      <c r="J78">
        <v>2028</v>
      </c>
      <c r="K78" t="s">
        <v>66</v>
      </c>
      <c r="L78" s="1" t="s">
        <v>218</v>
      </c>
      <c r="M78" s="2">
        <v>46099</v>
      </c>
      <c r="N78" s="1" t="s">
        <v>225</v>
      </c>
      <c r="O78" s="3" t="s">
        <v>144</v>
      </c>
    </row>
    <row r="79" spans="1:15" x14ac:dyDescent="0.3">
      <c r="A79" t="s">
        <v>145</v>
      </c>
      <c r="B79" t="s">
        <v>226</v>
      </c>
      <c r="D79" t="s">
        <v>227</v>
      </c>
      <c r="H79" t="s">
        <v>88</v>
      </c>
      <c r="I79">
        <v>150</v>
      </c>
      <c r="J79">
        <v>2028</v>
      </c>
      <c r="K79" t="s">
        <v>228</v>
      </c>
      <c r="L79" s="1" t="s">
        <v>229</v>
      </c>
      <c r="M79" s="2">
        <v>46097</v>
      </c>
      <c r="N79" s="1"/>
      <c r="O79" s="4" t="s">
        <v>166</v>
      </c>
    </row>
    <row r="80" spans="1:15" x14ac:dyDescent="0.3">
      <c r="A80" t="s">
        <v>145</v>
      </c>
      <c r="B80" t="s">
        <v>230</v>
      </c>
      <c r="D80" t="s">
        <v>231</v>
      </c>
      <c r="H80" t="s">
        <v>88</v>
      </c>
      <c r="I80">
        <v>112</v>
      </c>
      <c r="J80">
        <v>2028</v>
      </c>
      <c r="K80" t="s">
        <v>228</v>
      </c>
      <c r="L80" s="1" t="s">
        <v>229</v>
      </c>
      <c r="M80" s="2">
        <v>46097</v>
      </c>
      <c r="N80" s="1"/>
      <c r="O80" s="4" t="s">
        <v>166</v>
      </c>
    </row>
    <row r="81" spans="1:15" x14ac:dyDescent="0.3">
      <c r="A81" t="s">
        <v>145</v>
      </c>
      <c r="B81" t="s">
        <v>232</v>
      </c>
      <c r="H81" t="s">
        <v>233</v>
      </c>
      <c r="I81">
        <v>150</v>
      </c>
      <c r="J81">
        <v>2028</v>
      </c>
      <c r="K81" t="s">
        <v>125</v>
      </c>
      <c r="L81" s="1" t="s">
        <v>187</v>
      </c>
      <c r="M81" s="2">
        <v>46064</v>
      </c>
      <c r="N81" s="1" t="s">
        <v>234</v>
      </c>
    </row>
    <row r="82" spans="1:15" x14ac:dyDescent="0.3">
      <c r="A82" t="s">
        <v>181</v>
      </c>
      <c r="B82" t="s">
        <v>235</v>
      </c>
      <c r="H82" t="s">
        <v>80</v>
      </c>
      <c r="I82">
        <v>10</v>
      </c>
      <c r="J82">
        <v>2028</v>
      </c>
      <c r="K82" t="s">
        <v>236</v>
      </c>
      <c r="L82" s="1" t="s">
        <v>187</v>
      </c>
      <c r="M82" s="2">
        <v>46064</v>
      </c>
      <c r="N82" s="1"/>
      <c r="O82" s="3" t="s">
        <v>184</v>
      </c>
    </row>
    <row r="83" spans="1:15" x14ac:dyDescent="0.3">
      <c r="A83" t="s">
        <v>181</v>
      </c>
      <c r="B83" t="s">
        <v>237</v>
      </c>
      <c r="D83" t="s">
        <v>238</v>
      </c>
      <c r="H83" t="s">
        <v>88</v>
      </c>
      <c r="I83">
        <v>99</v>
      </c>
      <c r="J83">
        <v>2028</v>
      </c>
      <c r="K83" t="s">
        <v>186</v>
      </c>
      <c r="L83" s="1" t="s">
        <v>187</v>
      </c>
      <c r="M83" s="2">
        <v>46097</v>
      </c>
      <c r="N83" s="1"/>
      <c r="O83" s="4" t="s">
        <v>191</v>
      </c>
    </row>
    <row r="84" spans="1:15" x14ac:dyDescent="0.3">
      <c r="A84" t="s">
        <v>145</v>
      </c>
      <c r="B84" t="s">
        <v>239</v>
      </c>
      <c r="H84" t="s">
        <v>240</v>
      </c>
      <c r="I84">
        <f>153*3</f>
        <v>459</v>
      </c>
      <c r="J84">
        <v>2029</v>
      </c>
      <c r="K84" t="s">
        <v>125</v>
      </c>
      <c r="L84" s="1" t="s">
        <v>241</v>
      </c>
      <c r="M84" s="2">
        <v>46055</v>
      </c>
      <c r="N84" s="1" t="s">
        <v>242</v>
      </c>
      <c r="O84" s="4" t="s">
        <v>243</v>
      </c>
    </row>
    <row r="85" spans="1:15" x14ac:dyDescent="0.3">
      <c r="A85" t="s">
        <v>181</v>
      </c>
      <c r="B85" t="s">
        <v>244</v>
      </c>
      <c r="H85" t="s">
        <v>245</v>
      </c>
      <c r="I85">
        <v>50</v>
      </c>
      <c r="J85">
        <v>2029</v>
      </c>
      <c r="K85" t="s">
        <v>236</v>
      </c>
      <c r="L85" s="1" t="s">
        <v>187</v>
      </c>
      <c r="M85" s="2">
        <v>46064</v>
      </c>
      <c r="N85" s="1" t="s">
        <v>246</v>
      </c>
      <c r="O85" s="3" t="s">
        <v>184</v>
      </c>
    </row>
    <row r="86" spans="1:15" ht="43.2" x14ac:dyDescent="0.3">
      <c r="A86" t="s">
        <v>140</v>
      </c>
      <c r="B86" t="s">
        <v>247</v>
      </c>
      <c r="E86">
        <v>47.908130999999997</v>
      </c>
      <c r="F86">
        <v>-65.862178999999998</v>
      </c>
      <c r="H86" t="s">
        <v>248</v>
      </c>
      <c r="I86">
        <v>467</v>
      </c>
      <c r="J86">
        <v>2030</v>
      </c>
      <c r="K86" t="s">
        <v>125</v>
      </c>
      <c r="L86" s="1" t="s">
        <v>249</v>
      </c>
      <c r="M86" s="2">
        <v>46191</v>
      </c>
      <c r="N86" s="1" t="s">
        <v>250</v>
      </c>
      <c r="O86" s="3" t="s">
        <v>251</v>
      </c>
    </row>
    <row r="87" spans="1:15" x14ac:dyDescent="0.3">
      <c r="A87" t="s">
        <v>140</v>
      </c>
      <c r="B87" t="s">
        <v>252</v>
      </c>
      <c r="H87" t="s">
        <v>253</v>
      </c>
      <c r="I87">
        <v>100</v>
      </c>
      <c r="J87">
        <v>2030</v>
      </c>
      <c r="K87" t="s">
        <v>236</v>
      </c>
      <c r="M87" s="2">
        <v>46048</v>
      </c>
      <c r="N87" s="1" t="s">
        <v>254</v>
      </c>
      <c r="O87" s="3" t="s">
        <v>144</v>
      </c>
    </row>
    <row r="88" spans="1:15" x14ac:dyDescent="0.3">
      <c r="A88" t="s">
        <v>255</v>
      </c>
      <c r="B88" t="s">
        <v>256</v>
      </c>
      <c r="C88" t="s">
        <v>257</v>
      </c>
      <c r="D88" t="s">
        <v>258</v>
      </c>
      <c r="G88" t="s">
        <v>194</v>
      </c>
      <c r="H88" t="s">
        <v>88</v>
      </c>
      <c r="I88">
        <v>349.8</v>
      </c>
      <c r="J88">
        <v>2026</v>
      </c>
      <c r="K88" t="s">
        <v>164</v>
      </c>
      <c r="L88" s="1" t="s">
        <v>194</v>
      </c>
      <c r="M88" s="2">
        <v>46049</v>
      </c>
      <c r="N88" s="1"/>
      <c r="O88" s="4" t="s">
        <v>259</v>
      </c>
    </row>
    <row r="89" spans="1:15" x14ac:dyDescent="0.3">
      <c r="A89" t="s">
        <v>255</v>
      </c>
      <c r="B89" t="s">
        <v>260</v>
      </c>
      <c r="C89" t="s">
        <v>260</v>
      </c>
      <c r="D89" t="s">
        <v>261</v>
      </c>
      <c r="G89" t="s">
        <v>194</v>
      </c>
      <c r="H89" t="s">
        <v>88</v>
      </c>
      <c r="I89">
        <v>270</v>
      </c>
      <c r="J89">
        <v>2026</v>
      </c>
      <c r="K89" t="s">
        <v>164</v>
      </c>
      <c r="L89" s="1" t="s">
        <v>194</v>
      </c>
      <c r="M89" s="2">
        <v>46049</v>
      </c>
      <c r="N89" s="1"/>
      <c r="O89" s="4" t="s">
        <v>259</v>
      </c>
    </row>
    <row r="90" spans="1:15" ht="57.6" x14ac:dyDescent="0.3">
      <c r="A90" t="s">
        <v>255</v>
      </c>
      <c r="B90" t="s">
        <v>262</v>
      </c>
      <c r="C90" t="s">
        <v>262</v>
      </c>
      <c r="D90" s="1" t="s">
        <v>263</v>
      </c>
      <c r="E90" s="1"/>
      <c r="F90" s="1"/>
      <c r="G90" t="s">
        <v>194</v>
      </c>
      <c r="H90" t="s">
        <v>88</v>
      </c>
      <c r="I90">
        <v>180</v>
      </c>
      <c r="J90">
        <v>2026</v>
      </c>
      <c r="K90" t="s">
        <v>164</v>
      </c>
      <c r="L90" s="1" t="s">
        <v>194</v>
      </c>
      <c r="M90" s="2">
        <v>46049</v>
      </c>
      <c r="N90" s="1" t="s">
        <v>264</v>
      </c>
      <c r="O90" s="4" t="s">
        <v>265</v>
      </c>
    </row>
    <row r="91" spans="1:15" ht="28.8" x14ac:dyDescent="0.3">
      <c r="A91" t="s">
        <v>255</v>
      </c>
      <c r="B91" t="s">
        <v>266</v>
      </c>
      <c r="C91" t="s">
        <v>267</v>
      </c>
      <c r="D91" s="1" t="s">
        <v>268</v>
      </c>
      <c r="E91" s="1"/>
      <c r="F91" s="1"/>
      <c r="G91" t="s">
        <v>194</v>
      </c>
      <c r="H91" t="s">
        <v>88</v>
      </c>
      <c r="I91">
        <v>122.32</v>
      </c>
      <c r="J91">
        <v>2026</v>
      </c>
      <c r="K91" t="s">
        <v>164</v>
      </c>
      <c r="L91" s="1" t="s">
        <v>194</v>
      </c>
      <c r="M91" s="2">
        <v>46049</v>
      </c>
      <c r="N91" s="1"/>
      <c r="O91" s="4" t="s">
        <v>265</v>
      </c>
    </row>
    <row r="92" spans="1:15" x14ac:dyDescent="0.3">
      <c r="A92" t="s">
        <v>255</v>
      </c>
      <c r="B92" t="s">
        <v>269</v>
      </c>
      <c r="C92" t="s">
        <v>270</v>
      </c>
      <c r="D92" t="s">
        <v>271</v>
      </c>
      <c r="G92" t="s">
        <v>194</v>
      </c>
      <c r="H92" t="s">
        <v>88</v>
      </c>
      <c r="I92">
        <v>120</v>
      </c>
      <c r="J92">
        <v>2026</v>
      </c>
      <c r="K92" t="s">
        <v>164</v>
      </c>
      <c r="L92" s="1" t="s">
        <v>194</v>
      </c>
      <c r="M92" s="2">
        <v>46049</v>
      </c>
      <c r="N92" s="1"/>
      <c r="O92" s="4" t="s">
        <v>259</v>
      </c>
    </row>
    <row r="93" spans="1:15" x14ac:dyDescent="0.3">
      <c r="A93" t="s">
        <v>255</v>
      </c>
      <c r="B93" t="s">
        <v>272</v>
      </c>
      <c r="C93" t="s">
        <v>273</v>
      </c>
      <c r="D93" t="s">
        <v>274</v>
      </c>
      <c r="G93" t="s">
        <v>194</v>
      </c>
      <c r="H93" t="s">
        <v>88</v>
      </c>
      <c r="I93">
        <v>102.24</v>
      </c>
      <c r="J93">
        <v>2026</v>
      </c>
      <c r="K93" t="s">
        <v>164</v>
      </c>
      <c r="L93" s="1" t="s">
        <v>194</v>
      </c>
      <c r="M93" s="2">
        <v>46049</v>
      </c>
      <c r="N93" s="1"/>
      <c r="O93" s="4" t="s">
        <v>259</v>
      </c>
    </row>
    <row r="94" spans="1:15" x14ac:dyDescent="0.3">
      <c r="A94" t="s">
        <v>255</v>
      </c>
      <c r="B94" t="s">
        <v>275</v>
      </c>
      <c r="C94" t="s">
        <v>275</v>
      </c>
      <c r="D94" t="s">
        <v>276</v>
      </c>
      <c r="G94" t="s">
        <v>277</v>
      </c>
      <c r="H94" t="s">
        <v>88</v>
      </c>
      <c r="I94">
        <v>400</v>
      </c>
      <c r="J94">
        <v>2027</v>
      </c>
      <c r="K94" t="s">
        <v>164</v>
      </c>
      <c r="L94" s="1" t="s">
        <v>278</v>
      </c>
      <c r="M94" s="2">
        <v>46049</v>
      </c>
      <c r="N94" s="1"/>
      <c r="O94" s="4" t="s">
        <v>279</v>
      </c>
    </row>
    <row r="95" spans="1:15" ht="43.2" x14ac:dyDescent="0.3">
      <c r="A95" t="s">
        <v>255</v>
      </c>
      <c r="B95" t="s">
        <v>280</v>
      </c>
      <c r="D95" s="1" t="s">
        <v>281</v>
      </c>
      <c r="E95" s="1"/>
      <c r="F95" s="1"/>
      <c r="G95" t="s">
        <v>194</v>
      </c>
      <c r="H95" t="s">
        <v>88</v>
      </c>
      <c r="I95">
        <v>196</v>
      </c>
      <c r="J95">
        <v>2027</v>
      </c>
      <c r="K95" t="s">
        <v>164</v>
      </c>
      <c r="L95" s="1" t="s">
        <v>194</v>
      </c>
      <c r="M95" s="2">
        <v>46049</v>
      </c>
      <c r="N95" s="1" t="s">
        <v>282</v>
      </c>
      <c r="O95" s="4" t="s">
        <v>283</v>
      </c>
    </row>
    <row r="96" spans="1:15" ht="57.6" x14ac:dyDescent="0.3">
      <c r="A96" t="s">
        <v>255</v>
      </c>
      <c r="B96" t="s">
        <v>284</v>
      </c>
      <c r="D96" s="1" t="s">
        <v>285</v>
      </c>
      <c r="E96" s="1"/>
      <c r="F96" s="1"/>
      <c r="G96" t="s">
        <v>194</v>
      </c>
      <c r="H96" t="s">
        <v>88</v>
      </c>
      <c r="I96">
        <v>100</v>
      </c>
      <c r="J96">
        <v>2027</v>
      </c>
      <c r="K96" t="s">
        <v>164</v>
      </c>
      <c r="L96" s="1" t="s">
        <v>194</v>
      </c>
      <c r="M96" s="2">
        <v>46049</v>
      </c>
      <c r="N96" s="1"/>
      <c r="O96" s="4" t="s">
        <v>283</v>
      </c>
    </row>
    <row r="97" spans="1:15" x14ac:dyDescent="0.3">
      <c r="A97" t="s">
        <v>255</v>
      </c>
      <c r="B97" t="s">
        <v>286</v>
      </c>
      <c r="D97" t="s">
        <v>287</v>
      </c>
      <c r="G97" t="s">
        <v>277</v>
      </c>
      <c r="H97" t="s">
        <v>88</v>
      </c>
      <c r="I97">
        <v>400</v>
      </c>
      <c r="J97">
        <v>2028</v>
      </c>
      <c r="K97" t="s">
        <v>164</v>
      </c>
      <c r="L97" s="1" t="s">
        <v>288</v>
      </c>
      <c r="M97" s="2">
        <v>46049</v>
      </c>
      <c r="N97" s="1"/>
      <c r="O97" s="4" t="s">
        <v>279</v>
      </c>
    </row>
    <row r="98" spans="1:15" x14ac:dyDescent="0.3">
      <c r="A98" t="s">
        <v>255</v>
      </c>
      <c r="B98" t="s">
        <v>289</v>
      </c>
      <c r="H98" t="s">
        <v>213</v>
      </c>
      <c r="I98">
        <v>1200</v>
      </c>
      <c r="J98">
        <v>2025</v>
      </c>
      <c r="K98" t="s">
        <v>164</v>
      </c>
      <c r="M98" s="2">
        <v>46049</v>
      </c>
      <c r="N98" s="1"/>
    </row>
    <row r="99" spans="1:15" x14ac:dyDescent="0.3">
      <c r="A99" t="s">
        <v>255</v>
      </c>
      <c r="B99" t="s">
        <v>290</v>
      </c>
      <c r="H99" t="s">
        <v>213</v>
      </c>
      <c r="I99">
        <v>1250</v>
      </c>
      <c r="J99">
        <v>2026</v>
      </c>
      <c r="K99" t="s">
        <v>164</v>
      </c>
      <c r="M99" s="2">
        <v>46049</v>
      </c>
      <c r="N99" s="1"/>
    </row>
    <row r="100" spans="1:15" ht="28.8" x14ac:dyDescent="0.3">
      <c r="A100" t="s">
        <v>255</v>
      </c>
      <c r="B100" t="s">
        <v>291</v>
      </c>
      <c r="G100" t="s">
        <v>194</v>
      </c>
      <c r="H100" t="s">
        <v>292</v>
      </c>
      <c r="I100">
        <v>159</v>
      </c>
      <c r="J100">
        <v>2026</v>
      </c>
      <c r="K100" t="s">
        <v>164</v>
      </c>
      <c r="M100" s="2">
        <v>46049</v>
      </c>
      <c r="N100" s="1" t="s">
        <v>293</v>
      </c>
      <c r="O100" s="4" t="s">
        <v>259</v>
      </c>
    </row>
    <row r="101" spans="1:15" ht="57.6" x14ac:dyDescent="0.3">
      <c r="A101" t="s">
        <v>255</v>
      </c>
      <c r="B101" t="s">
        <v>294</v>
      </c>
      <c r="D101" s="1" t="s">
        <v>295</v>
      </c>
      <c r="E101" s="1"/>
      <c r="F101" s="1"/>
      <c r="G101" t="s">
        <v>194</v>
      </c>
      <c r="H101" t="s">
        <v>88</v>
      </c>
      <c r="I101">
        <v>147</v>
      </c>
      <c r="J101">
        <v>2028</v>
      </c>
      <c r="K101" t="s">
        <v>164</v>
      </c>
      <c r="L101" s="1" t="s">
        <v>194</v>
      </c>
      <c r="M101" s="2">
        <v>46049</v>
      </c>
      <c r="N101" s="1"/>
      <c r="O101" s="4" t="s">
        <v>283</v>
      </c>
    </row>
    <row r="102" spans="1:15" x14ac:dyDescent="0.3">
      <c r="A102" t="s">
        <v>255</v>
      </c>
      <c r="B102" t="s">
        <v>296</v>
      </c>
      <c r="D102" t="s">
        <v>297</v>
      </c>
      <c r="G102" t="s">
        <v>194</v>
      </c>
      <c r="H102" t="s">
        <v>88</v>
      </c>
      <c r="I102">
        <v>100</v>
      </c>
      <c r="J102">
        <v>2028</v>
      </c>
      <c r="K102" t="s">
        <v>164</v>
      </c>
      <c r="L102" s="1" t="s">
        <v>194</v>
      </c>
      <c r="M102" s="2">
        <v>46049</v>
      </c>
      <c r="N102" s="1"/>
      <c r="O102" s="4" t="s">
        <v>283</v>
      </c>
    </row>
    <row r="103" spans="1:15" ht="28.8" x14ac:dyDescent="0.3">
      <c r="A103" t="s">
        <v>255</v>
      </c>
      <c r="B103" t="s">
        <v>298</v>
      </c>
      <c r="D103" s="1" t="s">
        <v>299</v>
      </c>
      <c r="E103" s="1"/>
      <c r="F103" s="1"/>
      <c r="G103" t="s">
        <v>194</v>
      </c>
      <c r="H103" t="s">
        <v>88</v>
      </c>
      <c r="I103">
        <v>300</v>
      </c>
      <c r="J103">
        <v>2029</v>
      </c>
      <c r="K103" t="s">
        <v>164</v>
      </c>
      <c r="L103" s="1" t="s">
        <v>194</v>
      </c>
      <c r="M103" s="2">
        <v>46049</v>
      </c>
      <c r="N103" s="1"/>
      <c r="O103" s="4" t="s">
        <v>283</v>
      </c>
    </row>
    <row r="104" spans="1:15" x14ac:dyDescent="0.3">
      <c r="A104" t="s">
        <v>255</v>
      </c>
      <c r="B104" t="s">
        <v>300</v>
      </c>
      <c r="D104" t="s">
        <v>258</v>
      </c>
      <c r="G104" t="s">
        <v>194</v>
      </c>
      <c r="H104" t="s">
        <v>88</v>
      </c>
      <c r="I104">
        <v>291</v>
      </c>
      <c r="J104">
        <v>2029</v>
      </c>
      <c r="K104" t="s">
        <v>164</v>
      </c>
      <c r="L104" s="1" t="s">
        <v>194</v>
      </c>
      <c r="M104" s="2">
        <v>46049</v>
      </c>
      <c r="N104" s="1"/>
      <c r="O104" s="4" t="s">
        <v>283</v>
      </c>
    </row>
    <row r="105" spans="1:15" ht="57.6" x14ac:dyDescent="0.3">
      <c r="A105" t="s">
        <v>255</v>
      </c>
      <c r="B105" t="s">
        <v>301</v>
      </c>
      <c r="D105" s="1" t="s">
        <v>302</v>
      </c>
      <c r="E105" s="1"/>
      <c r="F105" s="1"/>
      <c r="G105" t="s">
        <v>194</v>
      </c>
      <c r="H105" t="s">
        <v>88</v>
      </c>
      <c r="I105">
        <v>265.2</v>
      </c>
      <c r="J105">
        <v>2029</v>
      </c>
      <c r="K105" t="s">
        <v>164</v>
      </c>
      <c r="L105" s="1" t="s">
        <v>194</v>
      </c>
      <c r="M105" s="2">
        <v>46049</v>
      </c>
      <c r="N105" s="1"/>
      <c r="O105" s="4" t="s">
        <v>283</v>
      </c>
    </row>
    <row r="106" spans="1:15" ht="57.6" x14ac:dyDescent="0.3">
      <c r="A106" t="s">
        <v>255</v>
      </c>
      <c r="B106" t="s">
        <v>303</v>
      </c>
      <c r="D106" s="1" t="s">
        <v>304</v>
      </c>
      <c r="E106" s="1"/>
      <c r="F106" s="1"/>
      <c r="G106" t="s">
        <v>194</v>
      </c>
      <c r="H106" t="s">
        <v>88</v>
      </c>
      <c r="I106">
        <v>150</v>
      </c>
      <c r="J106">
        <v>2029</v>
      </c>
      <c r="K106" t="s">
        <v>164</v>
      </c>
      <c r="L106" s="1" t="s">
        <v>194</v>
      </c>
      <c r="M106" s="2">
        <v>46049</v>
      </c>
      <c r="N106" s="1"/>
      <c r="O106" s="4" t="s">
        <v>283</v>
      </c>
    </row>
    <row r="107" spans="1:15" x14ac:dyDescent="0.3">
      <c r="A107" t="s">
        <v>255</v>
      </c>
      <c r="B107" t="s">
        <v>305</v>
      </c>
      <c r="D107" t="s">
        <v>276</v>
      </c>
      <c r="G107" t="s">
        <v>277</v>
      </c>
      <c r="H107" t="s">
        <v>88</v>
      </c>
      <c r="I107">
        <v>400</v>
      </c>
      <c r="J107">
        <v>2028</v>
      </c>
      <c r="K107" t="s">
        <v>164</v>
      </c>
      <c r="L107" s="1" t="s">
        <v>306</v>
      </c>
      <c r="M107" s="2">
        <v>46064</v>
      </c>
      <c r="N107" s="1" t="s">
        <v>307</v>
      </c>
      <c r="O107" s="4" t="s">
        <v>279</v>
      </c>
    </row>
    <row r="108" spans="1:15" x14ac:dyDescent="0.3">
      <c r="A108" t="s">
        <v>255</v>
      </c>
      <c r="B108" t="s">
        <v>308</v>
      </c>
      <c r="H108" t="s">
        <v>65</v>
      </c>
      <c r="I108">
        <v>300</v>
      </c>
      <c r="J108">
        <v>2029</v>
      </c>
      <c r="M108" s="2">
        <v>46049</v>
      </c>
      <c r="N108" s="1" t="s">
        <v>309</v>
      </c>
    </row>
    <row r="109" spans="1:15" x14ac:dyDescent="0.3">
      <c r="A109" t="s">
        <v>255</v>
      </c>
      <c r="B109" t="s">
        <v>310</v>
      </c>
      <c r="H109" t="s">
        <v>311</v>
      </c>
      <c r="I109">
        <v>1000</v>
      </c>
      <c r="M109" s="2">
        <v>46049</v>
      </c>
      <c r="N109" s="1"/>
    </row>
    <row r="110" spans="1:15" x14ac:dyDescent="0.3">
      <c r="A110" t="s">
        <v>255</v>
      </c>
      <c r="B110" t="s">
        <v>312</v>
      </c>
      <c r="D110" t="s">
        <v>313</v>
      </c>
      <c r="H110" t="s">
        <v>106</v>
      </c>
      <c r="I110">
        <v>350</v>
      </c>
      <c r="M110" s="2">
        <v>46049</v>
      </c>
      <c r="N110" s="1" t="s">
        <v>314</v>
      </c>
    </row>
    <row r="111" spans="1:15" x14ac:dyDescent="0.3">
      <c r="A111" t="s">
        <v>255</v>
      </c>
      <c r="B111" t="s">
        <v>315</v>
      </c>
      <c r="H111" t="s">
        <v>88</v>
      </c>
      <c r="I111">
        <v>3000</v>
      </c>
      <c r="M111" s="2">
        <v>46049</v>
      </c>
      <c r="N111" s="1" t="s">
        <v>316</v>
      </c>
      <c r="O111" s="4" t="s">
        <v>317</v>
      </c>
    </row>
    <row r="112" spans="1:15" x14ac:dyDescent="0.3">
      <c r="A112" t="s">
        <v>255</v>
      </c>
      <c r="B112" t="s">
        <v>318</v>
      </c>
      <c r="H112" t="s">
        <v>88</v>
      </c>
      <c r="I112">
        <v>1000</v>
      </c>
      <c r="M112" s="2">
        <v>46049</v>
      </c>
      <c r="N112" s="1" t="s">
        <v>316</v>
      </c>
      <c r="O112" s="4" t="s">
        <v>319</v>
      </c>
    </row>
    <row r="113" spans="1:15" x14ac:dyDescent="0.3">
      <c r="A113" t="s">
        <v>255</v>
      </c>
      <c r="B113" t="s">
        <v>320</v>
      </c>
      <c r="H113" t="s">
        <v>88</v>
      </c>
      <c r="I113">
        <v>1000</v>
      </c>
      <c r="M113" s="2">
        <v>46049</v>
      </c>
      <c r="N113" s="1" t="s">
        <v>316</v>
      </c>
      <c r="O113" s="4" t="s">
        <v>321</v>
      </c>
    </row>
    <row r="114" spans="1:15" x14ac:dyDescent="0.3">
      <c r="A114" t="s">
        <v>149</v>
      </c>
      <c r="B114" t="s">
        <v>322</v>
      </c>
      <c r="E114">
        <v>47.990139999999997</v>
      </c>
      <c r="F114">
        <v>-55.799734999999998</v>
      </c>
      <c r="H114" t="s">
        <v>151</v>
      </c>
      <c r="I114">
        <v>150</v>
      </c>
      <c r="J114">
        <v>2031</v>
      </c>
      <c r="L114" t="s">
        <v>66</v>
      </c>
      <c r="M114" s="2">
        <v>46213</v>
      </c>
      <c r="N114" s="1"/>
      <c r="O114" s="3" t="s">
        <v>323</v>
      </c>
    </row>
    <row r="115" spans="1:15" x14ac:dyDescent="0.3">
      <c r="A115" t="s">
        <v>149</v>
      </c>
      <c r="B115" t="s">
        <v>324</v>
      </c>
      <c r="E115">
        <v>47.453063999999998</v>
      </c>
      <c r="F115">
        <v>-53.097651999999997</v>
      </c>
      <c r="H115" t="s">
        <v>325</v>
      </c>
      <c r="I115">
        <v>150</v>
      </c>
      <c r="J115">
        <v>2030</v>
      </c>
      <c r="L115" t="s">
        <v>66</v>
      </c>
      <c r="M115" s="2">
        <v>46213</v>
      </c>
      <c r="N115" s="1"/>
      <c r="O115" s="3" t="s">
        <v>323</v>
      </c>
    </row>
    <row r="116" spans="1:15" x14ac:dyDescent="0.3">
      <c r="A116" t="s">
        <v>140</v>
      </c>
      <c r="B116" t="s">
        <v>326</v>
      </c>
      <c r="D116" t="s">
        <v>327</v>
      </c>
      <c r="E116">
        <v>45.547490000000003</v>
      </c>
      <c r="F116">
        <v>-65.508899999999997</v>
      </c>
      <c r="H116" t="s">
        <v>88</v>
      </c>
      <c r="I116">
        <v>200</v>
      </c>
      <c r="J116">
        <v>2030</v>
      </c>
      <c r="K116" t="s">
        <v>66</v>
      </c>
      <c r="L116" s="1" t="s">
        <v>218</v>
      </c>
      <c r="M116" s="2">
        <v>46064</v>
      </c>
      <c r="N116" s="1"/>
      <c r="O116" s="3" t="s">
        <v>144</v>
      </c>
    </row>
    <row r="117" spans="1:15" x14ac:dyDescent="0.3">
      <c r="A117" t="s">
        <v>181</v>
      </c>
      <c r="B117" t="s">
        <v>328</v>
      </c>
      <c r="H117" t="s">
        <v>329</v>
      </c>
      <c r="I117">
        <v>90</v>
      </c>
      <c r="J117">
        <v>2030</v>
      </c>
      <c r="K117" t="s">
        <v>236</v>
      </c>
      <c r="L117" s="1" t="s">
        <v>187</v>
      </c>
      <c r="M117" s="2">
        <v>46064</v>
      </c>
      <c r="N117" s="1" t="s">
        <v>246</v>
      </c>
      <c r="O117" s="3" t="s">
        <v>184</v>
      </c>
    </row>
    <row r="118" spans="1:15" x14ac:dyDescent="0.3">
      <c r="A118" t="s">
        <v>140</v>
      </c>
      <c r="B118" t="s">
        <v>330</v>
      </c>
      <c r="H118" t="s">
        <v>151</v>
      </c>
      <c r="J118">
        <v>2039</v>
      </c>
      <c r="K118" t="s">
        <v>66</v>
      </c>
      <c r="M118" s="2">
        <v>46048</v>
      </c>
      <c r="N118" s="1" t="s">
        <v>331</v>
      </c>
      <c r="O118" s="3" t="s">
        <v>251</v>
      </c>
    </row>
    <row r="119" spans="1:15" x14ac:dyDescent="0.3">
      <c r="A119" t="s">
        <v>145</v>
      </c>
      <c r="B119" t="s">
        <v>332</v>
      </c>
      <c r="H119" t="s">
        <v>65</v>
      </c>
      <c r="I119">
        <v>100</v>
      </c>
      <c r="J119" t="s">
        <v>333</v>
      </c>
      <c r="K119" t="s">
        <v>125</v>
      </c>
      <c r="L119" s="1" t="s">
        <v>187</v>
      </c>
      <c r="M119" s="2">
        <v>46064</v>
      </c>
      <c r="N119" s="1" t="s">
        <v>234</v>
      </c>
    </row>
    <row r="120" spans="1:15" x14ac:dyDescent="0.3">
      <c r="A120" t="s">
        <v>145</v>
      </c>
      <c r="B120" t="s">
        <v>334</v>
      </c>
      <c r="H120" t="s">
        <v>80</v>
      </c>
      <c r="I120">
        <v>250</v>
      </c>
      <c r="J120" t="s">
        <v>335</v>
      </c>
      <c r="K120" t="s">
        <v>125</v>
      </c>
      <c r="L120" s="1" t="s">
        <v>187</v>
      </c>
      <c r="M120" s="2">
        <v>46064</v>
      </c>
      <c r="N120" s="1" t="s">
        <v>234</v>
      </c>
    </row>
    <row r="121" spans="1:15" x14ac:dyDescent="0.3">
      <c r="A121" t="s">
        <v>145</v>
      </c>
      <c r="B121" t="s">
        <v>336</v>
      </c>
      <c r="H121" t="s">
        <v>88</v>
      </c>
      <c r="I121">
        <v>1400</v>
      </c>
      <c r="J121" t="s">
        <v>337</v>
      </c>
      <c r="K121" t="s">
        <v>228</v>
      </c>
      <c r="L121" s="1" t="s">
        <v>229</v>
      </c>
      <c r="M121" s="2">
        <v>46097</v>
      </c>
      <c r="N121" s="1"/>
      <c r="O121" s="4" t="s">
        <v>166</v>
      </c>
    </row>
    <row r="122" spans="1:15" x14ac:dyDescent="0.3">
      <c r="A122" t="s">
        <v>181</v>
      </c>
      <c r="B122" t="s">
        <v>338</v>
      </c>
      <c r="D122" t="s">
        <v>339</v>
      </c>
      <c r="H122" t="s">
        <v>65</v>
      </c>
      <c r="I122">
        <v>32</v>
      </c>
      <c r="J122" t="s">
        <v>340</v>
      </c>
      <c r="M122" s="2">
        <v>46048</v>
      </c>
      <c r="N122" s="1"/>
      <c r="O122" s="3" t="s">
        <v>184</v>
      </c>
    </row>
    <row r="123" spans="1:15" x14ac:dyDescent="0.3">
      <c r="A123" t="s">
        <v>181</v>
      </c>
      <c r="B123" t="s">
        <v>341</v>
      </c>
      <c r="H123" t="s">
        <v>65</v>
      </c>
      <c r="I123">
        <v>32</v>
      </c>
      <c r="J123" t="s">
        <v>340</v>
      </c>
      <c r="M123" s="2">
        <v>46048</v>
      </c>
      <c r="N123" s="1"/>
      <c r="O123" s="3" t="s">
        <v>184</v>
      </c>
    </row>
    <row r="124" spans="1:15" x14ac:dyDescent="0.3">
      <c r="A124" t="s">
        <v>140</v>
      </c>
      <c r="B124" t="s">
        <v>342</v>
      </c>
      <c r="H124" t="s">
        <v>80</v>
      </c>
      <c r="I124">
        <v>50</v>
      </c>
      <c r="K124" t="s">
        <v>236</v>
      </c>
      <c r="M124" s="2">
        <v>46048</v>
      </c>
      <c r="N124" s="1" t="s">
        <v>343</v>
      </c>
      <c r="O124" s="4" t="s">
        <v>344</v>
      </c>
    </row>
    <row r="125" spans="1:15" x14ac:dyDescent="0.3">
      <c r="A125" t="s">
        <v>140</v>
      </c>
      <c r="B125" t="s">
        <v>345</v>
      </c>
      <c r="G125" t="s">
        <v>346</v>
      </c>
      <c r="H125" t="s">
        <v>106</v>
      </c>
      <c r="I125">
        <v>-95</v>
      </c>
      <c r="J125">
        <v>2025</v>
      </c>
      <c r="M125" s="2">
        <v>46191</v>
      </c>
      <c r="N125" s="1" t="s">
        <v>347</v>
      </c>
      <c r="O125" s="4" t="s">
        <v>348</v>
      </c>
    </row>
    <row r="126" spans="1:15" x14ac:dyDescent="0.3">
      <c r="A126" t="s">
        <v>140</v>
      </c>
      <c r="B126" t="s">
        <v>349</v>
      </c>
      <c r="C126" t="s">
        <v>349</v>
      </c>
      <c r="G126" t="s">
        <v>350</v>
      </c>
      <c r="H126" t="s">
        <v>106</v>
      </c>
      <c r="I126">
        <v>-285</v>
      </c>
      <c r="J126">
        <v>2038</v>
      </c>
      <c r="M126" s="2">
        <v>46191</v>
      </c>
      <c r="N126" s="1"/>
      <c r="O126" s="4" t="s">
        <v>348</v>
      </c>
    </row>
    <row r="127" spans="1:15" x14ac:dyDescent="0.3">
      <c r="A127" t="s">
        <v>140</v>
      </c>
      <c r="B127" t="s">
        <v>351</v>
      </c>
      <c r="C127" t="s">
        <v>352</v>
      </c>
      <c r="G127" t="s">
        <v>350</v>
      </c>
      <c r="H127" t="s">
        <v>240</v>
      </c>
      <c r="I127">
        <v>-324</v>
      </c>
      <c r="J127">
        <v>2041</v>
      </c>
      <c r="M127" s="2">
        <v>46191</v>
      </c>
      <c r="N127" s="1"/>
      <c r="O127" s="4" t="s">
        <v>348</v>
      </c>
    </row>
    <row r="128" spans="1:15" x14ac:dyDescent="0.3">
      <c r="A128" t="s">
        <v>181</v>
      </c>
      <c r="B128" t="s">
        <v>353</v>
      </c>
      <c r="C128" t="s">
        <v>353</v>
      </c>
      <c r="G128" t="s">
        <v>350</v>
      </c>
      <c r="H128" t="s">
        <v>354</v>
      </c>
      <c r="I128">
        <v>-15</v>
      </c>
      <c r="J128">
        <v>2031</v>
      </c>
      <c r="M128" s="2">
        <v>46191</v>
      </c>
      <c r="N128" s="1"/>
      <c r="O128" s="4" t="s">
        <v>355</v>
      </c>
    </row>
    <row r="129" spans="1:15" x14ac:dyDescent="0.3">
      <c r="A129" t="s">
        <v>181</v>
      </c>
      <c r="B129" t="s">
        <v>356</v>
      </c>
      <c r="C129" t="s">
        <v>356</v>
      </c>
      <c r="G129" t="s">
        <v>350</v>
      </c>
      <c r="H129" t="s">
        <v>354</v>
      </c>
      <c r="I129">
        <v>-25</v>
      </c>
      <c r="J129">
        <v>2033</v>
      </c>
      <c r="M129" s="2">
        <v>46191</v>
      </c>
      <c r="N129" s="1"/>
      <c r="O129" s="4" t="s">
        <v>355</v>
      </c>
    </row>
    <row r="130" spans="1:15" x14ac:dyDescent="0.3">
      <c r="A130" t="s">
        <v>181</v>
      </c>
      <c r="B130" t="s">
        <v>357</v>
      </c>
      <c r="C130" t="s">
        <v>358</v>
      </c>
      <c r="G130" t="s">
        <v>350</v>
      </c>
      <c r="H130" t="s">
        <v>354</v>
      </c>
      <c r="I130">
        <v>-49</v>
      </c>
      <c r="J130">
        <v>2055</v>
      </c>
      <c r="M130" s="2">
        <v>46191</v>
      </c>
      <c r="N130" s="1"/>
      <c r="O130" s="4" t="s">
        <v>355</v>
      </c>
    </row>
    <row r="131" spans="1:15" x14ac:dyDescent="0.3">
      <c r="A131" t="s">
        <v>140</v>
      </c>
      <c r="B131" t="s">
        <v>359</v>
      </c>
      <c r="C131" t="s">
        <v>359</v>
      </c>
      <c r="G131" t="s">
        <v>350</v>
      </c>
      <c r="H131" t="s">
        <v>354</v>
      </c>
      <c r="I131">
        <v>-26</v>
      </c>
      <c r="J131">
        <v>2026</v>
      </c>
      <c r="M131" s="2">
        <v>46191</v>
      </c>
      <c r="N131" s="1"/>
      <c r="O131" s="4" t="s">
        <v>348</v>
      </c>
    </row>
    <row r="132" spans="1:15" x14ac:dyDescent="0.3">
      <c r="A132" t="s">
        <v>145</v>
      </c>
      <c r="B132" t="s">
        <v>360</v>
      </c>
      <c r="C132" t="s">
        <v>361</v>
      </c>
      <c r="G132" t="s">
        <v>350</v>
      </c>
      <c r="H132" t="s">
        <v>362</v>
      </c>
      <c r="I132">
        <v>-150</v>
      </c>
      <c r="J132">
        <v>2030</v>
      </c>
      <c r="M132" s="2">
        <v>46191</v>
      </c>
      <c r="N132" s="1"/>
      <c r="O132" s="4" t="s">
        <v>363</v>
      </c>
    </row>
    <row r="133" spans="1:15" x14ac:dyDescent="0.3">
      <c r="A133" t="s">
        <v>145</v>
      </c>
      <c r="B133" t="s">
        <v>364</v>
      </c>
      <c r="C133" t="s">
        <v>365</v>
      </c>
      <c r="G133" t="s">
        <v>350</v>
      </c>
      <c r="H133" t="s">
        <v>362</v>
      </c>
      <c r="I133">
        <v>-148</v>
      </c>
      <c r="J133">
        <v>2028</v>
      </c>
      <c r="M133" s="2">
        <v>46191</v>
      </c>
      <c r="N133" s="1"/>
      <c r="O133" s="4" t="s">
        <v>363</v>
      </c>
    </row>
    <row r="134" spans="1:15" x14ac:dyDescent="0.3">
      <c r="A134" t="s">
        <v>145</v>
      </c>
      <c r="B134" t="s">
        <v>366</v>
      </c>
      <c r="C134" t="s">
        <v>367</v>
      </c>
      <c r="G134" t="s">
        <v>350</v>
      </c>
      <c r="H134" t="s">
        <v>362</v>
      </c>
      <c r="I134">
        <v>-150</v>
      </c>
      <c r="J134">
        <v>2030</v>
      </c>
      <c r="M134" s="2">
        <v>46191</v>
      </c>
      <c r="N134" s="1"/>
      <c r="O134" s="4" t="s">
        <v>363</v>
      </c>
    </row>
    <row r="135" spans="1:15" x14ac:dyDescent="0.3">
      <c r="A135" t="s">
        <v>145</v>
      </c>
      <c r="B135" t="s">
        <v>368</v>
      </c>
      <c r="C135" t="s">
        <v>369</v>
      </c>
      <c r="G135" t="s">
        <v>350</v>
      </c>
      <c r="H135" t="s">
        <v>362</v>
      </c>
      <c r="I135">
        <v>-159</v>
      </c>
      <c r="J135">
        <v>2030</v>
      </c>
      <c r="M135" s="2">
        <v>46191</v>
      </c>
      <c r="N135" s="1"/>
      <c r="O135" s="4" t="s">
        <v>363</v>
      </c>
    </row>
    <row r="136" spans="1:15" x14ac:dyDescent="0.3">
      <c r="A136" t="s">
        <v>145</v>
      </c>
      <c r="B136" t="s">
        <v>370</v>
      </c>
      <c r="C136" t="s">
        <v>371</v>
      </c>
      <c r="G136" t="s">
        <v>350</v>
      </c>
      <c r="H136" t="s">
        <v>362</v>
      </c>
      <c r="I136">
        <v>-168</v>
      </c>
      <c r="J136">
        <v>2030</v>
      </c>
      <c r="M136" s="2">
        <v>46191</v>
      </c>
      <c r="N136" s="1"/>
      <c r="O136" s="4" t="s">
        <v>363</v>
      </c>
    </row>
    <row r="137" spans="1:15" x14ac:dyDescent="0.3">
      <c r="A137" t="s">
        <v>140</v>
      </c>
      <c r="B137" t="s">
        <v>372</v>
      </c>
      <c r="C137" t="s">
        <v>373</v>
      </c>
      <c r="G137" t="s">
        <v>350</v>
      </c>
      <c r="H137" t="s">
        <v>374</v>
      </c>
      <c r="I137">
        <v>-660</v>
      </c>
      <c r="J137">
        <v>2045</v>
      </c>
      <c r="M137" s="2">
        <v>46191</v>
      </c>
      <c r="N137" s="1"/>
      <c r="O137" s="4" t="s">
        <v>348</v>
      </c>
    </row>
    <row r="138" spans="1:15" x14ac:dyDescent="0.3">
      <c r="A138" t="s">
        <v>145</v>
      </c>
      <c r="B138" t="s">
        <v>375</v>
      </c>
      <c r="C138" t="s">
        <v>376</v>
      </c>
      <c r="G138" t="s">
        <v>350</v>
      </c>
      <c r="H138" t="s">
        <v>362</v>
      </c>
      <c r="I138">
        <v>-150</v>
      </c>
      <c r="J138">
        <v>2029</v>
      </c>
      <c r="M138" s="2">
        <v>46191</v>
      </c>
      <c r="N138" s="1"/>
      <c r="O138" s="4" t="s">
        <v>363</v>
      </c>
    </row>
    <row r="139" spans="1:15" x14ac:dyDescent="0.3">
      <c r="A139" t="s">
        <v>140</v>
      </c>
      <c r="B139" t="s">
        <v>377</v>
      </c>
      <c r="C139" t="s">
        <v>378</v>
      </c>
      <c r="G139" t="s">
        <v>350</v>
      </c>
      <c r="H139" t="s">
        <v>354</v>
      </c>
      <c r="I139">
        <v>-99</v>
      </c>
      <c r="J139">
        <v>2031</v>
      </c>
      <c r="M139" s="2">
        <v>46191</v>
      </c>
      <c r="N139" s="1"/>
      <c r="O139" s="4" t="s">
        <v>348</v>
      </c>
    </row>
    <row r="140" spans="1:15" x14ac:dyDescent="0.3">
      <c r="A140" t="s">
        <v>145</v>
      </c>
      <c r="B140" t="s">
        <v>379</v>
      </c>
      <c r="C140" t="s">
        <v>380</v>
      </c>
      <c r="G140" t="s">
        <v>350</v>
      </c>
      <c r="H140" t="s">
        <v>362</v>
      </c>
      <c r="I140">
        <v>-150</v>
      </c>
      <c r="J140">
        <v>2028</v>
      </c>
      <c r="M140" s="2">
        <v>46191</v>
      </c>
      <c r="N140" s="1"/>
      <c r="O140" s="4" t="s">
        <v>363</v>
      </c>
    </row>
    <row r="141" spans="1:15" x14ac:dyDescent="0.3">
      <c r="A141" t="s">
        <v>145</v>
      </c>
      <c r="B141" t="s">
        <v>381</v>
      </c>
      <c r="C141" t="s">
        <v>382</v>
      </c>
      <c r="G141" t="s">
        <v>350</v>
      </c>
      <c r="H141" t="s">
        <v>362</v>
      </c>
      <c r="I141">
        <v>-154</v>
      </c>
      <c r="J141">
        <v>2030</v>
      </c>
      <c r="M141" s="2">
        <v>46191</v>
      </c>
      <c r="N141" s="1"/>
      <c r="O141" s="4" t="s">
        <v>363</v>
      </c>
    </row>
    <row r="142" spans="1:15" x14ac:dyDescent="0.3">
      <c r="A142" t="s">
        <v>149</v>
      </c>
      <c r="B142" t="s">
        <v>383</v>
      </c>
      <c r="H142" t="s">
        <v>151</v>
      </c>
      <c r="I142">
        <v>550</v>
      </c>
      <c r="J142">
        <v>2035</v>
      </c>
      <c r="K142" t="s">
        <v>152</v>
      </c>
      <c r="M142" s="2">
        <v>46209</v>
      </c>
      <c r="N142" s="1"/>
      <c r="O142" s="4" t="s">
        <v>154</v>
      </c>
    </row>
    <row r="143" spans="1:15" x14ac:dyDescent="0.3">
      <c r="A143" t="s">
        <v>140</v>
      </c>
      <c r="B143" t="s">
        <v>384</v>
      </c>
      <c r="C143" t="s">
        <v>385</v>
      </c>
      <c r="G143" t="s">
        <v>350</v>
      </c>
      <c r="H143" t="s">
        <v>362</v>
      </c>
      <c r="I143">
        <v>-467</v>
      </c>
      <c r="J143">
        <v>2030</v>
      </c>
      <c r="M143" s="2">
        <v>46209</v>
      </c>
      <c r="N143" s="1"/>
      <c r="O143" s="4" t="s">
        <v>348</v>
      </c>
    </row>
    <row r="144" spans="1:15" x14ac:dyDescent="0.3">
      <c r="A144" t="s">
        <v>140</v>
      </c>
      <c r="B144" t="s">
        <v>386</v>
      </c>
      <c r="C144" t="s">
        <v>387</v>
      </c>
      <c r="G144" t="s">
        <v>350</v>
      </c>
      <c r="H144" t="s">
        <v>240</v>
      </c>
      <c r="I144">
        <v>-324</v>
      </c>
      <c r="J144">
        <v>2041</v>
      </c>
      <c r="M144" s="2">
        <v>46209</v>
      </c>
      <c r="N144" s="1"/>
      <c r="O144" s="4" t="s">
        <v>348</v>
      </c>
    </row>
    <row r="145" spans="1:15" x14ac:dyDescent="0.3">
      <c r="A145" t="s">
        <v>140</v>
      </c>
      <c r="B145" t="s">
        <v>388</v>
      </c>
      <c r="C145" t="s">
        <v>389</v>
      </c>
      <c r="G145" t="s">
        <v>350</v>
      </c>
      <c r="H145" t="s">
        <v>240</v>
      </c>
      <c r="I145">
        <v>-324</v>
      </c>
      <c r="J145">
        <v>2041</v>
      </c>
      <c r="M145" s="2">
        <v>46209</v>
      </c>
      <c r="N145" s="1"/>
      <c r="O145" s="4" t="s">
        <v>348</v>
      </c>
    </row>
    <row r="146" spans="1:15" x14ac:dyDescent="0.3">
      <c r="A146" t="s">
        <v>140</v>
      </c>
      <c r="B146" t="s">
        <v>390</v>
      </c>
      <c r="C146" t="s">
        <v>391</v>
      </c>
      <c r="G146" t="s">
        <v>350</v>
      </c>
      <c r="H146" t="s">
        <v>354</v>
      </c>
      <c r="I146">
        <v>-99</v>
      </c>
      <c r="J146">
        <v>2031</v>
      </c>
      <c r="M146" s="2">
        <v>46209</v>
      </c>
      <c r="N146" s="1"/>
      <c r="O146" s="4" t="s">
        <v>348</v>
      </c>
    </row>
    <row r="147" spans="1:15" x14ac:dyDescent="0.3">
      <c r="A147" t="s">
        <v>140</v>
      </c>
      <c r="B147" t="s">
        <v>392</v>
      </c>
      <c r="C147" t="s">
        <v>393</v>
      </c>
      <c r="G147" t="s">
        <v>350</v>
      </c>
      <c r="H147" t="s">
        <v>354</v>
      </c>
      <c r="I147">
        <v>-99</v>
      </c>
      <c r="J147">
        <v>2031</v>
      </c>
      <c r="M147" s="2">
        <v>46209</v>
      </c>
      <c r="N147" s="1"/>
      <c r="O147" s="4" t="s">
        <v>348</v>
      </c>
    </row>
    <row r="148" spans="1:15" x14ac:dyDescent="0.3">
      <c r="A148" t="s">
        <v>140</v>
      </c>
      <c r="B148" t="s">
        <v>394</v>
      </c>
      <c r="C148" t="s">
        <v>395</v>
      </c>
      <c r="G148" t="s">
        <v>350</v>
      </c>
      <c r="H148" t="s">
        <v>354</v>
      </c>
      <c r="I148">
        <v>-99</v>
      </c>
      <c r="J148">
        <v>2031</v>
      </c>
      <c r="M148" s="2">
        <v>46209</v>
      </c>
      <c r="N148" s="1"/>
      <c r="O148" s="4" t="s">
        <v>348</v>
      </c>
    </row>
    <row r="149" spans="1:15" x14ac:dyDescent="0.3">
      <c r="A149" t="s">
        <v>140</v>
      </c>
      <c r="B149" t="s">
        <v>396</v>
      </c>
      <c r="C149" t="s">
        <v>397</v>
      </c>
      <c r="G149" t="s">
        <v>350</v>
      </c>
      <c r="H149" t="s">
        <v>354</v>
      </c>
      <c r="I149">
        <v>-99</v>
      </c>
      <c r="J149">
        <v>2031</v>
      </c>
      <c r="M149" s="2">
        <v>46209</v>
      </c>
      <c r="N149" s="1"/>
      <c r="O149" s="4" t="s">
        <v>348</v>
      </c>
    </row>
    <row r="150" spans="1:15" x14ac:dyDescent="0.3">
      <c r="A150" t="s">
        <v>398</v>
      </c>
      <c r="B150">
        <v>903</v>
      </c>
      <c r="C150">
        <v>903</v>
      </c>
      <c r="D150" t="str">
        <f>VLOOKUP(Table2[[#This Row],[Project Name]],'[2]Contract Data'!$C$3:$P$3545,12,FALSE)</f>
        <v>Burks Falls</v>
      </c>
      <c r="G150" s="6" t="s">
        <v>399</v>
      </c>
      <c r="H150" t="s">
        <v>80</v>
      </c>
      <c r="I150">
        <v>4.74</v>
      </c>
      <c r="J150">
        <v>2026</v>
      </c>
      <c r="K150" t="s">
        <v>66</v>
      </c>
      <c r="L150" s="1" t="s">
        <v>400</v>
      </c>
      <c r="M150" s="2">
        <v>46209</v>
      </c>
      <c r="N150" s="1" t="s">
        <v>401</v>
      </c>
      <c r="O150" s="4" t="s">
        <v>402</v>
      </c>
    </row>
    <row r="151" spans="1:15" x14ac:dyDescent="0.3">
      <c r="A151" t="s">
        <v>398</v>
      </c>
      <c r="B151" t="s">
        <v>403</v>
      </c>
      <c r="C151" t="s">
        <v>403</v>
      </c>
      <c r="D151" t="str">
        <f>VLOOKUP(Table2[[#This Row],[Project Name]],'[2]Contract Data'!$C$3:$P$3545,12,FALSE)</f>
        <v>Almonte</v>
      </c>
      <c r="G151" s="6" t="s">
        <v>399</v>
      </c>
      <c r="H151" t="s">
        <v>80</v>
      </c>
      <c r="I151">
        <v>4.7489999999999997</v>
      </c>
      <c r="J151">
        <v>2026</v>
      </c>
      <c r="K151" t="s">
        <v>66</v>
      </c>
      <c r="L151" s="1" t="s">
        <v>400</v>
      </c>
      <c r="M151" s="2">
        <v>46209</v>
      </c>
      <c r="N151" s="1" t="s">
        <v>401</v>
      </c>
      <c r="O151" s="4" t="s">
        <v>402</v>
      </c>
    </row>
    <row r="152" spans="1:15" x14ac:dyDescent="0.3">
      <c r="A152" t="s">
        <v>398</v>
      </c>
      <c r="B152" t="s">
        <v>404</v>
      </c>
      <c r="D152" t="str">
        <f>VLOOKUP(Table2[[#This Row],[Project Name]],'[2]Contract Data'!$C$3:$P$3545,12,FALSE)</f>
        <v>Almonte</v>
      </c>
      <c r="G152" s="6" t="s">
        <v>399</v>
      </c>
      <c r="H152" t="s">
        <v>80</v>
      </c>
      <c r="I152">
        <v>9.49</v>
      </c>
      <c r="J152">
        <v>2028</v>
      </c>
      <c r="K152" t="s">
        <v>66</v>
      </c>
      <c r="L152" s="1" t="s">
        <v>405</v>
      </c>
      <c r="M152" s="2">
        <v>46209</v>
      </c>
      <c r="N152" s="1" t="s">
        <v>406</v>
      </c>
      <c r="O152" s="4" t="s">
        <v>402</v>
      </c>
    </row>
    <row r="153" spans="1:15" x14ac:dyDescent="0.3">
      <c r="A153" t="s">
        <v>398</v>
      </c>
      <c r="B153" t="s">
        <v>407</v>
      </c>
      <c r="C153" t="s">
        <v>407</v>
      </c>
      <c r="D153" t="str">
        <f>VLOOKUP(Table2[[#This Row],[Project Name]],'[2]Contract Data'!$C$3:$P$3545,12,FALSE)</f>
        <v>Guelph</v>
      </c>
      <c r="G153" s="6" t="s">
        <v>399</v>
      </c>
      <c r="H153" t="s">
        <v>80</v>
      </c>
      <c r="I153">
        <v>19</v>
      </c>
      <c r="J153">
        <v>2026</v>
      </c>
      <c r="K153" t="s">
        <v>66</v>
      </c>
      <c r="L153" s="1" t="s">
        <v>400</v>
      </c>
      <c r="M153" s="2">
        <v>46209</v>
      </c>
      <c r="N153" s="1" t="s">
        <v>408</v>
      </c>
      <c r="O153" s="4" t="s">
        <v>402</v>
      </c>
    </row>
    <row r="154" spans="1:15" x14ac:dyDescent="0.3">
      <c r="A154" t="s">
        <v>398</v>
      </c>
      <c r="B154" t="s">
        <v>409</v>
      </c>
      <c r="D154" t="s">
        <v>410</v>
      </c>
      <c r="G154" s="6" t="s">
        <v>399</v>
      </c>
      <c r="H154" t="s">
        <v>80</v>
      </c>
      <c r="I154">
        <v>190</v>
      </c>
      <c r="J154">
        <v>2030</v>
      </c>
      <c r="K154" t="s">
        <v>125</v>
      </c>
      <c r="L154" s="1" t="s">
        <v>411</v>
      </c>
      <c r="M154" s="2">
        <v>46209</v>
      </c>
      <c r="N154" s="1" t="s">
        <v>412</v>
      </c>
      <c r="O154" s="5" t="s">
        <v>413</v>
      </c>
    </row>
    <row r="155" spans="1:15" x14ac:dyDescent="0.3">
      <c r="A155" t="s">
        <v>398</v>
      </c>
      <c r="B155" t="s">
        <v>414</v>
      </c>
      <c r="D155" t="str">
        <f>VLOOKUP(Table2[[#This Row],[Project Name]],'[2]Contract Data'!$C$3:$P$3545,12,FALSE)</f>
        <v>St. Thomas</v>
      </c>
      <c r="G155" s="6" t="s">
        <v>399</v>
      </c>
      <c r="H155" t="s">
        <v>80</v>
      </c>
      <c r="I155">
        <v>71.25</v>
      </c>
      <c r="J155">
        <v>2028</v>
      </c>
      <c r="K155" t="s">
        <v>66</v>
      </c>
      <c r="L155" s="1" t="s">
        <v>405</v>
      </c>
      <c r="M155" s="2">
        <v>46209</v>
      </c>
      <c r="N155" s="1" t="s">
        <v>415</v>
      </c>
      <c r="O155" s="4" t="s">
        <v>402</v>
      </c>
    </row>
    <row r="156" spans="1:15" x14ac:dyDescent="0.3">
      <c r="A156" t="s">
        <v>398</v>
      </c>
      <c r="B156" t="s">
        <v>416</v>
      </c>
      <c r="D156" t="str">
        <f>VLOOKUP(Table2[[#This Row],[Project Name]],'[2]Contract Data'!$C$3:$P$3545,12,FALSE)</f>
        <v>Elora</v>
      </c>
      <c r="G156" s="6" t="s">
        <v>399</v>
      </c>
      <c r="H156" t="s">
        <v>80</v>
      </c>
      <c r="I156">
        <v>200</v>
      </c>
      <c r="J156">
        <v>2028</v>
      </c>
      <c r="K156" t="s">
        <v>66</v>
      </c>
      <c r="L156" s="1" t="s">
        <v>405</v>
      </c>
      <c r="M156" s="2">
        <v>46209</v>
      </c>
      <c r="N156" s="1" t="s">
        <v>417</v>
      </c>
      <c r="O156" s="4" t="s">
        <v>402</v>
      </c>
    </row>
    <row r="157" spans="1:15" x14ac:dyDescent="0.3">
      <c r="A157" t="s">
        <v>398</v>
      </c>
      <c r="B157" t="s">
        <v>418</v>
      </c>
      <c r="C157" t="s">
        <v>419</v>
      </c>
      <c r="D157" t="str">
        <f>VLOOKUP(Table2[[#This Row],[Project Name]],'[2]Contract Data'!$C$3:$P$3545,12,FALSE)</f>
        <v>Brampton</v>
      </c>
      <c r="G157" s="6" t="s">
        <v>399</v>
      </c>
      <c r="H157" t="s">
        <v>80</v>
      </c>
      <c r="I157">
        <v>47.5</v>
      </c>
      <c r="J157">
        <v>2026</v>
      </c>
      <c r="K157" t="s">
        <v>66</v>
      </c>
      <c r="L157" s="1" t="s">
        <v>400</v>
      </c>
      <c r="M157" s="2">
        <v>46209</v>
      </c>
      <c r="N157" s="1" t="s">
        <v>420</v>
      </c>
      <c r="O157" s="4" t="s">
        <v>402</v>
      </c>
    </row>
    <row r="158" spans="1:15" x14ac:dyDescent="0.3">
      <c r="A158" t="s">
        <v>398</v>
      </c>
      <c r="B158" t="s">
        <v>421</v>
      </c>
      <c r="C158" t="s">
        <v>422</v>
      </c>
      <c r="D158" t="str">
        <f>VLOOKUP(Table2[[#This Row],[Project Name]],'[2]Contract Data'!$C$3:$P$3545,12,FALSE)</f>
        <v>Hagersville</v>
      </c>
      <c r="G158" s="6" t="s">
        <v>399</v>
      </c>
      <c r="H158" t="s">
        <v>80</v>
      </c>
      <c r="I158">
        <v>285</v>
      </c>
      <c r="J158">
        <v>2026</v>
      </c>
      <c r="K158" t="s">
        <v>66</v>
      </c>
      <c r="L158" s="1" t="s">
        <v>400</v>
      </c>
      <c r="M158" s="2">
        <v>46209</v>
      </c>
      <c r="N158" s="1" t="s">
        <v>423</v>
      </c>
      <c r="O158" s="5" t="s">
        <v>402</v>
      </c>
    </row>
    <row r="159" spans="1:15" x14ac:dyDescent="0.3">
      <c r="A159" t="s">
        <v>398</v>
      </c>
      <c r="B159" t="s">
        <v>424</v>
      </c>
      <c r="D159" t="str">
        <f>VLOOKUP(Table2[[#This Row],[Project Name]],'[2]Contract Data'!$C$3:$P$3545,12,FALSE)</f>
        <v>Jarvis</v>
      </c>
      <c r="G159" s="6" t="s">
        <v>399</v>
      </c>
      <c r="H159" t="s">
        <v>80</v>
      </c>
      <c r="I159">
        <v>200</v>
      </c>
      <c r="J159">
        <v>2028</v>
      </c>
      <c r="K159" t="s">
        <v>66</v>
      </c>
      <c r="L159" s="1" t="s">
        <v>405</v>
      </c>
      <c r="M159" s="2">
        <v>46209</v>
      </c>
      <c r="N159" s="1" t="s">
        <v>417</v>
      </c>
      <c r="O159" s="5" t="s">
        <v>402</v>
      </c>
    </row>
    <row r="160" spans="1:15" x14ac:dyDescent="0.3">
      <c r="A160" t="s">
        <v>398</v>
      </c>
      <c r="B160" t="s">
        <v>425</v>
      </c>
      <c r="D160" t="s">
        <v>426</v>
      </c>
      <c r="G160" s="6" t="s">
        <v>399</v>
      </c>
      <c r="H160" t="s">
        <v>80</v>
      </c>
      <c r="I160">
        <v>300</v>
      </c>
      <c r="J160">
        <v>2030</v>
      </c>
      <c r="K160" t="s">
        <v>125</v>
      </c>
      <c r="L160" s="1" t="s">
        <v>411</v>
      </c>
      <c r="M160" s="2">
        <v>46209</v>
      </c>
      <c r="N160" s="1" t="s">
        <v>427</v>
      </c>
      <c r="O160" s="5" t="s">
        <v>413</v>
      </c>
    </row>
    <row r="161" spans="1:15" x14ac:dyDescent="0.3">
      <c r="A161" t="s">
        <v>398</v>
      </c>
      <c r="B161" t="s">
        <v>428</v>
      </c>
      <c r="C161" t="s">
        <v>428</v>
      </c>
      <c r="D161" t="str">
        <f>VLOOKUP(Table2[[#This Row],[Project Name]],'[2]Contract Data'!$C$3:$P$3545,12,FALSE)</f>
        <v>Belmont</v>
      </c>
      <c r="G161" s="6" t="s">
        <v>399</v>
      </c>
      <c r="H161" t="s">
        <v>80</v>
      </c>
      <c r="I161">
        <v>250</v>
      </c>
      <c r="J161">
        <v>2026</v>
      </c>
      <c r="K161" t="s">
        <v>66</v>
      </c>
      <c r="L161" s="1" t="s">
        <v>400</v>
      </c>
      <c r="M161" s="2">
        <v>46209</v>
      </c>
      <c r="N161" s="1" t="s">
        <v>429</v>
      </c>
      <c r="O161" s="5" t="s">
        <v>402</v>
      </c>
    </row>
    <row r="162" spans="1:15" x14ac:dyDescent="0.3">
      <c r="A162" t="s">
        <v>398</v>
      </c>
      <c r="B162" t="s">
        <v>430</v>
      </c>
      <c r="D162" t="str">
        <f>VLOOKUP(Table2[[#This Row],[Project Name]],'[2]Contract Data'!$C$3:$P$3545,12,FALSE)</f>
        <v>Dunvegan</v>
      </c>
      <c r="G162" s="6" t="s">
        <v>399</v>
      </c>
      <c r="H162" t="s">
        <v>80</v>
      </c>
      <c r="I162">
        <v>15.48</v>
      </c>
      <c r="J162">
        <v>2028</v>
      </c>
      <c r="K162" t="s">
        <v>66</v>
      </c>
      <c r="L162" s="1" t="s">
        <v>405</v>
      </c>
      <c r="M162" s="2">
        <v>46209</v>
      </c>
      <c r="N162" s="1" t="s">
        <v>431</v>
      </c>
      <c r="O162" s="5" t="s">
        <v>402</v>
      </c>
    </row>
    <row r="163" spans="1:15" x14ac:dyDescent="0.3">
      <c r="A163" t="s">
        <v>398</v>
      </c>
      <c r="B163" t="s">
        <v>432</v>
      </c>
      <c r="D163" t="str">
        <f>VLOOKUP(Table2[[#This Row],[Project Name]],'[2]Contract Data'!$C$3:$P$3545,12,FALSE)</f>
        <v>Woodstock</v>
      </c>
      <c r="G163" s="6" t="s">
        <v>399</v>
      </c>
      <c r="H163" t="s">
        <v>80</v>
      </c>
      <c r="I163">
        <v>118</v>
      </c>
      <c r="J163">
        <v>2028</v>
      </c>
      <c r="K163" t="s">
        <v>66</v>
      </c>
      <c r="L163" s="1" t="s">
        <v>405</v>
      </c>
      <c r="M163" s="2">
        <v>46209</v>
      </c>
      <c r="N163" s="1" t="s">
        <v>433</v>
      </c>
      <c r="O163" s="5" t="s">
        <v>402</v>
      </c>
    </row>
    <row r="164" spans="1:15" x14ac:dyDescent="0.3">
      <c r="A164" t="s">
        <v>398</v>
      </c>
      <c r="B164" t="s">
        <v>434</v>
      </c>
      <c r="C164" t="s">
        <v>434</v>
      </c>
      <c r="D164" t="str">
        <f>VLOOKUP(Table2[[#This Row],[Project Name]],'[2]Contract Data'!$C$3:$P$3545,12,FALSE)</f>
        <v>Chesley</v>
      </c>
      <c r="G164" s="6" t="s">
        <v>399</v>
      </c>
      <c r="H164" t="s">
        <v>80</v>
      </c>
      <c r="I164">
        <v>4.74</v>
      </c>
      <c r="J164">
        <v>2026</v>
      </c>
      <c r="K164" t="s">
        <v>66</v>
      </c>
      <c r="L164" s="1" t="s">
        <v>400</v>
      </c>
      <c r="M164" s="2">
        <v>46209</v>
      </c>
      <c r="N164" s="1" t="s">
        <v>401</v>
      </c>
      <c r="O164" s="5" t="s">
        <v>402</v>
      </c>
    </row>
    <row r="165" spans="1:15" x14ac:dyDescent="0.3">
      <c r="A165" t="s">
        <v>398</v>
      </c>
      <c r="B165" t="s">
        <v>435</v>
      </c>
      <c r="C165" t="s">
        <v>435</v>
      </c>
      <c r="D165" t="str">
        <f>VLOOKUP(Table2[[#This Row],[Project Name]],'[2]Contract Data'!$C$3:$P$3545,12,FALSE)</f>
        <v>Grafton</v>
      </c>
      <c r="G165" s="6" t="s">
        <v>399</v>
      </c>
      <c r="H165" t="s">
        <v>80</v>
      </c>
      <c r="I165">
        <v>4.74</v>
      </c>
      <c r="J165">
        <v>2026</v>
      </c>
      <c r="K165" t="s">
        <v>66</v>
      </c>
      <c r="L165" s="1" t="s">
        <v>400</v>
      </c>
      <c r="M165" s="2">
        <v>46209</v>
      </c>
      <c r="N165" s="1" t="s">
        <v>401</v>
      </c>
      <c r="O165" s="5" t="s">
        <v>402</v>
      </c>
    </row>
    <row r="166" spans="1:15" x14ac:dyDescent="0.3">
      <c r="A166" t="s">
        <v>398</v>
      </c>
      <c r="B166" t="s">
        <v>436</v>
      </c>
      <c r="D166" t="s">
        <v>437</v>
      </c>
      <c r="G166" s="6" t="s">
        <v>399</v>
      </c>
      <c r="H166" t="s">
        <v>80</v>
      </c>
      <c r="I166">
        <v>150</v>
      </c>
      <c r="J166">
        <v>2030</v>
      </c>
      <c r="K166" t="s">
        <v>125</v>
      </c>
      <c r="L166" s="1" t="s">
        <v>411</v>
      </c>
      <c r="M166" s="2">
        <v>46209</v>
      </c>
      <c r="N166" s="1" t="s">
        <v>438</v>
      </c>
      <c r="O166" s="5" t="s">
        <v>413</v>
      </c>
    </row>
    <row r="167" spans="1:15" x14ac:dyDescent="0.3">
      <c r="A167" t="s">
        <v>398</v>
      </c>
      <c r="B167" t="s">
        <v>439</v>
      </c>
      <c r="D167" t="str">
        <f>VLOOKUP(Table2[[#This Row],[Project Name]],'[2]Contract Data'!$C$3:$P$3545,12,FALSE)</f>
        <v>Spencerville</v>
      </c>
      <c r="G167" t="s">
        <v>399</v>
      </c>
      <c r="H167" t="s">
        <v>80</v>
      </c>
      <c r="I167">
        <v>390</v>
      </c>
      <c r="J167">
        <v>2028</v>
      </c>
      <c r="K167" t="s">
        <v>66</v>
      </c>
      <c r="L167" s="1" t="s">
        <v>405</v>
      </c>
      <c r="M167" s="2">
        <v>46209</v>
      </c>
      <c r="N167" s="1" t="s">
        <v>440</v>
      </c>
      <c r="O167" s="5" t="s">
        <v>402</v>
      </c>
    </row>
    <row r="168" spans="1:15" x14ac:dyDescent="0.3">
      <c r="A168" t="s">
        <v>398</v>
      </c>
      <c r="B168" t="s">
        <v>441</v>
      </c>
      <c r="D168" t="str">
        <f>VLOOKUP(Table2[[#This Row],[Project Name]],'[2]Contract Data'!$C$3:$P$3545,12,FALSE)</f>
        <v>Dunrobin</v>
      </c>
      <c r="G168" t="s">
        <v>399</v>
      </c>
      <c r="H168" t="s">
        <v>80</v>
      </c>
      <c r="I168">
        <v>250</v>
      </c>
      <c r="J168">
        <v>2028</v>
      </c>
      <c r="K168" t="s">
        <v>66</v>
      </c>
      <c r="L168" s="1" t="s">
        <v>405</v>
      </c>
      <c r="M168" s="2">
        <v>46209</v>
      </c>
      <c r="N168" s="1" t="s">
        <v>429</v>
      </c>
      <c r="O168" s="5" t="s">
        <v>402</v>
      </c>
    </row>
    <row r="169" spans="1:15" x14ac:dyDescent="0.3">
      <c r="A169" t="s">
        <v>398</v>
      </c>
      <c r="B169" t="s">
        <v>442</v>
      </c>
      <c r="D169" t="s">
        <v>443</v>
      </c>
      <c r="G169" t="s">
        <v>399</v>
      </c>
      <c r="H169" t="s">
        <v>80</v>
      </c>
      <c r="I169">
        <v>380</v>
      </c>
      <c r="J169">
        <v>2027</v>
      </c>
      <c r="K169" t="s">
        <v>66</v>
      </c>
      <c r="L169" s="1" t="s">
        <v>405</v>
      </c>
      <c r="M169" s="2">
        <v>46209</v>
      </c>
      <c r="N169" s="1" t="s">
        <v>444</v>
      </c>
      <c r="O169" s="5" t="s">
        <v>402</v>
      </c>
    </row>
    <row r="170" spans="1:15" x14ac:dyDescent="0.3">
      <c r="A170" t="s">
        <v>398</v>
      </c>
      <c r="B170" t="s">
        <v>445</v>
      </c>
      <c r="C170" t="s">
        <v>445</v>
      </c>
      <c r="D170" t="str">
        <f>VLOOKUP(Table2[[#This Row],[Project Name]],'[2]Contract Data'!$C$3:$P$3545,12,FALSE)</f>
        <v>Tilbury</v>
      </c>
      <c r="G170" s="6" t="s">
        <v>399</v>
      </c>
      <c r="H170" t="s">
        <v>80</v>
      </c>
      <c r="I170">
        <v>76</v>
      </c>
      <c r="J170">
        <v>2026</v>
      </c>
      <c r="K170" t="s">
        <v>66</v>
      </c>
      <c r="L170" s="1" t="s">
        <v>400</v>
      </c>
      <c r="M170" s="2">
        <v>46209</v>
      </c>
      <c r="N170" s="1" t="s">
        <v>446</v>
      </c>
      <c r="O170" s="5" t="s">
        <v>402</v>
      </c>
    </row>
    <row r="171" spans="1:15" x14ac:dyDescent="0.3">
      <c r="A171" t="s">
        <v>398</v>
      </c>
      <c r="B171" t="s">
        <v>447</v>
      </c>
      <c r="D171" t="str">
        <f>VLOOKUP(Table2[[#This Row],[Project Name]],'[2]Contract Data'!$C$3:$P$3545,12,FALSE)</f>
        <v>Kars</v>
      </c>
      <c r="G171" s="6" t="s">
        <v>399</v>
      </c>
      <c r="H171" t="s">
        <v>80</v>
      </c>
      <c r="I171">
        <v>150</v>
      </c>
      <c r="J171">
        <v>2028</v>
      </c>
      <c r="K171" t="s">
        <v>66</v>
      </c>
      <c r="L171" s="1" t="s">
        <v>405</v>
      </c>
      <c r="M171" s="2">
        <v>46209</v>
      </c>
      <c r="N171" s="1" t="s">
        <v>448</v>
      </c>
      <c r="O171" s="5" t="s">
        <v>402</v>
      </c>
    </row>
    <row r="172" spans="1:15" x14ac:dyDescent="0.3">
      <c r="A172" t="s">
        <v>398</v>
      </c>
      <c r="B172" t="s">
        <v>449</v>
      </c>
      <c r="C172" t="s">
        <v>449</v>
      </c>
      <c r="D172" t="str">
        <f>VLOOKUP(Table2[[#This Row],[Project Name]],'[2]Contract Data'!$C$3:$P$3545,12,FALSE)</f>
        <v>Concord</v>
      </c>
      <c r="G172" s="6" t="s">
        <v>399</v>
      </c>
      <c r="H172" t="s">
        <v>80</v>
      </c>
      <c r="I172">
        <v>19</v>
      </c>
      <c r="J172">
        <v>2026</v>
      </c>
      <c r="K172" t="s">
        <v>66</v>
      </c>
      <c r="L172" s="1" t="s">
        <v>400</v>
      </c>
      <c r="M172" s="2">
        <v>46209</v>
      </c>
      <c r="N172" s="1" t="s">
        <v>408</v>
      </c>
      <c r="O172" s="5" t="s">
        <v>402</v>
      </c>
    </row>
    <row r="173" spans="1:15" x14ac:dyDescent="0.3">
      <c r="A173" t="s">
        <v>398</v>
      </c>
      <c r="B173" t="s">
        <v>450</v>
      </c>
      <c r="C173" t="s">
        <v>450</v>
      </c>
      <c r="D173" t="str">
        <f>VLOOKUP(Table2[[#This Row],[Project Name]],'[2]Contract Data'!$C$3:$P$3545,12,FALSE)</f>
        <v>Woodbridge</v>
      </c>
      <c r="G173" s="6" t="s">
        <v>399</v>
      </c>
      <c r="H173" t="s">
        <v>80</v>
      </c>
      <c r="I173">
        <v>38</v>
      </c>
      <c r="J173">
        <v>2026</v>
      </c>
      <c r="K173" t="s">
        <v>66</v>
      </c>
      <c r="L173" s="1" t="s">
        <v>400</v>
      </c>
      <c r="M173" s="2">
        <v>46209</v>
      </c>
      <c r="N173" s="1" t="s">
        <v>451</v>
      </c>
      <c r="O173" s="5" t="s">
        <v>402</v>
      </c>
    </row>
    <row r="174" spans="1:15" x14ac:dyDescent="0.3">
      <c r="A174" t="s">
        <v>398</v>
      </c>
      <c r="B174" t="s">
        <v>452</v>
      </c>
      <c r="C174" t="s">
        <v>452</v>
      </c>
      <c r="D174" t="str">
        <f>VLOOKUP(Table2[[#This Row],[Project Name]],'[2]Contract Data'!$C$3:$P$3545,12,FALSE)</f>
        <v>Windsor</v>
      </c>
      <c r="G174" s="6" t="s">
        <v>399</v>
      </c>
      <c r="H174" t="s">
        <v>80</v>
      </c>
      <c r="I174">
        <v>4.7489999999999997</v>
      </c>
      <c r="J174">
        <v>2026</v>
      </c>
      <c r="K174" t="s">
        <v>66</v>
      </c>
      <c r="L174" s="1" t="s">
        <v>400</v>
      </c>
      <c r="M174" s="2">
        <v>46209</v>
      </c>
      <c r="N174" s="1" t="s">
        <v>401</v>
      </c>
      <c r="O174" s="5" t="s">
        <v>402</v>
      </c>
    </row>
    <row r="175" spans="1:15" x14ac:dyDescent="0.3">
      <c r="A175" t="s">
        <v>398</v>
      </c>
      <c r="B175" t="s">
        <v>453</v>
      </c>
      <c r="C175" t="s">
        <v>453</v>
      </c>
      <c r="D175" t="str">
        <f>VLOOKUP(Table2[[#This Row],[Project Name]],'[2]Contract Data'!$C$3:$P$3545,12,FALSE)</f>
        <v>Windsor</v>
      </c>
      <c r="G175" s="6" t="s">
        <v>399</v>
      </c>
      <c r="H175" t="s">
        <v>80</v>
      </c>
      <c r="I175">
        <v>4.7489999999999997</v>
      </c>
      <c r="J175">
        <v>2026</v>
      </c>
      <c r="K175" t="s">
        <v>66</v>
      </c>
      <c r="L175" s="1" t="s">
        <v>400</v>
      </c>
      <c r="M175" s="2">
        <v>46209</v>
      </c>
      <c r="N175" s="1" t="s">
        <v>401</v>
      </c>
      <c r="O175" s="5" t="s">
        <v>402</v>
      </c>
    </row>
    <row r="176" spans="1:15" x14ac:dyDescent="0.3">
      <c r="A176" t="s">
        <v>398</v>
      </c>
      <c r="B176" t="s">
        <v>454</v>
      </c>
      <c r="C176" t="s">
        <v>454</v>
      </c>
      <c r="D176" t="str">
        <f>VLOOKUP(Table2[[#This Row],[Project Name]],'[2]Contract Data'!$C$3:$P$3545,12,FALSE)</f>
        <v>Windsor</v>
      </c>
      <c r="G176" s="6" t="s">
        <v>399</v>
      </c>
      <c r="H176" t="s">
        <v>80</v>
      </c>
      <c r="I176">
        <v>4.7489999999999997</v>
      </c>
      <c r="J176">
        <v>2026</v>
      </c>
      <c r="K176" t="s">
        <v>66</v>
      </c>
      <c r="L176" s="1" t="s">
        <v>400</v>
      </c>
      <c r="M176" s="2">
        <v>46209</v>
      </c>
      <c r="N176" s="1" t="s">
        <v>401</v>
      </c>
      <c r="O176" s="5" t="s">
        <v>402</v>
      </c>
    </row>
    <row r="177" spans="1:15" x14ac:dyDescent="0.3">
      <c r="A177" t="s">
        <v>398</v>
      </c>
      <c r="B177" t="s">
        <v>455</v>
      </c>
      <c r="C177" t="s">
        <v>455</v>
      </c>
      <c r="D177" t="str">
        <f>VLOOKUP(Table2[[#This Row],[Project Name]],'[2]Contract Data'!$C$3:$P$3545,12,FALSE)</f>
        <v>Monetville</v>
      </c>
      <c r="G177" s="6" t="s">
        <v>399</v>
      </c>
      <c r="H177" t="s">
        <v>80</v>
      </c>
      <c r="I177">
        <v>114</v>
      </c>
      <c r="J177">
        <v>2026</v>
      </c>
      <c r="K177" t="s">
        <v>66</v>
      </c>
      <c r="L177" s="1" t="s">
        <v>400</v>
      </c>
      <c r="M177" s="2">
        <v>46209</v>
      </c>
      <c r="N177" s="1" t="s">
        <v>456</v>
      </c>
      <c r="O177" s="5" t="s">
        <v>402</v>
      </c>
    </row>
    <row r="178" spans="1:15" x14ac:dyDescent="0.3">
      <c r="A178" t="s">
        <v>398</v>
      </c>
      <c r="B178" t="s">
        <v>457</v>
      </c>
      <c r="D178" t="str">
        <f>VLOOKUP(Table2[[#This Row],[Project Name]],'[2]Contract Data'!$C$3:$O$3568,12,FALSE)</f>
        <v>Brampton</v>
      </c>
      <c r="H178" t="s">
        <v>458</v>
      </c>
      <c r="I178">
        <v>879.51</v>
      </c>
      <c r="J178">
        <v>2027</v>
      </c>
      <c r="K178" t="s">
        <v>66</v>
      </c>
      <c r="L178" s="1" t="s">
        <v>459</v>
      </c>
      <c r="M178" s="2">
        <v>46209</v>
      </c>
      <c r="N178" s="1" t="s">
        <v>460</v>
      </c>
      <c r="O178" s="5" t="s">
        <v>402</v>
      </c>
    </row>
    <row r="179" spans="1:15" ht="28.8" x14ac:dyDescent="0.3">
      <c r="A179" t="s">
        <v>398</v>
      </c>
      <c r="B179" s="1" t="s">
        <v>461</v>
      </c>
      <c r="D179" t="str">
        <f>VLOOKUP(Table2[[#This Row],[Project Name]],'[2]Contract Data'!$C$3:$P$3545,12,FALSE)</f>
        <v>Thamesford</v>
      </c>
      <c r="G179" s="6" t="s">
        <v>399</v>
      </c>
      <c r="H179" t="s">
        <v>462</v>
      </c>
      <c r="I179">
        <v>0.95</v>
      </c>
      <c r="J179">
        <v>2028</v>
      </c>
      <c r="K179" t="s">
        <v>66</v>
      </c>
      <c r="L179" s="1" t="s">
        <v>405</v>
      </c>
      <c r="M179" s="2">
        <v>46209</v>
      </c>
      <c r="N179" s="1"/>
      <c r="O179" s="4" t="s">
        <v>402</v>
      </c>
    </row>
    <row r="180" spans="1:15" x14ac:dyDescent="0.3">
      <c r="A180" t="s">
        <v>398</v>
      </c>
      <c r="B180" t="s">
        <v>463</v>
      </c>
      <c r="D180" t="str">
        <f>VLOOKUP(Table2[[#This Row],[Project Name]],'[2]Contract Data'!$C$3:$O$3568,12,FALSE)</f>
        <v>Courtright</v>
      </c>
      <c r="H180" t="s">
        <v>458</v>
      </c>
      <c r="I180">
        <v>1040</v>
      </c>
      <c r="J180">
        <v>2027</v>
      </c>
      <c r="K180" t="s">
        <v>66</v>
      </c>
      <c r="L180" s="1" t="s">
        <v>459</v>
      </c>
      <c r="M180" s="2">
        <v>46209</v>
      </c>
      <c r="N180" s="1" t="s">
        <v>460</v>
      </c>
      <c r="O180" s="5" t="s">
        <v>402</v>
      </c>
    </row>
    <row r="181" spans="1:15" x14ac:dyDescent="0.3">
      <c r="A181" t="s">
        <v>398</v>
      </c>
      <c r="B181" t="s">
        <v>464</v>
      </c>
      <c r="C181" t="s">
        <v>465</v>
      </c>
      <c r="D181" t="s">
        <v>466</v>
      </c>
      <c r="G181" s="6" t="s">
        <v>467</v>
      </c>
      <c r="H181" t="s">
        <v>248</v>
      </c>
      <c r="I181">
        <v>24</v>
      </c>
      <c r="J181">
        <v>2027</v>
      </c>
      <c r="K181" t="s">
        <v>66</v>
      </c>
      <c r="L181" s="1" t="s">
        <v>468</v>
      </c>
      <c r="M181" s="2">
        <v>46209</v>
      </c>
      <c r="N181" s="1"/>
      <c r="O181" s="5" t="s">
        <v>469</v>
      </c>
    </row>
    <row r="182" spans="1:15" x14ac:dyDescent="0.3">
      <c r="A182" t="s">
        <v>398</v>
      </c>
      <c r="B182" t="s">
        <v>470</v>
      </c>
      <c r="D182" t="str">
        <f>VLOOKUP(Table2[[#This Row],[Project Name]],'[2]Contract Data'!$C$3:$O$3568,12,FALSE)</f>
        <v>Halton Hills</v>
      </c>
      <c r="H182" t="s">
        <v>458</v>
      </c>
      <c r="I182">
        <v>673</v>
      </c>
      <c r="J182">
        <v>2027</v>
      </c>
      <c r="K182" t="s">
        <v>66</v>
      </c>
      <c r="L182" s="1" t="s">
        <v>459</v>
      </c>
      <c r="M182" s="2">
        <v>46209</v>
      </c>
      <c r="N182" s="1" t="s">
        <v>460</v>
      </c>
      <c r="O182" s="5" t="s">
        <v>402</v>
      </c>
    </row>
    <row r="183" spans="1:15" x14ac:dyDescent="0.3">
      <c r="A183" t="s">
        <v>398</v>
      </c>
      <c r="B183" t="s">
        <v>471</v>
      </c>
      <c r="D183" t="s">
        <v>472</v>
      </c>
      <c r="G183" s="6" t="s">
        <v>467</v>
      </c>
      <c r="H183" t="s">
        <v>473</v>
      </c>
      <c r="I183">
        <v>1.82</v>
      </c>
      <c r="J183">
        <v>2027</v>
      </c>
      <c r="K183" t="s">
        <v>66</v>
      </c>
      <c r="L183" s="1" t="s">
        <v>468</v>
      </c>
      <c r="M183" s="2">
        <v>46209</v>
      </c>
      <c r="N183" s="1"/>
      <c r="O183" s="5" t="s">
        <v>469</v>
      </c>
    </row>
    <row r="184" spans="1:15" x14ac:dyDescent="0.3">
      <c r="A184" t="s">
        <v>398</v>
      </c>
      <c r="B184" t="s">
        <v>474</v>
      </c>
      <c r="C184" t="s">
        <v>475</v>
      </c>
      <c r="D184" t="s">
        <v>476</v>
      </c>
      <c r="G184" s="6" t="s">
        <v>467</v>
      </c>
      <c r="H184" t="s">
        <v>473</v>
      </c>
      <c r="I184">
        <v>6</v>
      </c>
      <c r="J184">
        <v>2027</v>
      </c>
      <c r="K184" t="s">
        <v>66</v>
      </c>
      <c r="L184" s="1" t="s">
        <v>468</v>
      </c>
      <c r="M184" s="2">
        <v>46209</v>
      </c>
      <c r="N184" s="1"/>
      <c r="O184" s="5" t="s">
        <v>469</v>
      </c>
    </row>
    <row r="185" spans="1:15" x14ac:dyDescent="0.3">
      <c r="A185" t="s">
        <v>398</v>
      </c>
      <c r="B185" t="s">
        <v>477</v>
      </c>
      <c r="C185" t="s">
        <v>478</v>
      </c>
      <c r="D185" t="s">
        <v>479</v>
      </c>
      <c r="G185" s="6" t="s">
        <v>467</v>
      </c>
      <c r="H185" t="s">
        <v>458</v>
      </c>
      <c r="I185">
        <v>1621.09</v>
      </c>
      <c r="J185">
        <v>2029</v>
      </c>
      <c r="K185" t="s">
        <v>66</v>
      </c>
      <c r="L185" s="1" t="s">
        <v>480</v>
      </c>
      <c r="M185" s="2">
        <v>46209</v>
      </c>
      <c r="N185" s="1"/>
      <c r="O185" s="5" t="s">
        <v>469</v>
      </c>
    </row>
    <row r="186" spans="1:15" x14ac:dyDescent="0.3">
      <c r="A186" t="s">
        <v>398</v>
      </c>
      <c r="B186" t="s">
        <v>481</v>
      </c>
      <c r="D186" t="str">
        <f>VLOOKUP(Table2[[#This Row],[Project Name]],'[2]Contract Data'!$C$3:$P$3545,12,FALSE)</f>
        <v>Belmont</v>
      </c>
      <c r="G186" t="s">
        <v>482</v>
      </c>
      <c r="H186" t="s">
        <v>458</v>
      </c>
      <c r="I186">
        <v>405</v>
      </c>
      <c r="J186">
        <v>2028</v>
      </c>
      <c r="K186" t="s">
        <v>66</v>
      </c>
      <c r="L186" s="1" t="s">
        <v>405</v>
      </c>
      <c r="M186" s="2">
        <v>46209</v>
      </c>
      <c r="N186" s="1"/>
      <c r="O186" s="5" t="s">
        <v>402</v>
      </c>
    </row>
    <row r="187" spans="1:15" x14ac:dyDescent="0.3">
      <c r="A187" t="s">
        <v>398</v>
      </c>
      <c r="B187" t="s">
        <v>483</v>
      </c>
      <c r="C187" t="s">
        <v>483</v>
      </c>
      <c r="D187" t="str">
        <f>VLOOKUP(Table2[[#This Row],[Project Name]],'[2]Contract Data'!$C$3:$P$3545,12,FALSE)</f>
        <v>Courtright</v>
      </c>
      <c r="G187" s="6" t="s">
        <v>399</v>
      </c>
      <c r="H187" t="s">
        <v>458</v>
      </c>
      <c r="I187">
        <v>195</v>
      </c>
      <c r="J187">
        <v>2026</v>
      </c>
      <c r="K187" t="s">
        <v>66</v>
      </c>
      <c r="L187" s="1" t="s">
        <v>400</v>
      </c>
      <c r="M187" s="2">
        <v>46209</v>
      </c>
      <c r="N187" s="1"/>
      <c r="O187" s="5" t="s">
        <v>402</v>
      </c>
    </row>
    <row r="188" spans="1:15" x14ac:dyDescent="0.3">
      <c r="A188" t="s">
        <v>398</v>
      </c>
      <c r="B188" t="s">
        <v>484</v>
      </c>
      <c r="D188" t="s">
        <v>485</v>
      </c>
      <c r="G188" s="6" t="s">
        <v>467</v>
      </c>
      <c r="H188" t="s">
        <v>458</v>
      </c>
      <c r="I188">
        <v>104.45</v>
      </c>
      <c r="J188">
        <v>2026</v>
      </c>
      <c r="K188" t="s">
        <v>66</v>
      </c>
      <c r="L188" s="1" t="s">
        <v>480</v>
      </c>
      <c r="M188" s="2">
        <v>46209</v>
      </c>
      <c r="N188" s="1"/>
      <c r="O188" s="5" t="s">
        <v>469</v>
      </c>
    </row>
    <row r="189" spans="1:15" x14ac:dyDescent="0.3">
      <c r="A189" t="s">
        <v>398</v>
      </c>
      <c r="B189" t="s">
        <v>486</v>
      </c>
      <c r="D189" t="s">
        <v>487</v>
      </c>
      <c r="G189" s="6" t="s">
        <v>467</v>
      </c>
      <c r="H189" t="s">
        <v>458</v>
      </c>
      <c r="I189">
        <v>98.03</v>
      </c>
      <c r="J189">
        <v>2026</v>
      </c>
      <c r="K189" t="s">
        <v>66</v>
      </c>
      <c r="L189" s="1" t="s">
        <v>480</v>
      </c>
      <c r="M189" s="2">
        <v>46209</v>
      </c>
      <c r="N189" s="1"/>
      <c r="O189" s="5" t="s">
        <v>469</v>
      </c>
    </row>
    <row r="190" spans="1:15" x14ac:dyDescent="0.3">
      <c r="A190" t="s">
        <v>398</v>
      </c>
      <c r="B190" t="s">
        <v>488</v>
      </c>
      <c r="D190" t="s">
        <v>472</v>
      </c>
      <c r="G190" s="6" t="s">
        <v>467</v>
      </c>
      <c r="H190" t="s">
        <v>458</v>
      </c>
      <c r="I190">
        <v>89.01</v>
      </c>
      <c r="J190">
        <v>2029</v>
      </c>
      <c r="K190" t="s">
        <v>66</v>
      </c>
      <c r="L190" s="1" t="s">
        <v>480</v>
      </c>
      <c r="M190" s="2">
        <v>46209</v>
      </c>
      <c r="N190" s="1"/>
      <c r="O190" s="5" t="s">
        <v>469</v>
      </c>
    </row>
    <row r="191" spans="1:15" x14ac:dyDescent="0.3">
      <c r="A191" t="s">
        <v>398</v>
      </c>
      <c r="B191" t="s">
        <v>489</v>
      </c>
      <c r="D191" t="s">
        <v>490</v>
      </c>
      <c r="G191" s="6" t="s">
        <v>467</v>
      </c>
      <c r="H191" t="s">
        <v>458</v>
      </c>
      <c r="I191">
        <v>33.04</v>
      </c>
      <c r="J191">
        <v>2026</v>
      </c>
      <c r="K191" t="s">
        <v>66</v>
      </c>
      <c r="L191" s="1" t="s">
        <v>480</v>
      </c>
      <c r="M191" s="2">
        <v>46209</v>
      </c>
      <c r="N191" s="1"/>
      <c r="O191" s="5" t="s">
        <v>469</v>
      </c>
    </row>
    <row r="192" spans="1:15" x14ac:dyDescent="0.3">
      <c r="A192" t="s">
        <v>398</v>
      </c>
      <c r="B192" t="s">
        <v>491</v>
      </c>
      <c r="D192" t="s">
        <v>492</v>
      </c>
      <c r="G192" s="6" t="s">
        <v>467</v>
      </c>
      <c r="H192" t="s">
        <v>458</v>
      </c>
      <c r="I192">
        <v>25</v>
      </c>
      <c r="J192">
        <v>2026</v>
      </c>
      <c r="K192" t="s">
        <v>66</v>
      </c>
      <c r="L192" s="1" t="s">
        <v>480</v>
      </c>
      <c r="M192" s="2">
        <v>46209</v>
      </c>
      <c r="N192" s="1"/>
      <c r="O192" s="5" t="s">
        <v>469</v>
      </c>
    </row>
    <row r="193" spans="1:15" x14ac:dyDescent="0.3">
      <c r="A193" t="s">
        <v>398</v>
      </c>
      <c r="B193" t="s">
        <v>493</v>
      </c>
      <c r="C193" t="s">
        <v>494</v>
      </c>
      <c r="D193" t="s">
        <v>494</v>
      </c>
      <c r="G193" s="6" t="s">
        <v>467</v>
      </c>
      <c r="H193" t="s">
        <v>458</v>
      </c>
      <c r="I193">
        <v>22.5</v>
      </c>
      <c r="J193">
        <v>2026</v>
      </c>
      <c r="K193" t="s">
        <v>66</v>
      </c>
      <c r="L193" s="1" t="s">
        <v>480</v>
      </c>
      <c r="M193" s="2">
        <v>46209</v>
      </c>
      <c r="N193" s="1"/>
      <c r="O193" s="5" t="s">
        <v>469</v>
      </c>
    </row>
    <row r="194" spans="1:15" x14ac:dyDescent="0.3">
      <c r="A194" t="s">
        <v>398</v>
      </c>
      <c r="B194" t="s">
        <v>495</v>
      </c>
      <c r="C194" t="s">
        <v>495</v>
      </c>
      <c r="D194" t="s">
        <v>496</v>
      </c>
      <c r="G194" s="6" t="s">
        <v>467</v>
      </c>
      <c r="H194" t="s">
        <v>458</v>
      </c>
      <c r="I194">
        <v>13.02</v>
      </c>
      <c r="J194">
        <v>2029</v>
      </c>
      <c r="K194" t="s">
        <v>66</v>
      </c>
      <c r="L194" s="1" t="s">
        <v>480</v>
      </c>
      <c r="M194" s="2">
        <v>46209</v>
      </c>
      <c r="N194" s="1"/>
      <c r="O194" s="5" t="s">
        <v>469</v>
      </c>
    </row>
    <row r="195" spans="1:15" x14ac:dyDescent="0.3">
      <c r="A195" t="s">
        <v>398</v>
      </c>
      <c r="B195" t="s">
        <v>497</v>
      </c>
      <c r="D195" t="str">
        <f>VLOOKUP(Table2[[#This Row],[Project Name]],'[2]Contract Data'!$C$3:$P$3545,12,FALSE)</f>
        <v>Aylmer</v>
      </c>
      <c r="G195" s="6" t="s">
        <v>399</v>
      </c>
      <c r="H195" t="s">
        <v>458</v>
      </c>
      <c r="I195">
        <v>4.74</v>
      </c>
      <c r="J195">
        <v>2028</v>
      </c>
      <c r="K195" t="s">
        <v>66</v>
      </c>
      <c r="L195" s="1" t="s">
        <v>405</v>
      </c>
      <c r="M195" s="2">
        <v>46209</v>
      </c>
      <c r="N195" s="1"/>
      <c r="O195" s="5" t="s">
        <v>402</v>
      </c>
    </row>
    <row r="196" spans="1:15" x14ac:dyDescent="0.3">
      <c r="A196" t="s">
        <v>398</v>
      </c>
      <c r="B196" t="s">
        <v>498</v>
      </c>
      <c r="C196" t="s">
        <v>499</v>
      </c>
      <c r="D196" t="str">
        <f>VLOOKUP(Table2[[#This Row],[Project Name]],'[2]Contract Data'!$C$3:$P$3545,12,FALSE)</f>
        <v>Windsor</v>
      </c>
      <c r="G196" s="6" t="s">
        <v>482</v>
      </c>
      <c r="H196" t="s">
        <v>500</v>
      </c>
      <c r="I196">
        <v>100</v>
      </c>
      <c r="J196">
        <v>2026</v>
      </c>
      <c r="K196" t="s">
        <v>66</v>
      </c>
      <c r="L196" s="1" t="s">
        <v>400</v>
      </c>
      <c r="M196" s="2">
        <v>46209</v>
      </c>
      <c r="N196" s="1"/>
      <c r="O196" s="4" t="s">
        <v>402</v>
      </c>
    </row>
    <row r="197" spans="1:15" x14ac:dyDescent="0.3">
      <c r="A197" t="s">
        <v>398</v>
      </c>
      <c r="B197" t="s">
        <v>501</v>
      </c>
      <c r="D197" t="s">
        <v>502</v>
      </c>
      <c r="G197" t="s">
        <v>399</v>
      </c>
      <c r="H197" t="s">
        <v>503</v>
      </c>
      <c r="I197">
        <v>300</v>
      </c>
      <c r="J197">
        <v>2029</v>
      </c>
      <c r="K197" t="s">
        <v>66</v>
      </c>
      <c r="M197" s="2">
        <v>46209</v>
      </c>
      <c r="N197" s="1"/>
    </row>
    <row r="198" spans="1:15" x14ac:dyDescent="0.3">
      <c r="A198" t="s">
        <v>398</v>
      </c>
      <c r="B198" t="s">
        <v>504</v>
      </c>
      <c r="D198" t="s">
        <v>505</v>
      </c>
      <c r="G198" s="6" t="s">
        <v>399</v>
      </c>
      <c r="H198" t="s">
        <v>65</v>
      </c>
      <c r="I198">
        <v>200</v>
      </c>
      <c r="J198">
        <v>2030</v>
      </c>
      <c r="K198" t="s">
        <v>66</v>
      </c>
      <c r="L198" s="1" t="s">
        <v>506</v>
      </c>
      <c r="M198" s="2">
        <v>46209</v>
      </c>
      <c r="N198" s="1"/>
      <c r="O198" s="5" t="s">
        <v>413</v>
      </c>
    </row>
    <row r="199" spans="1:15" x14ac:dyDescent="0.3">
      <c r="A199" t="s">
        <v>398</v>
      </c>
      <c r="B199" t="s">
        <v>507</v>
      </c>
      <c r="D199" t="s">
        <v>508</v>
      </c>
      <c r="G199" s="6" t="s">
        <v>399</v>
      </c>
      <c r="H199" t="s">
        <v>65</v>
      </c>
      <c r="I199">
        <v>167.2</v>
      </c>
      <c r="J199">
        <v>2030</v>
      </c>
      <c r="K199" t="s">
        <v>66</v>
      </c>
      <c r="L199" s="1" t="s">
        <v>506</v>
      </c>
      <c r="M199" s="2">
        <v>46209</v>
      </c>
      <c r="N199" s="1"/>
      <c r="O199" s="5" t="s">
        <v>413</v>
      </c>
    </row>
    <row r="200" spans="1:15" x14ac:dyDescent="0.3">
      <c r="A200" t="s">
        <v>398</v>
      </c>
      <c r="B200" t="s">
        <v>509</v>
      </c>
      <c r="D200" t="s">
        <v>510</v>
      </c>
      <c r="G200" s="6" t="s">
        <v>399</v>
      </c>
      <c r="H200" t="s">
        <v>65</v>
      </c>
      <c r="I200">
        <v>154</v>
      </c>
      <c r="J200">
        <v>2030</v>
      </c>
      <c r="K200" t="s">
        <v>66</v>
      </c>
      <c r="L200" s="1" t="s">
        <v>506</v>
      </c>
      <c r="M200" s="2">
        <v>46209</v>
      </c>
      <c r="N200" s="1"/>
      <c r="O200" s="5" t="s">
        <v>413</v>
      </c>
    </row>
    <row r="201" spans="1:15" x14ac:dyDescent="0.3">
      <c r="A201" t="s">
        <v>398</v>
      </c>
      <c r="B201" t="s">
        <v>511</v>
      </c>
      <c r="D201" t="s">
        <v>512</v>
      </c>
      <c r="G201" s="6" t="s">
        <v>399</v>
      </c>
      <c r="H201" t="s">
        <v>65</v>
      </c>
      <c r="I201">
        <v>141.25</v>
      </c>
      <c r="J201">
        <v>2030</v>
      </c>
      <c r="K201" t="s">
        <v>66</v>
      </c>
      <c r="L201" s="1" t="s">
        <v>506</v>
      </c>
      <c r="M201" s="2">
        <v>46209</v>
      </c>
      <c r="N201" s="1"/>
      <c r="O201" s="5" t="s">
        <v>413</v>
      </c>
    </row>
    <row r="202" spans="1:15" x14ac:dyDescent="0.3">
      <c r="A202" t="s">
        <v>398</v>
      </c>
      <c r="B202" t="s">
        <v>513</v>
      </c>
      <c r="D202" t="s">
        <v>514</v>
      </c>
      <c r="G202" s="6" t="s">
        <v>399</v>
      </c>
      <c r="H202" t="s">
        <v>65</v>
      </c>
      <c r="I202">
        <v>60</v>
      </c>
      <c r="J202">
        <v>2030</v>
      </c>
      <c r="K202" t="s">
        <v>66</v>
      </c>
      <c r="L202" s="1" t="s">
        <v>506</v>
      </c>
      <c r="M202" s="2">
        <v>46209</v>
      </c>
      <c r="N202" s="1"/>
      <c r="O202" s="5" t="s">
        <v>413</v>
      </c>
    </row>
    <row r="203" spans="1:15" x14ac:dyDescent="0.3">
      <c r="A203" t="s">
        <v>398</v>
      </c>
      <c r="B203" t="s">
        <v>515</v>
      </c>
      <c r="D203" t="s">
        <v>508</v>
      </c>
      <c r="G203" s="6" t="s">
        <v>399</v>
      </c>
      <c r="H203" t="s">
        <v>65</v>
      </c>
      <c r="I203">
        <v>57.2</v>
      </c>
      <c r="J203">
        <v>2030</v>
      </c>
      <c r="K203" t="s">
        <v>66</v>
      </c>
      <c r="L203" s="1" t="s">
        <v>506</v>
      </c>
      <c r="M203" s="2">
        <v>46209</v>
      </c>
      <c r="N203" s="1"/>
      <c r="O203" s="5" t="s">
        <v>413</v>
      </c>
    </row>
    <row r="204" spans="1:15" x14ac:dyDescent="0.3">
      <c r="A204" t="s">
        <v>398</v>
      </c>
      <c r="B204" t="s">
        <v>516</v>
      </c>
      <c r="D204" t="s">
        <v>517</v>
      </c>
      <c r="G204" s="6" t="s">
        <v>399</v>
      </c>
      <c r="H204" t="s">
        <v>65</v>
      </c>
      <c r="I204">
        <v>50</v>
      </c>
      <c r="J204">
        <v>2030</v>
      </c>
      <c r="K204" t="s">
        <v>66</v>
      </c>
      <c r="L204" s="1" t="s">
        <v>506</v>
      </c>
      <c r="M204" s="2">
        <v>46209</v>
      </c>
      <c r="N204" s="1"/>
      <c r="O204" s="5" t="s">
        <v>413</v>
      </c>
    </row>
    <row r="205" spans="1:15" x14ac:dyDescent="0.3">
      <c r="A205" t="s">
        <v>398</v>
      </c>
      <c r="B205" t="s">
        <v>518</v>
      </c>
      <c r="D205" t="s">
        <v>519</v>
      </c>
      <c r="G205" s="6" t="s">
        <v>399</v>
      </c>
      <c r="H205" t="s">
        <v>65</v>
      </c>
      <c r="I205">
        <v>23.94</v>
      </c>
      <c r="J205">
        <v>2030</v>
      </c>
      <c r="K205" t="s">
        <v>66</v>
      </c>
      <c r="L205" s="1" t="s">
        <v>506</v>
      </c>
      <c r="M205" s="2">
        <v>46209</v>
      </c>
      <c r="N205" s="1"/>
      <c r="O205" s="5" t="s">
        <v>413</v>
      </c>
    </row>
    <row r="206" spans="1:15" x14ac:dyDescent="0.3">
      <c r="A206" t="s">
        <v>398</v>
      </c>
      <c r="B206" t="s">
        <v>520</v>
      </c>
      <c r="D206" t="str">
        <f>VLOOKUP(Table2[[#This Row],[Project Name]],'[2]Contract Data'!$C$3:$O$3568,12,FALSE)</f>
        <v>Toronto</v>
      </c>
      <c r="H206" t="s">
        <v>458</v>
      </c>
      <c r="I206">
        <v>600</v>
      </c>
      <c r="J206">
        <v>2027</v>
      </c>
      <c r="K206" t="s">
        <v>66</v>
      </c>
      <c r="L206" s="1" t="s">
        <v>459</v>
      </c>
      <c r="M206" s="2">
        <v>46209</v>
      </c>
      <c r="N206" s="1" t="s">
        <v>460</v>
      </c>
      <c r="O206" s="5" t="s">
        <v>402</v>
      </c>
    </row>
    <row r="207" spans="1:15" x14ac:dyDescent="0.3">
      <c r="A207" t="s">
        <v>398</v>
      </c>
      <c r="B207" t="s">
        <v>521</v>
      </c>
      <c r="D207" t="s">
        <v>522</v>
      </c>
      <c r="G207" s="6" t="s">
        <v>399</v>
      </c>
      <c r="H207" t="s">
        <v>65</v>
      </c>
      <c r="I207">
        <v>19.2</v>
      </c>
      <c r="J207">
        <v>2030</v>
      </c>
      <c r="K207" t="s">
        <v>66</v>
      </c>
      <c r="L207" s="1" t="s">
        <v>506</v>
      </c>
      <c r="M207" s="2">
        <v>46209</v>
      </c>
      <c r="N207" s="1"/>
      <c r="O207" s="5" t="s">
        <v>413</v>
      </c>
    </row>
    <row r="208" spans="1:15" x14ac:dyDescent="0.3">
      <c r="A208" t="s">
        <v>398</v>
      </c>
      <c r="B208" t="s">
        <v>523</v>
      </c>
      <c r="D208" t="s">
        <v>524</v>
      </c>
      <c r="G208" s="6" t="s">
        <v>399</v>
      </c>
      <c r="H208" t="s">
        <v>65</v>
      </c>
      <c r="I208">
        <v>17.600000000000001</v>
      </c>
      <c r="J208">
        <v>2030</v>
      </c>
      <c r="K208" t="s">
        <v>66</v>
      </c>
      <c r="L208" s="1" t="s">
        <v>506</v>
      </c>
      <c r="M208" s="2">
        <v>46209</v>
      </c>
      <c r="N208" s="1"/>
      <c r="O208" s="5" t="s">
        <v>413</v>
      </c>
    </row>
    <row r="209" spans="1:15" x14ac:dyDescent="0.3">
      <c r="A209" t="s">
        <v>398</v>
      </c>
      <c r="B209" t="s">
        <v>525</v>
      </c>
      <c r="D209" t="s">
        <v>526</v>
      </c>
      <c r="G209" s="6" t="s">
        <v>399</v>
      </c>
      <c r="H209" t="s">
        <v>65</v>
      </c>
      <c r="I209">
        <v>15.75</v>
      </c>
      <c r="J209">
        <v>2030</v>
      </c>
      <c r="K209" t="s">
        <v>66</v>
      </c>
      <c r="L209" s="1" t="s">
        <v>506</v>
      </c>
      <c r="M209" s="2">
        <v>46209</v>
      </c>
      <c r="N209" s="1"/>
      <c r="O209" s="5" t="s">
        <v>413</v>
      </c>
    </row>
    <row r="210" spans="1:15" x14ac:dyDescent="0.3">
      <c r="A210" t="s">
        <v>398</v>
      </c>
      <c r="B210" t="s">
        <v>527</v>
      </c>
      <c r="D210" t="s">
        <v>528</v>
      </c>
      <c r="G210" s="6" t="s">
        <v>399</v>
      </c>
      <c r="H210" t="s">
        <v>65</v>
      </c>
      <c r="I210">
        <v>9</v>
      </c>
      <c r="J210">
        <v>2030</v>
      </c>
      <c r="K210" t="s">
        <v>66</v>
      </c>
      <c r="L210" s="1" t="s">
        <v>506</v>
      </c>
      <c r="M210" s="2">
        <v>46209</v>
      </c>
      <c r="N210" s="1"/>
      <c r="O210" s="5" t="s">
        <v>413</v>
      </c>
    </row>
    <row r="211" spans="1:15" x14ac:dyDescent="0.3">
      <c r="A211" t="s">
        <v>398</v>
      </c>
      <c r="B211" t="s">
        <v>529</v>
      </c>
      <c r="C211" t="s">
        <v>530</v>
      </c>
      <c r="D211" t="s">
        <v>531</v>
      </c>
      <c r="G211" s="6" t="s">
        <v>467</v>
      </c>
      <c r="H211" t="s">
        <v>88</v>
      </c>
      <c r="I211">
        <v>197.8</v>
      </c>
      <c r="J211">
        <v>2029</v>
      </c>
      <c r="K211" t="s">
        <v>66</v>
      </c>
      <c r="L211" s="1" t="s">
        <v>468</v>
      </c>
      <c r="M211" s="2">
        <v>46209</v>
      </c>
      <c r="N211" s="1"/>
      <c r="O211" s="5" t="s">
        <v>469</v>
      </c>
    </row>
    <row r="212" spans="1:15" x14ac:dyDescent="0.3">
      <c r="A212" t="s">
        <v>398</v>
      </c>
      <c r="B212" t="s">
        <v>532</v>
      </c>
      <c r="D212" t="s">
        <v>533</v>
      </c>
      <c r="G212" s="6" t="s">
        <v>467</v>
      </c>
      <c r="H212" t="s">
        <v>88</v>
      </c>
      <c r="I212">
        <v>132</v>
      </c>
      <c r="J212">
        <v>2029</v>
      </c>
      <c r="K212" t="s">
        <v>66</v>
      </c>
      <c r="L212" s="1" t="s">
        <v>468</v>
      </c>
      <c r="M212" s="2">
        <v>46209</v>
      </c>
      <c r="N212" s="1"/>
      <c r="O212" s="5" t="s">
        <v>469</v>
      </c>
    </row>
    <row r="213" spans="1:15" x14ac:dyDescent="0.3">
      <c r="A213" t="s">
        <v>398</v>
      </c>
      <c r="B213" t="s">
        <v>534</v>
      </c>
      <c r="D213" t="s">
        <v>535</v>
      </c>
      <c r="G213" s="6" t="s">
        <v>467</v>
      </c>
      <c r="H213" t="s">
        <v>88</v>
      </c>
      <c r="I213">
        <v>99</v>
      </c>
      <c r="J213">
        <v>2026</v>
      </c>
      <c r="K213" t="s">
        <v>66</v>
      </c>
      <c r="L213" s="1" t="s">
        <v>468</v>
      </c>
      <c r="M213" s="2">
        <v>46209</v>
      </c>
      <c r="N213" s="1"/>
      <c r="O213" s="5" t="s">
        <v>469</v>
      </c>
    </row>
    <row r="214" spans="1:15" x14ac:dyDescent="0.3">
      <c r="A214" t="s">
        <v>398</v>
      </c>
      <c r="B214" t="s">
        <v>536</v>
      </c>
      <c r="C214" t="s">
        <v>537</v>
      </c>
      <c r="D214" t="s">
        <v>537</v>
      </c>
      <c r="G214" s="6" t="s">
        <v>467</v>
      </c>
      <c r="H214" t="s">
        <v>88</v>
      </c>
      <c r="I214">
        <v>99</v>
      </c>
      <c r="J214">
        <v>2027</v>
      </c>
      <c r="K214" t="s">
        <v>66</v>
      </c>
      <c r="L214" s="1" t="s">
        <v>468</v>
      </c>
      <c r="M214" s="2">
        <v>46209</v>
      </c>
      <c r="N214" s="1"/>
      <c r="O214" s="5" t="s">
        <v>469</v>
      </c>
    </row>
    <row r="215" spans="1:15" x14ac:dyDescent="0.3">
      <c r="A215" t="s">
        <v>398</v>
      </c>
      <c r="B215" t="s">
        <v>538</v>
      </c>
      <c r="D215" t="str">
        <f>VLOOKUP(Table2[[#This Row],[Project Name]],'[2]Contract Data'!$C$3:$O$3568,12,FALSE)</f>
        <v>Corunna</v>
      </c>
      <c r="H215" t="s">
        <v>458</v>
      </c>
      <c r="I215">
        <v>645.5</v>
      </c>
      <c r="J215">
        <v>2027</v>
      </c>
      <c r="K215" t="s">
        <v>66</v>
      </c>
      <c r="L215" s="1" t="s">
        <v>459</v>
      </c>
      <c r="M215" s="2">
        <v>46209</v>
      </c>
      <c r="N215" s="1" t="s">
        <v>460</v>
      </c>
      <c r="O215" s="5" t="s">
        <v>402</v>
      </c>
    </row>
    <row r="216" spans="1:15" x14ac:dyDescent="0.3">
      <c r="A216" t="s">
        <v>398</v>
      </c>
      <c r="B216" t="s">
        <v>539</v>
      </c>
      <c r="C216" t="s">
        <v>537</v>
      </c>
      <c r="D216" t="s">
        <v>537</v>
      </c>
      <c r="G216" s="6" t="s">
        <v>467</v>
      </c>
      <c r="H216" t="s">
        <v>88</v>
      </c>
      <c r="I216">
        <v>90</v>
      </c>
      <c r="J216">
        <v>2029</v>
      </c>
      <c r="K216" t="s">
        <v>66</v>
      </c>
      <c r="L216" s="1" t="s">
        <v>468</v>
      </c>
      <c r="M216" s="2">
        <v>46209</v>
      </c>
      <c r="N216" s="1"/>
      <c r="O216" s="5" t="s">
        <v>469</v>
      </c>
    </row>
    <row r="217" spans="1:15" x14ac:dyDescent="0.3">
      <c r="A217" t="s">
        <v>398</v>
      </c>
      <c r="B217" t="s">
        <v>540</v>
      </c>
      <c r="D217" t="str">
        <f>VLOOKUP(Table2[[#This Row],[Project Name]],'[2]Contract Data'!$C$3:$O$3568,12,FALSE)</f>
        <v>St. Catharines</v>
      </c>
      <c r="H217" t="s">
        <v>458</v>
      </c>
      <c r="I217">
        <v>264.60000000000002</v>
      </c>
      <c r="J217">
        <v>2027</v>
      </c>
      <c r="K217" t="s">
        <v>66</v>
      </c>
      <c r="L217" s="1" t="s">
        <v>459</v>
      </c>
      <c r="M217" s="2">
        <v>46209</v>
      </c>
      <c r="N217" s="1" t="s">
        <v>460</v>
      </c>
      <c r="O217" s="5" t="s">
        <v>402</v>
      </c>
    </row>
    <row r="218" spans="1:15" x14ac:dyDescent="0.3">
      <c r="A218" t="s">
        <v>398</v>
      </c>
      <c r="B218" t="s">
        <v>541</v>
      </c>
      <c r="D218" t="s">
        <v>533</v>
      </c>
      <c r="G218" s="6" t="s">
        <v>467</v>
      </c>
      <c r="H218" t="s">
        <v>88</v>
      </c>
      <c r="I218">
        <v>67.5</v>
      </c>
      <c r="J218">
        <v>2026</v>
      </c>
      <c r="K218" t="s">
        <v>66</v>
      </c>
      <c r="L218" s="1" t="s">
        <v>468</v>
      </c>
      <c r="M218" s="2">
        <v>46209</v>
      </c>
      <c r="N218" s="1"/>
      <c r="O218" s="5" t="s">
        <v>469</v>
      </c>
    </row>
    <row r="219" spans="1:15" x14ac:dyDescent="0.3">
      <c r="A219" t="s">
        <v>398</v>
      </c>
      <c r="B219" t="s">
        <v>542</v>
      </c>
      <c r="D219" t="s">
        <v>543</v>
      </c>
      <c r="G219" s="6" t="s">
        <v>399</v>
      </c>
      <c r="H219" t="s">
        <v>88</v>
      </c>
      <c r="I219">
        <v>200</v>
      </c>
      <c r="J219">
        <v>2029</v>
      </c>
      <c r="K219" t="s">
        <v>66</v>
      </c>
      <c r="L219" s="1" t="s">
        <v>506</v>
      </c>
      <c r="M219" s="2">
        <v>46209</v>
      </c>
      <c r="N219" s="1"/>
      <c r="O219" s="5" t="s">
        <v>413</v>
      </c>
    </row>
    <row r="220" spans="1:15" x14ac:dyDescent="0.3">
      <c r="A220" t="s">
        <v>398</v>
      </c>
      <c r="B220" t="s">
        <v>544</v>
      </c>
      <c r="C220" t="s">
        <v>545</v>
      </c>
      <c r="D220" t="s">
        <v>546</v>
      </c>
      <c r="G220" s="6" t="s">
        <v>467</v>
      </c>
      <c r="H220" t="s">
        <v>88</v>
      </c>
      <c r="I220">
        <v>101.2</v>
      </c>
      <c r="J220">
        <v>2029</v>
      </c>
      <c r="K220" t="s">
        <v>66</v>
      </c>
      <c r="L220" s="1" t="s">
        <v>468</v>
      </c>
      <c r="M220" s="2">
        <v>46209</v>
      </c>
      <c r="N220" s="1"/>
      <c r="O220" s="5" t="s">
        <v>469</v>
      </c>
    </row>
    <row r="221" spans="1:15" x14ac:dyDescent="0.3">
      <c r="A221" t="s">
        <v>398</v>
      </c>
      <c r="B221" t="s">
        <v>547</v>
      </c>
      <c r="D221" t="s">
        <v>548</v>
      </c>
      <c r="G221" s="6" t="s">
        <v>467</v>
      </c>
      <c r="H221" t="s">
        <v>88</v>
      </c>
      <c r="I221">
        <v>9.9</v>
      </c>
      <c r="J221">
        <v>2029</v>
      </c>
      <c r="K221" t="s">
        <v>66</v>
      </c>
      <c r="L221" s="1" t="s">
        <v>468</v>
      </c>
      <c r="M221" s="2">
        <v>46209</v>
      </c>
      <c r="N221" s="1"/>
      <c r="O221" s="5" t="s">
        <v>469</v>
      </c>
    </row>
    <row r="222" spans="1:15" x14ac:dyDescent="0.3">
      <c r="A222" t="s">
        <v>398</v>
      </c>
      <c r="B222" t="s">
        <v>549</v>
      </c>
      <c r="D222" t="s">
        <v>548</v>
      </c>
      <c r="G222" s="6" t="s">
        <v>467</v>
      </c>
      <c r="H222" t="s">
        <v>88</v>
      </c>
      <c r="I222">
        <v>9.9</v>
      </c>
      <c r="J222">
        <v>2028</v>
      </c>
      <c r="K222" t="s">
        <v>66</v>
      </c>
      <c r="L222" s="1" t="s">
        <v>468</v>
      </c>
      <c r="M222" s="2">
        <v>46209</v>
      </c>
      <c r="N222" s="1"/>
      <c r="O222" s="5" t="s">
        <v>469</v>
      </c>
    </row>
    <row r="223" spans="1:15" x14ac:dyDescent="0.3">
      <c r="A223" t="s">
        <v>398</v>
      </c>
      <c r="B223" t="s">
        <v>550</v>
      </c>
      <c r="D223" t="s">
        <v>548</v>
      </c>
      <c r="G223" s="6" t="s">
        <v>467</v>
      </c>
      <c r="H223" t="s">
        <v>88</v>
      </c>
      <c r="I223">
        <v>9.9</v>
      </c>
      <c r="J223">
        <v>2028</v>
      </c>
      <c r="K223" t="s">
        <v>66</v>
      </c>
      <c r="L223" s="1" t="s">
        <v>468</v>
      </c>
      <c r="M223" s="2">
        <v>46209</v>
      </c>
      <c r="N223" s="1"/>
      <c r="O223" s="5" t="s">
        <v>469</v>
      </c>
    </row>
    <row r="224" spans="1:15" x14ac:dyDescent="0.3">
      <c r="A224" t="s">
        <v>398</v>
      </c>
      <c r="B224" t="s">
        <v>551</v>
      </c>
      <c r="D224" t="s">
        <v>552</v>
      </c>
      <c r="G224" s="6" t="s">
        <v>467</v>
      </c>
      <c r="H224" t="s">
        <v>88</v>
      </c>
      <c r="I224">
        <v>9.9</v>
      </c>
      <c r="J224">
        <v>2029</v>
      </c>
      <c r="K224" t="s">
        <v>66</v>
      </c>
      <c r="L224" s="1" t="s">
        <v>468</v>
      </c>
      <c r="M224" s="2">
        <v>46209</v>
      </c>
      <c r="N224" s="1"/>
      <c r="O224" s="5" t="s">
        <v>469</v>
      </c>
    </row>
    <row r="225" spans="1:15" x14ac:dyDescent="0.3">
      <c r="A225" t="s">
        <v>398</v>
      </c>
      <c r="B225" t="s">
        <v>553</v>
      </c>
      <c r="C225" t="s">
        <v>554</v>
      </c>
      <c r="D225" t="s">
        <v>555</v>
      </c>
      <c r="G225" s="6" t="s">
        <v>467</v>
      </c>
      <c r="H225" t="s">
        <v>88</v>
      </c>
      <c r="I225">
        <v>76</v>
      </c>
      <c r="J225">
        <v>2028</v>
      </c>
      <c r="K225" t="s">
        <v>66</v>
      </c>
      <c r="L225" s="1" t="s">
        <v>468</v>
      </c>
      <c r="M225" s="2">
        <v>46209</v>
      </c>
      <c r="N225" s="1"/>
      <c r="O225" s="5" t="s">
        <v>469</v>
      </c>
    </row>
    <row r="226" spans="1:15" x14ac:dyDescent="0.3">
      <c r="A226" t="s">
        <v>398</v>
      </c>
      <c r="B226" t="s">
        <v>556</v>
      </c>
      <c r="C226" t="s">
        <v>557</v>
      </c>
      <c r="D226" t="s">
        <v>558</v>
      </c>
      <c r="G226" s="6" t="s">
        <v>467</v>
      </c>
      <c r="H226" t="s">
        <v>88</v>
      </c>
      <c r="I226">
        <v>37.799999999999997</v>
      </c>
      <c r="J226">
        <v>2026</v>
      </c>
      <c r="K226" t="s">
        <v>66</v>
      </c>
      <c r="L226" s="1" t="s">
        <v>468</v>
      </c>
      <c r="M226" s="2">
        <v>46209</v>
      </c>
      <c r="N226" s="1"/>
      <c r="O226" s="5" t="s">
        <v>469</v>
      </c>
    </row>
    <row r="227" spans="1:15" x14ac:dyDescent="0.3">
      <c r="A227" t="s">
        <v>398</v>
      </c>
      <c r="B227" t="s">
        <v>559</v>
      </c>
      <c r="C227" t="s">
        <v>560</v>
      </c>
      <c r="D227" t="s">
        <v>561</v>
      </c>
      <c r="G227" s="6" t="s">
        <v>467</v>
      </c>
      <c r="H227" t="s">
        <v>88</v>
      </c>
      <c r="I227">
        <v>8.25</v>
      </c>
      <c r="J227">
        <v>2029</v>
      </c>
      <c r="K227" t="s">
        <v>66</v>
      </c>
      <c r="L227" s="1" t="s">
        <v>468</v>
      </c>
      <c r="M227" s="2">
        <v>46209</v>
      </c>
      <c r="N227" s="1"/>
      <c r="O227" s="5" t="s">
        <v>469</v>
      </c>
    </row>
    <row r="228" spans="1:15" x14ac:dyDescent="0.3">
      <c r="A228" t="s">
        <v>398</v>
      </c>
      <c r="B228" t="s">
        <v>562</v>
      </c>
      <c r="D228" t="s">
        <v>563</v>
      </c>
      <c r="G228" s="6" t="s">
        <v>467</v>
      </c>
      <c r="H228" t="s">
        <v>88</v>
      </c>
      <c r="I228">
        <v>5.0999999999999996</v>
      </c>
      <c r="J228">
        <v>2027</v>
      </c>
      <c r="K228" t="s">
        <v>66</v>
      </c>
      <c r="L228" s="1" t="s">
        <v>468</v>
      </c>
      <c r="M228" s="2">
        <v>46209</v>
      </c>
      <c r="N228" s="1"/>
      <c r="O228" s="5" t="s">
        <v>469</v>
      </c>
    </row>
    <row r="229" spans="1:15" x14ac:dyDescent="0.3">
      <c r="A229" t="s">
        <v>398</v>
      </c>
      <c r="B229" t="s">
        <v>564</v>
      </c>
      <c r="D229" t="s">
        <v>565</v>
      </c>
      <c r="G229" s="6" t="s">
        <v>467</v>
      </c>
      <c r="H229" t="s">
        <v>88</v>
      </c>
      <c r="I229">
        <v>9.9</v>
      </c>
      <c r="J229">
        <v>2028</v>
      </c>
      <c r="K229" t="s">
        <v>66</v>
      </c>
      <c r="L229" s="1" t="s">
        <v>468</v>
      </c>
      <c r="M229" s="2">
        <v>46209</v>
      </c>
      <c r="N229" s="1"/>
      <c r="O229" s="5" t="s">
        <v>469</v>
      </c>
    </row>
    <row r="230" spans="1:15" x14ac:dyDescent="0.3">
      <c r="A230" t="s">
        <v>398</v>
      </c>
      <c r="B230" t="s">
        <v>566</v>
      </c>
      <c r="D230" t="str">
        <f>VLOOKUP(Table2[[#This Row],[Project Name]],'[2]Contract Data'!$C$3:$O$3568,12,FALSE)</f>
        <v>Monetville</v>
      </c>
      <c r="H230" t="s">
        <v>458</v>
      </c>
      <c r="I230">
        <v>431</v>
      </c>
      <c r="J230">
        <v>2027</v>
      </c>
      <c r="K230" t="s">
        <v>66</v>
      </c>
      <c r="L230" s="1" t="s">
        <v>459</v>
      </c>
      <c r="M230" s="2">
        <v>46209</v>
      </c>
      <c r="N230" s="1" t="s">
        <v>460</v>
      </c>
      <c r="O230" s="5" t="s">
        <v>402</v>
      </c>
    </row>
    <row r="231" spans="1:15" x14ac:dyDescent="0.3">
      <c r="A231" t="s">
        <v>63</v>
      </c>
      <c r="B231" t="s">
        <v>567</v>
      </c>
      <c r="D231" t="str">
        <f>VLOOKUP(Table2[[#This Row],[Project Name]],'[1]Connection Project List'!$B$1:$C$219,2,FALSE)</f>
        <v>42-Hanna</v>
      </c>
      <c r="E231">
        <v>51.707033000000003</v>
      </c>
      <c r="F231">
        <v>-113.264832</v>
      </c>
      <c r="G231" t="s">
        <v>40</v>
      </c>
      <c r="H231" t="s">
        <v>80</v>
      </c>
      <c r="I231">
        <v>10.1</v>
      </c>
      <c r="J231">
        <v>2027</v>
      </c>
      <c r="K231" t="s">
        <v>66</v>
      </c>
      <c r="L231" t="str">
        <f>_xlfn.CONCAT("Stage ", VLOOKUP(Table2[[#This Row],[Project Name]],'[1]Connection Project List'!$B$1:$G$219,6,FALSE))</f>
        <v>Stage 5</v>
      </c>
      <c r="M231" s="2">
        <v>46048</v>
      </c>
      <c r="N231" s="1" t="s">
        <v>568</v>
      </c>
      <c r="O231" s="4" t="s">
        <v>68</v>
      </c>
    </row>
    <row r="232" spans="1:15" x14ac:dyDescent="0.3">
      <c r="A232" t="s">
        <v>63</v>
      </c>
      <c r="B232" t="s">
        <v>569</v>
      </c>
      <c r="D232" t="str">
        <f>VLOOKUP(Table2[[#This Row],[Project Name]],'[1]Connection Project List'!$B$1:$C$219,2,FALSE)</f>
        <v>42-Hanna</v>
      </c>
      <c r="E232">
        <v>51.502932999999999</v>
      </c>
      <c r="F232">
        <v>-112.704556</v>
      </c>
      <c r="G232" t="s">
        <v>40</v>
      </c>
      <c r="H232" t="s">
        <v>80</v>
      </c>
      <c r="I232">
        <v>11</v>
      </c>
      <c r="J232">
        <v>2027</v>
      </c>
      <c r="K232" t="s">
        <v>66</v>
      </c>
      <c r="L232" t="str">
        <f>_xlfn.CONCAT("Stage ", VLOOKUP(Table2[[#This Row],[Project Name]],'[1]Connection Project List'!$B$1:$G$219,6,FALSE))</f>
        <v>Stage 5</v>
      </c>
      <c r="M232" s="2">
        <v>46048</v>
      </c>
      <c r="N232" s="1" t="s">
        <v>570</v>
      </c>
      <c r="O232" s="4" t="s">
        <v>68</v>
      </c>
    </row>
    <row r="233" spans="1:15" x14ac:dyDescent="0.3">
      <c r="A233" t="s">
        <v>63</v>
      </c>
      <c r="B233" t="s">
        <v>571</v>
      </c>
      <c r="D233" t="str">
        <f>VLOOKUP(Table2[[#This Row],[Project Name]],'[1]Connection Project List'!$B$1:$C$219,2,FALSE)</f>
        <v>20-Grande Prairie</v>
      </c>
      <c r="G233" t="str">
        <f>VLOOKUP(Table2[[#This Row],[Project Name]],'[1]Connection Project List'!$B$1:$E$219,4,FALSE)</f>
        <v>BTF</v>
      </c>
      <c r="H233" t="str">
        <f>VLOOKUP(Table2[[#This Row],[Project Name]],'[1]Connection Project List'!$B$1:$F$219,5,FALSE)</f>
        <v>Gas</v>
      </c>
      <c r="I233">
        <v>19</v>
      </c>
      <c r="J233">
        <v>2027</v>
      </c>
      <c r="K233" t="s">
        <v>125</v>
      </c>
      <c r="L233" t="str">
        <f>_xlfn.CONCAT("Stage ", VLOOKUP(Table2[[#This Row],[Project Name]],'[1]Connection Project List'!$B$1:$G$219,6,FALSE))</f>
        <v>Stage 3</v>
      </c>
      <c r="M233" s="2">
        <v>46212</v>
      </c>
      <c r="N233" s="1"/>
      <c r="O233" s="4" t="s">
        <v>68</v>
      </c>
    </row>
    <row r="234" spans="1:15" x14ac:dyDescent="0.3">
      <c r="A234" t="s">
        <v>63</v>
      </c>
      <c r="B234" t="s">
        <v>572</v>
      </c>
      <c r="D234" t="str">
        <f>VLOOKUP(Table2[[#This Row],[Project Name]],'[1]Connection Project List'!$B$1:$C$219,2,FALSE)</f>
        <v>42-Hanna</v>
      </c>
      <c r="G234" t="str">
        <f>VLOOKUP(Table2[[#This Row],[Project Name]],'[1]Connection Project List'!$B$1:$E$219,4,FALSE)</f>
        <v>BTF</v>
      </c>
      <c r="H234" t="str">
        <f>VLOOKUP(Table2[[#This Row],[Project Name]],'[1]Connection Project List'!$B$1:$F$219,5,FALSE)</f>
        <v>Solar</v>
      </c>
      <c r="I234">
        <v>18</v>
      </c>
      <c r="J234">
        <v>2027</v>
      </c>
      <c r="K234" t="s">
        <v>125</v>
      </c>
      <c r="L234" t="str">
        <f>_xlfn.CONCAT("Stage ", VLOOKUP(Table2[[#This Row],[Project Name]],'[1]Connection Project List'!$B$1:$G$219,6,FALSE))</f>
        <v>Stage 3</v>
      </c>
      <c r="M234" s="2">
        <v>46212</v>
      </c>
      <c r="N234" s="1"/>
      <c r="O234" s="4" t="s">
        <v>68</v>
      </c>
    </row>
    <row r="235" spans="1:15" x14ac:dyDescent="0.3">
      <c r="A235" t="s">
        <v>63</v>
      </c>
      <c r="B235" t="s">
        <v>573</v>
      </c>
      <c r="D235" t="str">
        <f>VLOOKUP(Table2[[#This Row],[Project Name]],'[1]Connection Project List'!$B$1:$C$219,2,FALSE)</f>
        <v>55-Glenwood</v>
      </c>
      <c r="G235" t="str">
        <f>VLOOKUP(Table2[[#This Row],[Project Name]],'[1]Connection Project List'!$B$1:$E$219,4,FALSE)</f>
        <v>BTF</v>
      </c>
      <c r="H235" t="str">
        <f>VLOOKUP(Table2[[#This Row],[Project Name]],'[1]Connection Project List'!$B$1:$F$219,5,FALSE)</f>
        <v>Battery Storage</v>
      </c>
      <c r="I235">
        <v>8</v>
      </c>
      <c r="J235">
        <v>2028</v>
      </c>
      <c r="K235" t="s">
        <v>125</v>
      </c>
      <c r="L235" t="str">
        <f>_xlfn.CONCAT("Stage ", VLOOKUP(Table2[[#This Row],[Project Name]],'[1]Connection Project List'!$B$1:$G$219,6,FALSE))</f>
        <v>Stage 3</v>
      </c>
      <c r="M235" s="2">
        <v>46212</v>
      </c>
      <c r="N235" s="1"/>
      <c r="O235" s="4" t="s">
        <v>68</v>
      </c>
    </row>
    <row r="236" spans="1:15" x14ac:dyDescent="0.3">
      <c r="A236" t="s">
        <v>63</v>
      </c>
      <c r="B236" t="s">
        <v>574</v>
      </c>
      <c r="D236" t="str">
        <f>VLOOKUP(Table2[[#This Row],[Project Name]],'[1]Connection Project List'!$B$1:$C$219,2,FALSE)</f>
        <v>31-Wetaskiwin</v>
      </c>
      <c r="G236" t="str">
        <f>VLOOKUP(Table2[[#This Row],[Project Name]],'[1]Connection Project List'!$B$1:$E$219,4,FALSE)</f>
        <v>BTF</v>
      </c>
      <c r="H236" t="str">
        <f>VLOOKUP(Table2[[#This Row],[Project Name]],'[1]Connection Project List'!$B$1:$F$219,5,FALSE)</f>
        <v>Solar</v>
      </c>
      <c r="I236">
        <v>15</v>
      </c>
      <c r="J236">
        <v>2026</v>
      </c>
      <c r="K236" t="s">
        <v>125</v>
      </c>
      <c r="L236" t="str">
        <f>_xlfn.CONCAT("Stage ", VLOOKUP(Table2[[#This Row],[Project Name]],'[1]Connection Project List'!$B$1:$G$219,6,FALSE))</f>
        <v>Stage 3</v>
      </c>
      <c r="M236" s="2">
        <v>46212</v>
      </c>
      <c r="N236" s="1"/>
      <c r="O236" s="4" t="s">
        <v>68</v>
      </c>
    </row>
    <row r="237" spans="1:15" x14ac:dyDescent="0.3">
      <c r="A237" t="s">
        <v>63</v>
      </c>
      <c r="B237" t="s">
        <v>575</v>
      </c>
      <c r="D237" t="str">
        <f>VLOOKUP(Table2[[#This Row],[Project Name]],'[1]Connection Project List'!$B$1:$C$219,2,FALSE)</f>
        <v>54-Lethbridge</v>
      </c>
      <c r="G237" t="str">
        <f>VLOOKUP(Table2[[#This Row],[Project Name]],'[1]Connection Project List'!$B$1:$E$219,4,FALSE)</f>
        <v>BTF</v>
      </c>
      <c r="H237" t="str">
        <f>VLOOKUP(Table2[[#This Row],[Project Name]],'[1]Connection Project List'!$B$1:$F$219,5,FALSE)</f>
        <v>Battery Storage</v>
      </c>
      <c r="I237">
        <v>7</v>
      </c>
      <c r="J237">
        <v>2028</v>
      </c>
      <c r="K237" t="s">
        <v>125</v>
      </c>
      <c r="L237" t="str">
        <f>_xlfn.CONCAT("Stage ", VLOOKUP(Table2[[#This Row],[Project Name]],'[1]Connection Project List'!$B$1:$G$219,6,FALSE))</f>
        <v>Stage 3</v>
      </c>
      <c r="M237" s="2">
        <v>46212</v>
      </c>
      <c r="N237" s="1"/>
      <c r="O237" s="4" t="s">
        <v>68</v>
      </c>
    </row>
    <row r="238" spans="1:15" x14ac:dyDescent="0.3">
      <c r="A238" t="s">
        <v>63</v>
      </c>
      <c r="B238" t="s">
        <v>576</v>
      </c>
      <c r="D238" t="str">
        <f>VLOOKUP(Table2[[#This Row],[Project Name]],'[1]Connection Project List'!$B$1:$C$219,2,FALSE)</f>
        <v>42-Hanna</v>
      </c>
      <c r="E238">
        <v>51.310955999999997</v>
      </c>
      <c r="F238">
        <v>-110.491412</v>
      </c>
      <c r="G238" t="str">
        <f>VLOOKUP(Table2[[#This Row],[Project Name]],'[1]Connection Project List'!$B$1:$E$219,4,FALSE)</f>
        <v>BTF</v>
      </c>
      <c r="H238" t="str">
        <f>VLOOKUP(Table2[[#This Row],[Project Name]],'[1]Connection Project List'!$B$1:$F$219,5,FALSE)</f>
        <v>Wind</v>
      </c>
      <c r="I238">
        <v>216</v>
      </c>
      <c r="J238">
        <v>2029</v>
      </c>
      <c r="K238" t="s">
        <v>125</v>
      </c>
      <c r="L238" t="str">
        <f>_xlfn.CONCAT("Stage ", VLOOKUP(Table2[[#This Row],[Project Name]],'[1]Connection Project List'!$B$1:$G$219,6,FALSE))</f>
        <v>Stage 3</v>
      </c>
      <c r="M238" s="2">
        <v>46212</v>
      </c>
      <c r="N238" s="1"/>
      <c r="O238" s="4" t="s">
        <v>68</v>
      </c>
    </row>
    <row r="239" spans="1:15" x14ac:dyDescent="0.3">
      <c r="A239" t="s">
        <v>63</v>
      </c>
      <c r="B239" t="s">
        <v>577</v>
      </c>
      <c r="D239" t="str">
        <f>VLOOKUP(Table2[[#This Row],[Project Name]],'[1]Connection Project List'!$B$1:$C$219,2,FALSE)</f>
        <v>26-Swan Hills</v>
      </c>
      <c r="G239" t="str">
        <f>VLOOKUP(Table2[[#This Row],[Project Name]],'[1]Connection Project List'!$B$1:$E$219,4,FALSE)</f>
        <v>BTF</v>
      </c>
      <c r="H239" t="str">
        <f>VLOOKUP(Table2[[#This Row],[Project Name]],'[1]Connection Project List'!$B$1:$F$219,5,FALSE)</f>
        <v>Battery Storage</v>
      </c>
      <c r="I239">
        <v>25</v>
      </c>
      <c r="J239">
        <v>2027</v>
      </c>
      <c r="K239" t="s">
        <v>125</v>
      </c>
      <c r="L239" t="str">
        <f>_xlfn.CONCAT("Stage ", VLOOKUP(Table2[[#This Row],[Project Name]],'[1]Connection Project List'!$B$1:$G$219,6,FALSE))</f>
        <v>Stage 3</v>
      </c>
      <c r="M239" s="2">
        <v>46212</v>
      </c>
      <c r="N239" s="1"/>
      <c r="O239" s="4" t="s">
        <v>68</v>
      </c>
    </row>
    <row r="240" spans="1:15" x14ac:dyDescent="0.3">
      <c r="A240" t="s">
        <v>63</v>
      </c>
      <c r="B240" t="s">
        <v>578</v>
      </c>
      <c r="D240" t="str">
        <f>VLOOKUP(Table2[[#This Row],[Project Name]],'[1]Connection Project List'!$B$1:$C$219,2,FALSE)</f>
        <v>40-Wabamun</v>
      </c>
      <c r="G240" t="str">
        <f>VLOOKUP(Table2[[#This Row],[Project Name]],'[1]Connection Project List'!$B$1:$E$219,4,FALSE)</f>
        <v>BTF</v>
      </c>
      <c r="H240" t="str">
        <f>VLOOKUP(Table2[[#This Row],[Project Name]],'[1]Connection Project List'!$B$1:$F$219,5,FALSE)</f>
        <v>Gas + Storage</v>
      </c>
      <c r="I240">
        <v>20</v>
      </c>
      <c r="J240">
        <v>2027</v>
      </c>
      <c r="K240" t="s">
        <v>125</v>
      </c>
      <c r="L240" t="str">
        <f>_xlfn.CONCAT("Stage ", VLOOKUP(Table2[[#This Row],[Project Name]],'[1]Connection Project List'!$B$1:$G$219,6,FALSE))</f>
        <v>Stage 3</v>
      </c>
      <c r="M240" s="2">
        <v>46212</v>
      </c>
      <c r="N240" s="1"/>
      <c r="O240" s="4" t="s">
        <v>68</v>
      </c>
    </row>
    <row r="241" spans="1:15" x14ac:dyDescent="0.3">
      <c r="A241" t="s">
        <v>579</v>
      </c>
      <c r="B241" t="s">
        <v>580</v>
      </c>
      <c r="D241" t="s">
        <v>581</v>
      </c>
      <c r="E241">
        <v>50.046571999999998</v>
      </c>
      <c r="F241">
        <v>-125.74685100000001</v>
      </c>
      <c r="H241" t="s">
        <v>88</v>
      </c>
      <c r="I241">
        <v>197</v>
      </c>
      <c r="J241">
        <v>2030</v>
      </c>
      <c r="K241" t="s">
        <v>66</v>
      </c>
      <c r="L241" s="1" t="s">
        <v>582</v>
      </c>
      <c r="M241" s="2">
        <v>46213</v>
      </c>
      <c r="N241" t="s">
        <v>583</v>
      </c>
      <c r="O241" s="4" t="s">
        <v>584</v>
      </c>
    </row>
    <row r="242" spans="1:15" x14ac:dyDescent="0.3">
      <c r="A242" t="s">
        <v>579</v>
      </c>
      <c r="B242" t="s">
        <v>585</v>
      </c>
      <c r="D242" t="s">
        <v>586</v>
      </c>
      <c r="E242">
        <v>49.901981999999997</v>
      </c>
      <c r="F242">
        <v>-120.373621</v>
      </c>
      <c r="H242" t="s">
        <v>88</v>
      </c>
      <c r="I242">
        <v>94</v>
      </c>
      <c r="J242">
        <v>2028</v>
      </c>
      <c r="K242" t="s">
        <v>66</v>
      </c>
      <c r="L242" s="1" t="s">
        <v>582</v>
      </c>
      <c r="M242" s="2">
        <v>46213</v>
      </c>
      <c r="N242" s="1"/>
      <c r="O242" s="4" t="s">
        <v>584</v>
      </c>
    </row>
    <row r="243" spans="1:15" x14ac:dyDescent="0.3">
      <c r="A243" t="s">
        <v>579</v>
      </c>
      <c r="B243" t="s">
        <v>587</v>
      </c>
      <c r="D243" t="s">
        <v>588</v>
      </c>
      <c r="E243">
        <v>50.504306999999997</v>
      </c>
      <c r="F243">
        <v>-120.993297</v>
      </c>
      <c r="H243" t="s">
        <v>88</v>
      </c>
      <c r="I243">
        <v>197</v>
      </c>
      <c r="J243">
        <v>2030</v>
      </c>
      <c r="K243" t="s">
        <v>66</v>
      </c>
      <c r="L243" s="1" t="s">
        <v>582</v>
      </c>
      <c r="M243" s="2">
        <v>46213</v>
      </c>
      <c r="N243" s="1" t="s">
        <v>589</v>
      </c>
      <c r="O243" s="4" t="s">
        <v>584</v>
      </c>
    </row>
    <row r="244" spans="1:15" x14ac:dyDescent="0.3">
      <c r="A244" t="s">
        <v>579</v>
      </c>
      <c r="B244" t="s">
        <v>590</v>
      </c>
      <c r="D244" t="s">
        <v>591</v>
      </c>
      <c r="E244">
        <v>49.886569000000001</v>
      </c>
      <c r="F244">
        <v>-120.167609</v>
      </c>
      <c r="H244" t="s">
        <v>88</v>
      </c>
      <c r="I244">
        <v>160</v>
      </c>
      <c r="J244">
        <v>2031</v>
      </c>
      <c r="K244" t="s">
        <v>66</v>
      </c>
      <c r="L244" s="1" t="s">
        <v>582</v>
      </c>
      <c r="M244" s="2">
        <v>46213</v>
      </c>
      <c r="N244" s="1"/>
      <c r="O244" s="4" t="s">
        <v>584</v>
      </c>
    </row>
    <row r="245" spans="1:15" x14ac:dyDescent="0.3">
      <c r="A245" t="s">
        <v>579</v>
      </c>
      <c r="B245" t="s">
        <v>592</v>
      </c>
      <c r="D245" t="s">
        <v>588</v>
      </c>
      <c r="E245">
        <v>50.560631999999998</v>
      </c>
      <c r="F245">
        <v>-120.846754</v>
      </c>
      <c r="H245" t="s">
        <v>65</v>
      </c>
      <c r="I245">
        <v>104</v>
      </c>
      <c r="J245">
        <v>2030</v>
      </c>
      <c r="K245" t="s">
        <v>66</v>
      </c>
      <c r="L245" s="1" t="s">
        <v>582</v>
      </c>
      <c r="M245" s="2">
        <v>46213</v>
      </c>
      <c r="N245" s="1" t="s">
        <v>589</v>
      </c>
      <c r="O245" s="4" t="s">
        <v>584</v>
      </c>
    </row>
    <row r="246" spans="1:15" x14ac:dyDescent="0.3">
      <c r="A246" t="s">
        <v>579</v>
      </c>
      <c r="B246" t="s">
        <v>593</v>
      </c>
      <c r="D246" t="s">
        <v>588</v>
      </c>
      <c r="E246">
        <v>50.322795999999997</v>
      </c>
      <c r="F246">
        <v>-120.575399</v>
      </c>
      <c r="H246" t="s">
        <v>88</v>
      </c>
      <c r="I246">
        <v>143</v>
      </c>
      <c r="J246">
        <v>2030</v>
      </c>
      <c r="K246" t="s">
        <v>66</v>
      </c>
      <c r="L246" s="1" t="s">
        <v>582</v>
      </c>
      <c r="M246" s="2">
        <v>46213</v>
      </c>
      <c r="N246" s="1" t="s">
        <v>589</v>
      </c>
      <c r="O246" s="4" t="s">
        <v>584</v>
      </c>
    </row>
    <row r="247" spans="1:15" x14ac:dyDescent="0.3">
      <c r="A247" t="s">
        <v>579</v>
      </c>
      <c r="B247" t="s">
        <v>594</v>
      </c>
      <c r="D247" t="s">
        <v>595</v>
      </c>
      <c r="E247">
        <v>53.418612000000003</v>
      </c>
      <c r="F247">
        <v>-122.556538</v>
      </c>
      <c r="H247" t="s">
        <v>88</v>
      </c>
      <c r="I247">
        <v>140</v>
      </c>
      <c r="J247">
        <v>2031</v>
      </c>
      <c r="K247" t="s">
        <v>66</v>
      </c>
      <c r="L247" s="1" t="s">
        <v>582</v>
      </c>
      <c r="M247" s="2">
        <v>46213</v>
      </c>
      <c r="N247" s="1"/>
      <c r="O247" s="4" t="s">
        <v>584</v>
      </c>
    </row>
    <row r="248" spans="1:15" x14ac:dyDescent="0.3">
      <c r="A248" t="s">
        <v>579</v>
      </c>
      <c r="B248" t="s">
        <v>596</v>
      </c>
      <c r="D248" t="s">
        <v>597</v>
      </c>
      <c r="E248">
        <v>53.976467</v>
      </c>
      <c r="F248">
        <v>-124.853238</v>
      </c>
      <c r="H248" t="s">
        <v>88</v>
      </c>
      <c r="I248">
        <v>200</v>
      </c>
      <c r="J248">
        <v>2029</v>
      </c>
      <c r="K248" t="s">
        <v>66</v>
      </c>
      <c r="L248" s="1" t="s">
        <v>582</v>
      </c>
      <c r="M248" s="2">
        <v>46213</v>
      </c>
      <c r="N248" s="1"/>
      <c r="O248" s="4" t="s">
        <v>584</v>
      </c>
    </row>
    <row r="249" spans="1:15" x14ac:dyDescent="0.3">
      <c r="A249" t="s">
        <v>579</v>
      </c>
      <c r="B249" t="s">
        <v>598</v>
      </c>
      <c r="D249" t="s">
        <v>599</v>
      </c>
      <c r="E249">
        <v>55.961691000000002</v>
      </c>
      <c r="F249">
        <v>-121.078936</v>
      </c>
      <c r="H249" t="s">
        <v>88</v>
      </c>
      <c r="I249">
        <v>200</v>
      </c>
      <c r="J249">
        <v>2030</v>
      </c>
      <c r="K249" t="s">
        <v>66</v>
      </c>
      <c r="L249" s="1" t="s">
        <v>582</v>
      </c>
      <c r="M249" s="2">
        <v>46213</v>
      </c>
      <c r="N249" s="1"/>
      <c r="O249" s="4" t="s">
        <v>584</v>
      </c>
    </row>
    <row r="250" spans="1:15" x14ac:dyDescent="0.3">
      <c r="A250" t="s">
        <v>579</v>
      </c>
      <c r="B250" t="s">
        <v>600</v>
      </c>
      <c r="D250" t="s">
        <v>601</v>
      </c>
      <c r="E250">
        <v>56.041502000000001</v>
      </c>
      <c r="F250">
        <v>-120.854241</v>
      </c>
      <c r="H250" t="s">
        <v>88</v>
      </c>
      <c r="I250">
        <v>200</v>
      </c>
      <c r="J250">
        <v>2031</v>
      </c>
      <c r="K250" t="s">
        <v>66</v>
      </c>
      <c r="L250" s="1" t="s">
        <v>582</v>
      </c>
      <c r="M250" s="2">
        <v>46213</v>
      </c>
      <c r="N250" s="1"/>
      <c r="O250" s="4" t="s">
        <v>584</v>
      </c>
    </row>
    <row r="251" spans="1:15" x14ac:dyDescent="0.3">
      <c r="A251" t="s">
        <v>579</v>
      </c>
      <c r="B251" t="s">
        <v>602</v>
      </c>
      <c r="D251" t="s">
        <v>603</v>
      </c>
      <c r="E251">
        <v>55.920879999999997</v>
      </c>
      <c r="F251">
        <v>-120.34940899999999</v>
      </c>
      <c r="H251" t="s">
        <v>88</v>
      </c>
      <c r="I251">
        <v>251</v>
      </c>
      <c r="J251">
        <v>2032</v>
      </c>
      <c r="K251" t="s">
        <v>66</v>
      </c>
      <c r="L251" s="1" t="s">
        <v>604</v>
      </c>
      <c r="M251" s="2">
        <v>46213</v>
      </c>
      <c r="N251" s="1"/>
      <c r="O251" s="4" t="s">
        <v>605</v>
      </c>
    </row>
    <row r="252" spans="1:15" x14ac:dyDescent="0.3">
      <c r="A252" t="s">
        <v>579</v>
      </c>
      <c r="B252" t="s">
        <v>606</v>
      </c>
      <c r="D252" t="s">
        <v>607</v>
      </c>
      <c r="E252">
        <v>49.955677999999999</v>
      </c>
      <c r="F252">
        <v>-119.952088</v>
      </c>
      <c r="H252" t="s">
        <v>88</v>
      </c>
      <c r="I252">
        <v>496</v>
      </c>
      <c r="J252">
        <v>2032</v>
      </c>
      <c r="K252" t="s">
        <v>66</v>
      </c>
      <c r="L252" s="1" t="s">
        <v>604</v>
      </c>
      <c r="M252" s="2">
        <v>46213</v>
      </c>
      <c r="N252" s="1"/>
      <c r="O252" s="4" t="s">
        <v>605</v>
      </c>
    </row>
    <row r="253" spans="1:15" x14ac:dyDescent="0.3">
      <c r="A253" t="s">
        <v>579</v>
      </c>
      <c r="B253" t="s">
        <v>608</v>
      </c>
      <c r="D253" t="s">
        <v>603</v>
      </c>
      <c r="E253">
        <v>56.002673999999999</v>
      </c>
      <c r="F253">
        <v>-120.48096</v>
      </c>
      <c r="H253" t="s">
        <v>88</v>
      </c>
      <c r="I253">
        <v>210</v>
      </c>
      <c r="J253">
        <v>2033</v>
      </c>
      <c r="K253" t="s">
        <v>66</v>
      </c>
      <c r="L253" s="1" t="s">
        <v>604</v>
      </c>
      <c r="M253" s="2">
        <v>46213</v>
      </c>
      <c r="N253" s="1" t="s">
        <v>609</v>
      </c>
      <c r="O253" s="4" t="s">
        <v>605</v>
      </c>
    </row>
    <row r="254" spans="1:15" x14ac:dyDescent="0.3">
      <c r="A254" t="s">
        <v>579</v>
      </c>
      <c r="B254" t="s">
        <v>610</v>
      </c>
      <c r="D254" t="s">
        <v>601</v>
      </c>
      <c r="E254">
        <v>55.963101000000002</v>
      </c>
      <c r="F254">
        <v>-121.10371600000001</v>
      </c>
      <c r="H254" t="s">
        <v>88</v>
      </c>
      <c r="I254">
        <v>201</v>
      </c>
      <c r="J254">
        <v>2032</v>
      </c>
      <c r="K254" t="s">
        <v>66</v>
      </c>
      <c r="L254" s="1" t="s">
        <v>604</v>
      </c>
      <c r="M254" s="2">
        <v>46213</v>
      </c>
      <c r="N254" s="1"/>
      <c r="O254" s="4" t="s">
        <v>605</v>
      </c>
    </row>
    <row r="255" spans="1:15" x14ac:dyDescent="0.3">
      <c r="A255" t="s">
        <v>579</v>
      </c>
      <c r="B255" t="s">
        <v>611</v>
      </c>
      <c r="D255" t="s">
        <v>612</v>
      </c>
      <c r="E255">
        <v>51.048563000000001</v>
      </c>
      <c r="F255">
        <v>-118.193945</v>
      </c>
      <c r="H255" t="s">
        <v>151</v>
      </c>
      <c r="I255">
        <v>500</v>
      </c>
      <c r="J255">
        <v>2032</v>
      </c>
      <c r="K255" t="s">
        <v>66</v>
      </c>
      <c r="L255" s="1" t="s">
        <v>613</v>
      </c>
      <c r="M255" s="2">
        <v>46213</v>
      </c>
      <c r="N255" s="1"/>
      <c r="O255" s="4" t="s">
        <v>614</v>
      </c>
    </row>
    <row r="256" spans="1:15" x14ac:dyDescent="0.3">
      <c r="A256" t="s">
        <v>579</v>
      </c>
      <c r="B256" t="s">
        <v>615</v>
      </c>
      <c r="D256" t="s">
        <v>616</v>
      </c>
      <c r="E256">
        <v>56.014729000000003</v>
      </c>
      <c r="F256">
        <v>-122.195747</v>
      </c>
      <c r="H256" t="s">
        <v>151</v>
      </c>
      <c r="I256">
        <v>100</v>
      </c>
      <c r="K256" t="s">
        <v>66</v>
      </c>
      <c r="M256" s="2">
        <v>46213</v>
      </c>
      <c r="N256" s="1" t="s">
        <v>617</v>
      </c>
      <c r="O256" s="4" t="s">
        <v>614</v>
      </c>
    </row>
    <row r="257" spans="1:15" x14ac:dyDescent="0.3">
      <c r="A257" t="s">
        <v>579</v>
      </c>
      <c r="B257" t="s">
        <v>618</v>
      </c>
      <c r="D257" t="s">
        <v>619</v>
      </c>
      <c r="H257" t="s">
        <v>151</v>
      </c>
      <c r="I257">
        <v>750</v>
      </c>
      <c r="K257" t="s">
        <v>620</v>
      </c>
      <c r="L257" s="1" t="s">
        <v>613</v>
      </c>
      <c r="M257" s="2">
        <v>46213</v>
      </c>
      <c r="N257" s="1"/>
      <c r="O257" s="4" t="s">
        <v>614</v>
      </c>
    </row>
    <row r="258" spans="1:15" x14ac:dyDescent="0.3">
      <c r="A258" t="s">
        <v>579</v>
      </c>
      <c r="B258" t="s">
        <v>621</v>
      </c>
      <c r="D258" t="s">
        <v>622</v>
      </c>
      <c r="H258" t="s">
        <v>151</v>
      </c>
      <c r="I258" t="s">
        <v>623</v>
      </c>
      <c r="K258" t="s">
        <v>620</v>
      </c>
      <c r="L258" s="1" t="s">
        <v>613</v>
      </c>
      <c r="M258" s="2">
        <v>46213</v>
      </c>
      <c r="N258" s="1"/>
      <c r="O258" s="4" t="s">
        <v>614</v>
      </c>
    </row>
    <row r="259" spans="1:15" ht="28.8" x14ac:dyDescent="0.3">
      <c r="A259" t="s">
        <v>579</v>
      </c>
      <c r="B259" t="s">
        <v>624</v>
      </c>
      <c r="D259" t="s">
        <v>625</v>
      </c>
      <c r="G259" t="s">
        <v>482</v>
      </c>
      <c r="H259" t="s">
        <v>151</v>
      </c>
      <c r="I259">
        <v>400</v>
      </c>
      <c r="K259" t="s">
        <v>66</v>
      </c>
      <c r="L259" s="1" t="s">
        <v>613</v>
      </c>
      <c r="M259" s="2">
        <v>46213</v>
      </c>
      <c r="N259" s="1" t="s">
        <v>626</v>
      </c>
      <c r="O259" s="4" t="s">
        <v>614</v>
      </c>
    </row>
    <row r="260" spans="1:15" x14ac:dyDescent="0.3">
      <c r="A260" t="s">
        <v>627</v>
      </c>
      <c r="B260" t="s">
        <v>503</v>
      </c>
      <c r="H260" t="s">
        <v>503</v>
      </c>
      <c r="I260">
        <v>300</v>
      </c>
      <c r="J260">
        <v>2040</v>
      </c>
      <c r="K260" t="s">
        <v>236</v>
      </c>
      <c r="M260" s="2">
        <v>46213</v>
      </c>
      <c r="N260" s="1"/>
    </row>
    <row r="261" spans="1:15" x14ac:dyDescent="0.3">
      <c r="A261" t="s">
        <v>627</v>
      </c>
      <c r="B261" t="s">
        <v>628</v>
      </c>
      <c r="D261" t="s">
        <v>629</v>
      </c>
      <c r="E261">
        <v>49.096031000000004</v>
      </c>
      <c r="F261">
        <v>-103.030509</v>
      </c>
      <c r="G261" t="s">
        <v>630</v>
      </c>
      <c r="H261" t="s">
        <v>631</v>
      </c>
      <c r="I261">
        <v>139</v>
      </c>
      <c r="J261">
        <v>2034</v>
      </c>
      <c r="K261" t="s">
        <v>66</v>
      </c>
      <c r="L261" s="1" t="s">
        <v>632</v>
      </c>
      <c r="M261" s="2">
        <v>46213</v>
      </c>
      <c r="N261" s="1" t="s">
        <v>633</v>
      </c>
      <c r="O261" s="4" t="s">
        <v>634</v>
      </c>
    </row>
    <row r="262" spans="1:15" x14ac:dyDescent="0.3">
      <c r="A262" t="s">
        <v>627</v>
      </c>
      <c r="B262" t="s">
        <v>635</v>
      </c>
      <c r="D262" t="s">
        <v>629</v>
      </c>
      <c r="E262">
        <v>49.096031000000004</v>
      </c>
      <c r="F262">
        <v>-103.030509</v>
      </c>
      <c r="G262" t="s">
        <v>630</v>
      </c>
      <c r="H262" t="s">
        <v>362</v>
      </c>
      <c r="I262">
        <v>139</v>
      </c>
      <c r="J262">
        <v>2036</v>
      </c>
      <c r="K262" t="s">
        <v>66</v>
      </c>
      <c r="L262" s="1" t="s">
        <v>632</v>
      </c>
      <c r="M262" s="2">
        <v>46213</v>
      </c>
      <c r="N262" s="1" t="s">
        <v>636</v>
      </c>
      <c r="O262" s="4" t="s">
        <v>634</v>
      </c>
    </row>
    <row r="263" spans="1:15" x14ac:dyDescent="0.3">
      <c r="A263" t="s">
        <v>627</v>
      </c>
      <c r="B263" t="s">
        <v>637</v>
      </c>
      <c r="D263" t="s">
        <v>629</v>
      </c>
      <c r="E263">
        <v>49.096031000000004</v>
      </c>
      <c r="F263">
        <v>-103.030509</v>
      </c>
      <c r="G263" t="s">
        <v>630</v>
      </c>
      <c r="H263" t="s">
        <v>362</v>
      </c>
      <c r="I263">
        <v>139</v>
      </c>
      <c r="J263">
        <v>2028</v>
      </c>
      <c r="K263" t="s">
        <v>66</v>
      </c>
      <c r="L263" s="1" t="s">
        <v>632</v>
      </c>
      <c r="M263" s="2">
        <v>46213</v>
      </c>
      <c r="N263" s="1" t="s">
        <v>638</v>
      </c>
      <c r="O263" s="4" t="s">
        <v>634</v>
      </c>
    </row>
    <row r="264" spans="1:15" x14ac:dyDescent="0.3">
      <c r="A264" t="s">
        <v>627</v>
      </c>
      <c r="B264" t="s">
        <v>639</v>
      </c>
      <c r="D264" t="s">
        <v>629</v>
      </c>
      <c r="E264">
        <v>49.096031000000004</v>
      </c>
      <c r="F264">
        <v>-103.030509</v>
      </c>
      <c r="G264" t="s">
        <v>630</v>
      </c>
      <c r="H264" t="s">
        <v>362</v>
      </c>
      <c r="I264">
        <v>139</v>
      </c>
      <c r="J264">
        <v>2036</v>
      </c>
      <c r="K264" t="s">
        <v>66</v>
      </c>
      <c r="L264" s="1" t="s">
        <v>632</v>
      </c>
      <c r="M264" s="2">
        <v>46213</v>
      </c>
      <c r="N264" s="1" t="s">
        <v>636</v>
      </c>
      <c r="O264" s="4" t="s">
        <v>634</v>
      </c>
    </row>
    <row r="265" spans="1:15" x14ac:dyDescent="0.3">
      <c r="A265" t="s">
        <v>627</v>
      </c>
      <c r="B265" t="s">
        <v>640</v>
      </c>
      <c r="D265" t="s">
        <v>629</v>
      </c>
      <c r="E265">
        <v>49.096031000000004</v>
      </c>
      <c r="F265">
        <v>-103.030509</v>
      </c>
      <c r="G265" t="s">
        <v>630</v>
      </c>
      <c r="H265" t="s">
        <v>362</v>
      </c>
      <c r="I265">
        <v>284</v>
      </c>
      <c r="J265">
        <v>2030</v>
      </c>
      <c r="K265" t="s">
        <v>66</v>
      </c>
      <c r="L265" s="1" t="s">
        <v>632</v>
      </c>
      <c r="M265" s="2">
        <v>46213</v>
      </c>
      <c r="N265" s="1" t="s">
        <v>641</v>
      </c>
      <c r="O265" s="4" t="s">
        <v>634</v>
      </c>
    </row>
    <row r="266" spans="1:15" x14ac:dyDescent="0.3">
      <c r="A266" t="s">
        <v>627</v>
      </c>
      <c r="B266" t="s">
        <v>642</v>
      </c>
      <c r="D266" t="s">
        <v>629</v>
      </c>
      <c r="E266">
        <v>49.088261000000003</v>
      </c>
      <c r="F266">
        <v>-102.864193</v>
      </c>
      <c r="G266" t="s">
        <v>630</v>
      </c>
      <c r="H266" t="s">
        <v>362</v>
      </c>
      <c r="I266">
        <v>276</v>
      </c>
      <c r="J266">
        <v>2032</v>
      </c>
      <c r="K266" t="s">
        <v>66</v>
      </c>
      <c r="L266" s="1" t="s">
        <v>632</v>
      </c>
      <c r="M266" s="2">
        <v>46213</v>
      </c>
      <c r="N266" s="1" t="s">
        <v>643</v>
      </c>
      <c r="O266" s="4" t="s">
        <v>644</v>
      </c>
    </row>
    <row r="267" spans="1:15" x14ac:dyDescent="0.3">
      <c r="A267" t="s">
        <v>627</v>
      </c>
      <c r="B267" t="s">
        <v>645</v>
      </c>
      <c r="D267" t="s">
        <v>646</v>
      </c>
      <c r="E267">
        <v>49.057881000000002</v>
      </c>
      <c r="F267">
        <v>-105.484825</v>
      </c>
      <c r="G267" t="s">
        <v>630</v>
      </c>
      <c r="H267" t="s">
        <v>362</v>
      </c>
      <c r="I267">
        <v>291</v>
      </c>
      <c r="J267">
        <v>2033</v>
      </c>
      <c r="K267" t="s">
        <v>66</v>
      </c>
      <c r="L267" s="1" t="s">
        <v>632</v>
      </c>
      <c r="M267" s="2">
        <v>46213</v>
      </c>
      <c r="N267" s="1" t="s">
        <v>647</v>
      </c>
      <c r="O267" s="4" t="s">
        <v>648</v>
      </c>
    </row>
    <row r="268" spans="1:15" x14ac:dyDescent="0.3">
      <c r="A268" t="s">
        <v>627</v>
      </c>
      <c r="B268" t="s">
        <v>649</v>
      </c>
      <c r="D268" t="s">
        <v>646</v>
      </c>
      <c r="E268">
        <v>49.057881000000002</v>
      </c>
      <c r="F268">
        <v>-105.484825</v>
      </c>
      <c r="G268" t="s">
        <v>630</v>
      </c>
      <c r="H268" t="s">
        <v>362</v>
      </c>
      <c r="I268">
        <v>291</v>
      </c>
      <c r="J268">
        <v>2031</v>
      </c>
      <c r="K268" t="s">
        <v>66</v>
      </c>
      <c r="L268" s="1" t="s">
        <v>632</v>
      </c>
      <c r="M268" s="2">
        <v>46213</v>
      </c>
      <c r="N268" s="1" t="s">
        <v>650</v>
      </c>
      <c r="O268" s="4" t="s">
        <v>648</v>
      </c>
    </row>
    <row r="269" spans="1:15" x14ac:dyDescent="0.3">
      <c r="A269" t="s">
        <v>651</v>
      </c>
      <c r="B269" t="s">
        <v>652</v>
      </c>
      <c r="D269" t="s">
        <v>625</v>
      </c>
      <c r="H269" t="s">
        <v>88</v>
      </c>
      <c r="I269">
        <v>600</v>
      </c>
      <c r="K269" t="s">
        <v>236</v>
      </c>
      <c r="M269" s="2">
        <v>46213</v>
      </c>
      <c r="N269" s="1" t="s">
        <v>653</v>
      </c>
      <c r="O269" s="4" t="s">
        <v>654</v>
      </c>
    </row>
    <row r="270" spans="1:15" x14ac:dyDescent="0.3">
      <c r="A270" t="s">
        <v>651</v>
      </c>
      <c r="B270" t="s">
        <v>655</v>
      </c>
      <c r="D270" t="s">
        <v>656</v>
      </c>
      <c r="E270">
        <v>49.845590999999999</v>
      </c>
      <c r="F270">
        <v>-99.890103999999994</v>
      </c>
      <c r="H270" t="s">
        <v>204</v>
      </c>
      <c r="I270">
        <v>750</v>
      </c>
      <c r="J270">
        <v>2030</v>
      </c>
      <c r="K270" t="s">
        <v>66</v>
      </c>
      <c r="M270" s="2">
        <v>46213</v>
      </c>
      <c r="N270" s="1"/>
      <c r="O270" s="4" t="s">
        <v>657</v>
      </c>
    </row>
    <row r="271" spans="1:15" x14ac:dyDescent="0.3">
      <c r="A271" t="s">
        <v>140</v>
      </c>
      <c r="B271" t="s">
        <v>658</v>
      </c>
      <c r="E271">
        <v>45.25891</v>
      </c>
      <c r="F271">
        <v>-66.094517999999994</v>
      </c>
      <c r="H271" t="s">
        <v>248</v>
      </c>
      <c r="I271">
        <v>145</v>
      </c>
      <c r="J271">
        <v>2028</v>
      </c>
      <c r="K271" t="s">
        <v>66</v>
      </c>
      <c r="M271" s="2">
        <v>46217</v>
      </c>
      <c r="N271" s="1"/>
      <c r="O271" s="4" t="s">
        <v>659</v>
      </c>
    </row>
    <row r="272" spans="1:15" x14ac:dyDescent="0.3">
      <c r="A272" t="s">
        <v>140</v>
      </c>
      <c r="B272" t="s">
        <v>660</v>
      </c>
      <c r="E272">
        <v>46.022387999999999</v>
      </c>
      <c r="F272">
        <v>-64.492334999999997</v>
      </c>
      <c r="H272" t="s">
        <v>65</v>
      </c>
      <c r="I272">
        <v>150</v>
      </c>
      <c r="J272">
        <v>2029</v>
      </c>
      <c r="K272" t="s">
        <v>125</v>
      </c>
      <c r="M272" s="2">
        <v>46217</v>
      </c>
      <c r="N272" s="1"/>
      <c r="O272" s="4" t="s">
        <v>661</v>
      </c>
    </row>
    <row r="273" spans="1:15" x14ac:dyDescent="0.3">
      <c r="A273" t="s">
        <v>149</v>
      </c>
      <c r="B273" t="s">
        <v>662</v>
      </c>
      <c r="C273" t="s">
        <v>662</v>
      </c>
      <c r="G273" t="s">
        <v>350</v>
      </c>
      <c r="H273" t="s">
        <v>240</v>
      </c>
      <c r="I273">
        <v>-170</v>
      </c>
      <c r="J273">
        <v>2030</v>
      </c>
      <c r="M273" s="2">
        <v>46217</v>
      </c>
      <c r="N273" s="1" t="s">
        <v>663</v>
      </c>
      <c r="O273" s="4" t="s">
        <v>664</v>
      </c>
    </row>
    <row r="274" spans="1:15" x14ac:dyDescent="0.3">
      <c r="A274" t="s">
        <v>149</v>
      </c>
      <c r="B274" t="s">
        <v>665</v>
      </c>
      <c r="C274" t="s">
        <v>665</v>
      </c>
      <c r="G274" t="s">
        <v>350</v>
      </c>
      <c r="H274" t="s">
        <v>240</v>
      </c>
      <c r="I274">
        <v>-170</v>
      </c>
      <c r="J274">
        <v>2030</v>
      </c>
      <c r="M274" s="2">
        <v>46217</v>
      </c>
      <c r="N274" s="1" t="s">
        <v>663</v>
      </c>
      <c r="O274" s="4" t="s">
        <v>664</v>
      </c>
    </row>
    <row r="275" spans="1:15" x14ac:dyDescent="0.3">
      <c r="A275" t="s">
        <v>149</v>
      </c>
      <c r="B275" t="s">
        <v>666</v>
      </c>
      <c r="C275" t="s">
        <v>666</v>
      </c>
      <c r="G275" t="s">
        <v>350</v>
      </c>
      <c r="H275" t="s">
        <v>240</v>
      </c>
      <c r="I275">
        <v>-150</v>
      </c>
      <c r="J275">
        <v>2030</v>
      </c>
      <c r="M275" s="2">
        <v>46217</v>
      </c>
      <c r="N275" s="1" t="s">
        <v>663</v>
      </c>
      <c r="O275" s="4" t="s">
        <v>664</v>
      </c>
    </row>
    <row r="276" spans="1:15" x14ac:dyDescent="0.3">
      <c r="A276" t="s">
        <v>149</v>
      </c>
      <c r="B276" t="s">
        <v>667</v>
      </c>
      <c r="C276" t="s">
        <v>667</v>
      </c>
      <c r="G276" t="s">
        <v>350</v>
      </c>
      <c r="H276" t="s">
        <v>668</v>
      </c>
      <c r="I276">
        <v>50</v>
      </c>
      <c r="J276">
        <v>2030</v>
      </c>
      <c r="M276" s="2">
        <v>46217</v>
      </c>
      <c r="N276" s="1" t="s">
        <v>663</v>
      </c>
      <c r="O276" s="4" t="s">
        <v>664</v>
      </c>
    </row>
    <row r="277" spans="1:15" x14ac:dyDescent="0.3">
      <c r="A277" t="s">
        <v>149</v>
      </c>
      <c r="B277" t="s">
        <v>669</v>
      </c>
      <c r="C277" t="s">
        <v>669</v>
      </c>
      <c r="G277" t="s">
        <v>350</v>
      </c>
      <c r="H277" t="s">
        <v>668</v>
      </c>
      <c r="I277">
        <v>50</v>
      </c>
      <c r="J277">
        <v>2030</v>
      </c>
      <c r="M277" s="2">
        <v>46217</v>
      </c>
      <c r="N277" s="1" t="s">
        <v>663</v>
      </c>
      <c r="O277" s="4" t="s">
        <v>664</v>
      </c>
    </row>
    <row r="278" spans="1:15" x14ac:dyDescent="0.3">
      <c r="A278" t="s">
        <v>627</v>
      </c>
      <c r="B278" t="s">
        <v>670</v>
      </c>
      <c r="G278" t="s">
        <v>399</v>
      </c>
      <c r="H278" t="s">
        <v>106</v>
      </c>
      <c r="I278">
        <v>370</v>
      </c>
      <c r="J278">
        <v>2028</v>
      </c>
      <c r="K278" t="s">
        <v>66</v>
      </c>
      <c r="L278" s="1" t="s">
        <v>671</v>
      </c>
      <c r="M278" s="2">
        <v>46289</v>
      </c>
      <c r="N278" s="1"/>
      <c r="O278" s="4" t="s">
        <v>672</v>
      </c>
    </row>
    <row r="279" spans="1:15" x14ac:dyDescent="0.3">
      <c r="A279" t="s">
        <v>627</v>
      </c>
      <c r="B279" t="s">
        <v>673</v>
      </c>
      <c r="G279" t="s">
        <v>399</v>
      </c>
      <c r="H279" t="s">
        <v>88</v>
      </c>
      <c r="I279">
        <v>200</v>
      </c>
      <c r="J279">
        <v>2028</v>
      </c>
      <c r="K279" t="s">
        <v>66</v>
      </c>
      <c r="L279" s="1" t="s">
        <v>671</v>
      </c>
      <c r="M279" s="2">
        <v>46289</v>
      </c>
      <c r="N279" s="1"/>
      <c r="O279" s="4" t="s">
        <v>672</v>
      </c>
    </row>
    <row r="280" spans="1:15" x14ac:dyDescent="0.3">
      <c r="A280" t="s">
        <v>627</v>
      </c>
      <c r="B280" t="s">
        <v>674</v>
      </c>
      <c r="G280" t="s">
        <v>399</v>
      </c>
      <c r="H280" t="s">
        <v>88</v>
      </c>
      <c r="I280">
        <v>200</v>
      </c>
      <c r="J280">
        <v>2028</v>
      </c>
      <c r="K280" t="s">
        <v>66</v>
      </c>
      <c r="L280" s="1" t="s">
        <v>671</v>
      </c>
      <c r="M280" s="2">
        <v>46289</v>
      </c>
      <c r="N280" s="1"/>
      <c r="O280" s="4" t="s">
        <v>672</v>
      </c>
    </row>
    <row r="281" spans="1:15" x14ac:dyDescent="0.3">
      <c r="A281" t="s">
        <v>627</v>
      </c>
      <c r="B281" t="s">
        <v>675</v>
      </c>
      <c r="G281" t="s">
        <v>399</v>
      </c>
      <c r="H281" t="s">
        <v>65</v>
      </c>
      <c r="I281">
        <v>100</v>
      </c>
      <c r="J281">
        <v>2028</v>
      </c>
      <c r="K281" t="s">
        <v>66</v>
      </c>
      <c r="L281" s="1" t="s">
        <v>671</v>
      </c>
      <c r="M281" s="2">
        <v>46289</v>
      </c>
      <c r="N281" s="1"/>
      <c r="O281" s="4" t="s">
        <v>672</v>
      </c>
    </row>
    <row r="282" spans="1:15" x14ac:dyDescent="0.3">
      <c r="A282" t="s">
        <v>627</v>
      </c>
      <c r="B282" t="s">
        <v>676</v>
      </c>
      <c r="G282" t="s">
        <v>399</v>
      </c>
      <c r="H282" t="s">
        <v>65</v>
      </c>
      <c r="I282">
        <v>100</v>
      </c>
      <c r="J282">
        <v>2028</v>
      </c>
      <c r="K282" t="s">
        <v>66</v>
      </c>
      <c r="L282" s="1" t="s">
        <v>671</v>
      </c>
      <c r="M282" s="2">
        <v>46289</v>
      </c>
      <c r="N282" s="1"/>
      <c r="O282" s="4" t="s">
        <v>672</v>
      </c>
    </row>
    <row r="283" spans="1:15" x14ac:dyDescent="0.3">
      <c r="A283" t="s">
        <v>627</v>
      </c>
      <c r="B283" t="s">
        <v>677</v>
      </c>
      <c r="G283" t="s">
        <v>399</v>
      </c>
      <c r="H283" t="s">
        <v>106</v>
      </c>
      <c r="I283">
        <v>27</v>
      </c>
      <c r="J283">
        <v>2028</v>
      </c>
      <c r="K283" t="s">
        <v>66</v>
      </c>
      <c r="L283" s="1" t="s">
        <v>671</v>
      </c>
      <c r="M283" s="2">
        <v>46289</v>
      </c>
      <c r="N283" s="1"/>
      <c r="O283" s="4" t="s">
        <v>672</v>
      </c>
    </row>
    <row r="284" spans="1:15" x14ac:dyDescent="0.3">
      <c r="A284" t="s">
        <v>627</v>
      </c>
      <c r="B284" t="s">
        <v>678</v>
      </c>
      <c r="G284" t="s">
        <v>399</v>
      </c>
      <c r="H284" t="s">
        <v>106</v>
      </c>
      <c r="I284">
        <v>27</v>
      </c>
      <c r="J284">
        <v>2028</v>
      </c>
      <c r="K284" t="s">
        <v>66</v>
      </c>
      <c r="L284" s="1" t="s">
        <v>671</v>
      </c>
      <c r="M284" s="2">
        <v>46289</v>
      </c>
      <c r="N284" s="1"/>
      <c r="O284" s="4" t="s">
        <v>672</v>
      </c>
    </row>
    <row r="285" spans="1:15" x14ac:dyDescent="0.3">
      <c r="A285" t="s">
        <v>627</v>
      </c>
      <c r="B285" t="s">
        <v>679</v>
      </c>
      <c r="G285" t="s">
        <v>399</v>
      </c>
      <c r="H285" t="s">
        <v>106</v>
      </c>
      <c r="I285">
        <v>25</v>
      </c>
      <c r="J285">
        <v>2028</v>
      </c>
      <c r="K285" t="s">
        <v>66</v>
      </c>
      <c r="L285" s="1" t="s">
        <v>671</v>
      </c>
      <c r="M285" s="2">
        <v>46289</v>
      </c>
      <c r="N285" s="1"/>
      <c r="O285" s="4" t="s">
        <v>672</v>
      </c>
    </row>
    <row r="286" spans="1:15" x14ac:dyDescent="0.3">
      <c r="A286" t="s">
        <v>627</v>
      </c>
      <c r="B286" t="s">
        <v>680</v>
      </c>
      <c r="G286" t="s">
        <v>399</v>
      </c>
      <c r="H286" t="s">
        <v>106</v>
      </c>
      <c r="I286">
        <v>23</v>
      </c>
      <c r="J286">
        <v>2028</v>
      </c>
      <c r="K286" t="s">
        <v>66</v>
      </c>
      <c r="L286" s="1" t="s">
        <v>671</v>
      </c>
      <c r="M286" s="2">
        <v>46289</v>
      </c>
      <c r="N286" s="1"/>
      <c r="O286" s="4" t="s">
        <v>672</v>
      </c>
    </row>
    <row r="287" spans="1:15" x14ac:dyDescent="0.3">
      <c r="A287" t="s">
        <v>627</v>
      </c>
      <c r="B287" t="s">
        <v>681</v>
      </c>
      <c r="G287" t="s">
        <v>399</v>
      </c>
      <c r="H287" t="s">
        <v>106</v>
      </c>
      <c r="I287">
        <v>23</v>
      </c>
      <c r="J287">
        <v>2028</v>
      </c>
      <c r="K287" t="s">
        <v>66</v>
      </c>
      <c r="L287" s="1" t="s">
        <v>671</v>
      </c>
      <c r="M287" s="2">
        <v>46289</v>
      </c>
      <c r="N287" s="1"/>
      <c r="O287" s="4" t="s">
        <v>672</v>
      </c>
    </row>
    <row r="288" spans="1:15" x14ac:dyDescent="0.3">
      <c r="A288" t="s">
        <v>627</v>
      </c>
      <c r="B288" t="s">
        <v>682</v>
      </c>
      <c r="G288" t="s">
        <v>399</v>
      </c>
      <c r="H288" t="s">
        <v>106</v>
      </c>
      <c r="I288">
        <v>20</v>
      </c>
      <c r="J288">
        <v>2029</v>
      </c>
      <c r="K288" t="s">
        <v>66</v>
      </c>
      <c r="L288" s="1" t="s">
        <v>671</v>
      </c>
      <c r="M288" s="2">
        <v>46289</v>
      </c>
      <c r="N288" s="1"/>
      <c r="O288" s="4" t="s">
        <v>672</v>
      </c>
    </row>
  </sheetData>
  <phoneticPr fontId="19" type="noConversion"/>
  <hyperlinks>
    <hyperlink ref="O86" r:id="rId1" xr:uid="{32932A35-FD65-4CA2-953D-F2A0ABBA7F2A}"/>
    <hyperlink ref="O118" r:id="rId2" xr:uid="{8B6F3CB9-4EFF-4006-B783-B2D2C5E5F500}"/>
    <hyperlink ref="O75" r:id="rId3" xr:uid="{A788791C-72E1-4D93-82C8-D61C321E30D4}"/>
    <hyperlink ref="O124" r:id="rId4" display="https://www.nbpower.com/en/about-us/news-media-centre/news/2025/nb-power-invites-expressions-of-interest-for-15-year-battery-storage-partnership/" xr:uid="{5A684392-906D-45B2-81D2-1C78C579A5A2}"/>
    <hyperlink ref="O74" r:id="rId5" location="/service/EnvironmentalImpactAssessments/EnvironmentalImpactAssessmentSearch" display="https://www.princeedwardisland.ca/en/feature/projects-under-environmental-review-undertakings/ - /service/EnvironmentalImpactAssessments/EnvironmentalImpactAssessmentSearch" xr:uid="{95634690-8451-4876-9CBA-4F9AF1849D85}"/>
    <hyperlink ref="O83" r:id="rId6" location="/service/EnvironmentalImpactAssessments/EnvironmentalImpactAssessmentSearch" display="https://www.princeedwardisland.ca/en/feature/projects-under-environmental-review-undertakings/ - /service/EnvironmentalImpactAssessments/EnvironmentalImpactAssessmentSearch" xr:uid="{BCEC55DF-EE35-4F54-9BEA-A8E187AD3004}"/>
    <hyperlink ref="O82" r:id="rId7" xr:uid="{A4BF565A-931A-43C3-ACBA-0BDDE35D4F9D}"/>
    <hyperlink ref="O85" r:id="rId8" xr:uid="{42883D46-0F5A-48AF-8A42-CDB4D6739FBA}"/>
    <hyperlink ref="O117" r:id="rId9" xr:uid="{670FDB6F-047B-4384-BB1A-FCD71F82D739}"/>
    <hyperlink ref="O66" r:id="rId10" xr:uid="{CBCD8918-D852-4CC2-B267-9FE3600B9D47}"/>
    <hyperlink ref="O65" r:id="rId11" xr:uid="{A9B7D1F8-D174-4AFD-9E70-32E026C13C05}"/>
    <hyperlink ref="O122" r:id="rId12" xr:uid="{0BA283B9-D15E-49C4-A24B-7B37464B6E9E}"/>
    <hyperlink ref="O123" r:id="rId13" xr:uid="{F7BDE4C7-0871-4CCB-893F-805BA34ECCAC}"/>
    <hyperlink ref="O114" r:id="rId14" xr:uid="{7280C63E-616D-442D-A18A-A8686359AFA0}"/>
    <hyperlink ref="O115" r:id="rId15" xr:uid="{FA3DB46D-DD06-4C72-9573-9D4174149ADE}"/>
    <hyperlink ref="O54" r:id="rId16" xr:uid="{C755196E-A117-45B1-8F61-9D0BE1CB6CAA}"/>
    <hyperlink ref="O55" r:id="rId17" xr:uid="{3597CF8D-8A8A-4835-BE02-22099AA1C827}"/>
    <hyperlink ref="O2:O41" r:id="rId18" display="https://www.aeso.ca/grid/transmission-projects/connection-project-reporting/" xr:uid="{4211017C-20B0-484E-A933-4F5460A57E9D}"/>
    <hyperlink ref="O43" r:id="rId19" xr:uid="{18817430-C5F9-4562-ABA5-AF2E88D6C7EA}"/>
    <hyperlink ref="O105" r:id="rId20" xr:uid="{80AE26D0-D467-4C5C-82B6-4FED5CD4A6D8}"/>
    <hyperlink ref="O106" r:id="rId21" xr:uid="{EC863C51-5825-4BDE-A73B-FB2EFE895ACF}"/>
    <hyperlink ref="O101" r:id="rId22" xr:uid="{41423E92-9E66-4E95-9C6E-9EB65C19DB06}"/>
    <hyperlink ref="O103" r:id="rId23" xr:uid="{A981E990-D982-48B5-9EF9-528A9B02A3C7}"/>
    <hyperlink ref="O96" r:id="rId24" xr:uid="{20700F1F-4BC2-4AE0-92D4-45D0AB44C07E}"/>
    <hyperlink ref="O102" r:id="rId25" xr:uid="{EF55C5B7-29D2-43F7-9423-08A86BB25B82}"/>
    <hyperlink ref="O104" r:id="rId26" xr:uid="{89B3E23B-1EFD-4C2A-89BE-022A591B53A9}"/>
    <hyperlink ref="O95" r:id="rId27" xr:uid="{29529552-2E91-4590-AFF4-299CF07787D8}"/>
    <hyperlink ref="O92" r:id="rId28" xr:uid="{854F2EB0-4082-4E54-86EA-58D4901E25BF}"/>
    <hyperlink ref="O89" r:id="rId29" xr:uid="{2D9DCFEF-51A7-4402-8F0F-EBC0699DB42B}"/>
    <hyperlink ref="O93" r:id="rId30" xr:uid="{EFF1F394-6631-4EB0-B8C9-E3B3BB1624AD}"/>
    <hyperlink ref="O88" r:id="rId31" xr:uid="{7F8FCCBC-E19C-41B6-B0D7-98F76027E3CF}"/>
    <hyperlink ref="O100" r:id="rId32" xr:uid="{C20CC7DC-873F-4C94-AAB9-6E42C8D6A31C}"/>
    <hyperlink ref="O90" r:id="rId33" xr:uid="{47213CA3-AEE7-4D05-BD3A-F822586CCAA6}"/>
    <hyperlink ref="O91" r:id="rId34" xr:uid="{46F79EFF-A053-41A7-AC0B-22771CCE738A}"/>
    <hyperlink ref="O94" r:id="rId35" xr:uid="{CD1E8233-9D6D-40B1-8CA3-FF6FB314EFA6}"/>
    <hyperlink ref="O107" r:id="rId36" xr:uid="{0AEF0E92-C9CD-47B6-9A78-7E19DDA64D1F}"/>
    <hyperlink ref="O97" r:id="rId37" xr:uid="{E324C130-E20E-4F03-91F9-19604AE5F503}"/>
    <hyperlink ref="O113" r:id="rId38" xr:uid="{BE06A9EC-BB7F-4018-9D0E-0F946E07E0E8}"/>
    <hyperlink ref="O112" r:id="rId39" xr:uid="{22009AA5-F901-48AE-BEB1-A1418F17CABD}"/>
    <hyperlink ref="O111" r:id="rId40" xr:uid="{6A286348-58AE-44DA-AEDA-A9CDDF33E753}"/>
    <hyperlink ref="O56" r:id="rId41" xr:uid="{FEFDEBC5-40E3-43EF-9AE4-C672E0B5F985}"/>
    <hyperlink ref="O57" r:id="rId42" xr:uid="{FCB7867F-1514-401A-B6C3-DA954DBE48E4}"/>
    <hyperlink ref="O60" r:id="rId43" xr:uid="{72FFC77E-24D7-4055-83F0-EBCBAC5497B2}"/>
    <hyperlink ref="O84" r:id="rId44" xr:uid="{D0492A32-C8FB-4A93-9709-4E2F2D64FB2D}"/>
    <hyperlink ref="O72" r:id="rId45" xr:uid="{48B1883A-1774-4B30-AE6C-5B3E501472E3}"/>
    <hyperlink ref="O73" r:id="rId46" xr:uid="{0BF7313F-0EC3-4D16-B602-4B071718ECD3}"/>
    <hyperlink ref="O78" r:id="rId47" xr:uid="{B326FF29-B071-4743-95C5-F99E11E78E4A}"/>
    <hyperlink ref="O140" r:id="rId48" xr:uid="{20CD32A0-4B0F-4415-8A11-96CDD1C102D0}"/>
    <hyperlink ref="O133" r:id="rId49" xr:uid="{BF167683-8AEA-4581-A627-F205D92980EB}"/>
    <hyperlink ref="O138" r:id="rId50" xr:uid="{3A2978F3-9A5D-4921-8023-8BE27FF0B896}"/>
    <hyperlink ref="O132" r:id="rId51" xr:uid="{FB7FABFE-73F1-4ACF-9C82-DB97FC7CAFAD}"/>
    <hyperlink ref="O134" r:id="rId52" xr:uid="{4BA1A321-314F-470F-A67E-EE0B0B437153}"/>
    <hyperlink ref="O135" r:id="rId53" xr:uid="{070BCBDA-DF3F-4A9F-9ADE-DCB0FBD24597}"/>
    <hyperlink ref="O136" r:id="rId54" xr:uid="{FC5BE7D0-16BF-448E-8371-DB2D9E4884A7}"/>
    <hyperlink ref="O141" r:id="rId55" xr:uid="{C436766E-5201-454B-BC1C-66D12075AF3D}"/>
    <hyperlink ref="O128" r:id="rId56" xr:uid="{3D7C4F8C-880C-43B8-836F-66E800EC5A15}"/>
    <hyperlink ref="O129" r:id="rId57" xr:uid="{E8C87DE6-00E4-49A9-AFD4-7C75BFAA9FF5}"/>
    <hyperlink ref="O130" r:id="rId58" xr:uid="{8E28258D-7BFB-4E51-A380-4AB7083061BB}"/>
    <hyperlink ref="O67" r:id="rId59" location="/service/EnvironmentalImpactAssessments/EnvironmentalImpactAssessmentSearch" display="https://www.princeedwardisland.ca/en/feature/projects-under-environmental-review-undertakings/ - /service/EnvironmentalImpactAssessments/EnvironmentalImpactAssessmentSearch" xr:uid="{F5CC2004-2DC8-4EA3-975D-9F713E731130}"/>
    <hyperlink ref="O152" r:id="rId60" xr:uid="{4D3D479C-D23A-40C2-8814-7AE3AC395D20}"/>
    <hyperlink ref="O155" r:id="rId61" xr:uid="{531ADDAB-CB26-42D2-921F-62CFBF42E4F1}"/>
    <hyperlink ref="O156" r:id="rId62" xr:uid="{FFE1ECA6-0ED6-4329-BA9F-EF97467179E6}"/>
    <hyperlink ref="O168" r:id="rId63" xr:uid="{7E7C7D06-A4D0-4DE0-B9F2-4945DF177C45}"/>
    <hyperlink ref="O159" r:id="rId64" xr:uid="{39DB4DDF-3637-45EF-92A3-BDA5ECFC1884}"/>
    <hyperlink ref="O162" r:id="rId65" xr:uid="{89A0A1EB-D044-4A4F-97BB-DABD9334EB8E}"/>
    <hyperlink ref="O163" r:id="rId66" xr:uid="{B3409792-0DFE-45FF-BAD5-1C6025CE45E9}"/>
    <hyperlink ref="O169" r:id="rId67" xr:uid="{E1BBBFF6-4CC3-4B68-A76D-481D35E9C45F}"/>
    <hyperlink ref="O167" r:id="rId68" xr:uid="{07A1CED8-674E-43A8-A9D3-AF5B9F2600CE}"/>
    <hyperlink ref="O171" r:id="rId69" xr:uid="{23C1A71F-E423-400C-874B-730B52EA77BB}"/>
    <hyperlink ref="O179" r:id="rId70" xr:uid="{991C4D4F-F00F-41B0-87AD-38E48370C01D}"/>
    <hyperlink ref="O186" r:id="rId71" xr:uid="{286C6337-FE81-4008-A2C6-EA8571D9D36C}"/>
    <hyperlink ref="O195" r:id="rId72" xr:uid="{4776CF97-6AEC-4821-9D1C-ADE537996752}"/>
    <hyperlink ref="O158" r:id="rId73" xr:uid="{ACEF022C-735A-4CD7-AFBD-9F421A26A0EE}"/>
    <hyperlink ref="O161" r:id="rId74" xr:uid="{B14CE058-273E-4B86-958A-7621924FE0BC}"/>
    <hyperlink ref="O170" r:id="rId75" xr:uid="{1597486D-7D80-4C81-ACA0-4024529DC99B}"/>
    <hyperlink ref="O174" r:id="rId76" xr:uid="{314632AB-7780-41D4-97FC-8A269D987149}"/>
    <hyperlink ref="O175" r:id="rId77" xr:uid="{EAB4A733-5143-48F0-8090-E028B3CAC76C}"/>
    <hyperlink ref="O176" r:id="rId78" xr:uid="{5354B958-72B9-4588-8C47-072D02C92107}"/>
    <hyperlink ref="O177" r:id="rId79" xr:uid="{44717BD6-A54A-4299-BA48-852A3AB14A8F}"/>
    <hyperlink ref="O165" r:id="rId80" xr:uid="{2457A777-C31A-4D71-9AE0-A8955682529E}"/>
    <hyperlink ref="O150" r:id="rId81" xr:uid="{FDBD55DF-3034-4960-A277-6C21CB7B44AF}"/>
    <hyperlink ref="O164" r:id="rId82" xr:uid="{255DD13E-0768-4425-A6F6-BE6968E408C8}"/>
    <hyperlink ref="O153" r:id="rId83" xr:uid="{221F6C78-D573-49BF-BA7B-474D4B63CF2E}"/>
    <hyperlink ref="O157" r:id="rId84" xr:uid="{AF9F5F2D-2BFC-4823-8984-EB5CDED7D938}"/>
    <hyperlink ref="O172" r:id="rId85" xr:uid="{379980DC-AF63-4202-B0A6-1E20DD84E8AF}"/>
    <hyperlink ref="O173" r:id="rId86" xr:uid="{431E5742-99D5-43CD-9395-A0CF3BBD4A33}"/>
    <hyperlink ref="O151" r:id="rId87" xr:uid="{422A6A70-613F-4758-AABE-451069106871}"/>
    <hyperlink ref="O196" r:id="rId88" xr:uid="{19E6533B-8D2D-4339-A3FE-859925879588}"/>
    <hyperlink ref="O187" r:id="rId89" xr:uid="{510A1D8A-F38F-42E8-8AF6-E19AE240943C}"/>
    <hyperlink ref="O160" r:id="rId90" xr:uid="{DD5BE704-2C71-436C-89A7-6E24C0B79955}"/>
    <hyperlink ref="O154" r:id="rId91" xr:uid="{1AE33971-2B9D-458C-BF29-350B885728B2}"/>
    <hyperlink ref="O166" r:id="rId92" xr:uid="{3F17E46F-0556-432F-8D2F-68CDEBD32F86}"/>
    <hyperlink ref="O209" r:id="rId93" xr:uid="{AF9AF026-F0FE-4129-8CEF-B9E7483936D0}"/>
    <hyperlink ref="O199" r:id="rId94" xr:uid="{9754E33D-87AF-4AE5-BC0F-8290C9265D4D}"/>
    <hyperlink ref="O200" r:id="rId95" xr:uid="{B9F6B325-C7FB-4F5B-879F-0ED9ED878D31}"/>
    <hyperlink ref="O202" r:id="rId96" xr:uid="{187FAB3F-CA07-490E-B16D-7D0D9554B87C}"/>
    <hyperlink ref="O198" r:id="rId97" xr:uid="{F0D5EABD-5D64-465A-8369-01B781DEDD39}"/>
    <hyperlink ref="O207" r:id="rId98" xr:uid="{C9B1A32F-D461-42EE-B147-997AB9FC5D84}"/>
    <hyperlink ref="O203" r:id="rId99" xr:uid="{AF853730-C141-4C53-96A1-8AA00CFE399E}"/>
    <hyperlink ref="O210" r:id="rId100" xr:uid="{2F58CF05-F581-4926-8AB5-A2E23039D38D}"/>
    <hyperlink ref="O208" r:id="rId101" xr:uid="{D58C3813-B70B-455F-9BC6-C65CE1B296AF}"/>
    <hyperlink ref="O201" r:id="rId102" xr:uid="{A1BCF1FA-8499-4582-9A58-586434EFCC05}"/>
    <hyperlink ref="O204" r:id="rId103" xr:uid="{98C64F6F-94FA-437B-B1AB-05C8EE3E65D8}"/>
    <hyperlink ref="O219" r:id="rId104" xr:uid="{55948635-AFD2-420A-8599-5F5CB019739F}"/>
    <hyperlink ref="O205" r:id="rId105" xr:uid="{D0795BBA-DC9C-426C-A4F2-F950676B4D9A}"/>
    <hyperlink ref="O193" r:id="rId106" xr:uid="{EF983949-2D74-49FD-8225-D058E817A057}"/>
    <hyperlink ref="O191" r:id="rId107" xr:uid="{1EC666BD-9900-4CA3-A334-9728FAD56CEE}"/>
    <hyperlink ref="O190" r:id="rId108" xr:uid="{EB19A651-6127-4710-B8C2-E37C05D411CB}"/>
    <hyperlink ref="O189" r:id="rId109" xr:uid="{012B7024-97CF-4266-B9F2-20599F28A7D3}"/>
    <hyperlink ref="O192" r:id="rId110" xr:uid="{F245AF52-CF77-448E-A82D-68F76B3AB298}"/>
    <hyperlink ref="O188" r:id="rId111" xr:uid="{21D2F882-E0C2-4087-8699-A023F29576B5}"/>
    <hyperlink ref="O194" r:id="rId112" xr:uid="{AB689468-D441-4315-AF8D-7296B2A0AE71}"/>
    <hyperlink ref="O185" r:id="rId113" xr:uid="{A7A87106-5120-41D7-A85A-AEC385906121}"/>
    <hyperlink ref="O225" r:id="rId114" xr:uid="{D5AD2565-A546-4E02-974A-A25DBAD592D9}"/>
    <hyperlink ref="O221" r:id="rId115" xr:uid="{F77C3CF4-53BC-4E51-8CB8-9E1D3519A746}"/>
    <hyperlink ref="O222" r:id="rId116" xr:uid="{2F5218E6-FDBB-4842-87B4-F997983A1E3B}"/>
    <hyperlink ref="O223" r:id="rId117" xr:uid="{E995AF4E-58BE-474F-A6F9-54581E3BF8B3}"/>
    <hyperlink ref="O224" r:id="rId118" xr:uid="{C8AEFA1D-24BC-46CE-998F-07DC8F313443}"/>
    <hyperlink ref="O181" r:id="rId119" xr:uid="{688B6258-DF03-4926-9966-0DDE4B026CBE}"/>
    <hyperlink ref="O214" r:id="rId120" xr:uid="{7357F523-BF1B-4E2D-8121-BF898791EA00}"/>
    <hyperlink ref="O216" r:id="rId121" xr:uid="{370190BF-F8CD-4F16-B313-015434D2E93B}"/>
    <hyperlink ref="O226" r:id="rId122" xr:uid="{430D1CE1-130F-4A65-82D9-7171D1510366}"/>
    <hyperlink ref="O227" r:id="rId123" xr:uid="{14FEC3A9-B496-40E0-9FCD-A02F0CE4ABFA}"/>
    <hyperlink ref="O213" r:id="rId124" xr:uid="{FA05D037-EEBE-4099-A4DB-74C4F7DD46E3}"/>
    <hyperlink ref="O183" r:id="rId125" xr:uid="{7CBA04D0-1653-413F-9D38-867A1878724E}"/>
    <hyperlink ref="O220" r:id="rId126" xr:uid="{6869D9DC-DE80-405F-8B65-1793FB2974D5}"/>
    <hyperlink ref="O218" r:id="rId127" xr:uid="{8449F994-1583-40AF-A150-486759258179}"/>
    <hyperlink ref="O212" r:id="rId128" xr:uid="{1CBE1421-0ACE-4FED-A43E-702DE57C74F4}"/>
    <hyperlink ref="O211" r:id="rId129" xr:uid="{7628FB9F-7886-4C4A-83E9-AE4FA1FC0A4D}"/>
    <hyperlink ref="O184" r:id="rId130" xr:uid="{1BF82770-D64D-4922-9A36-09E6E550F4F8}"/>
    <hyperlink ref="O228" r:id="rId131" xr:uid="{02C4D8C7-4360-40C7-8D87-C2ADE9462FAE}"/>
    <hyperlink ref="O229" r:id="rId132" xr:uid="{A7A9AE16-9C71-4FCF-8B75-D9F70F68ECE6}"/>
    <hyperlink ref="O206" r:id="rId133" xr:uid="{71AC1284-0395-477E-BA48-9FD8F7B174CD}"/>
    <hyperlink ref="O182" r:id="rId134" xr:uid="{DFA851D5-08A7-442D-86A2-7EA7F99B8B09}"/>
    <hyperlink ref="O178" r:id="rId135" xr:uid="{F7A84B9F-5715-473C-A812-42827996A17F}"/>
    <hyperlink ref="O180" r:id="rId136" xr:uid="{7436E345-4539-4E6F-A5DF-F2F2A70F3F52}"/>
    <hyperlink ref="O217" r:id="rId137" xr:uid="{5588785B-F8EB-4BCE-BE4B-05AD4F499CD3}"/>
    <hyperlink ref="O215" r:id="rId138" xr:uid="{CDEE8C1C-CF43-4645-B7CE-4FD5FD06F3D5}"/>
    <hyperlink ref="O230" r:id="rId139" xr:uid="{553EC15B-2A67-47CC-A261-903025412FC5}"/>
    <hyperlink ref="O29" r:id="rId140" xr:uid="{34C80899-A921-4AE3-9F1F-870EB274D9BE}"/>
    <hyperlink ref="O36" r:id="rId141" xr:uid="{ECCEC47F-0DA3-46F4-9B31-C77DDB29CC9C}"/>
    <hyperlink ref="O241" r:id="rId142" xr:uid="{B7A34F3E-0921-4481-977E-E88592352B31}"/>
    <hyperlink ref="O242" r:id="rId143" xr:uid="{2185E2A4-C445-409F-ABEC-E5A6BC414319}"/>
    <hyperlink ref="O243" r:id="rId144" xr:uid="{F0108497-B0DC-468C-8088-BFE325C0F1D6}"/>
    <hyperlink ref="O244" r:id="rId145" xr:uid="{0C647689-A2FA-4B7A-9F57-C236C92F3E6C}"/>
    <hyperlink ref="O245" r:id="rId146" xr:uid="{780C813F-2AD9-48A0-9615-31B3AE37A9B8}"/>
    <hyperlink ref="O246" r:id="rId147" xr:uid="{F712A1B9-4C7C-46CD-AF11-3DC1233AB34D}"/>
    <hyperlink ref="O247" r:id="rId148" xr:uid="{198CC505-A42B-47DF-9AE2-670C5EA9A813}"/>
    <hyperlink ref="O248" r:id="rId149" xr:uid="{B347B5CA-FB71-4FD1-93DF-710BEBC41A2E}"/>
    <hyperlink ref="O249" r:id="rId150" xr:uid="{E277261F-FA3F-4A64-BA47-23A996852B05}"/>
    <hyperlink ref="O250" r:id="rId151" xr:uid="{2CBDE32F-77BD-417C-92B3-8DB188C38A71}"/>
    <hyperlink ref="O251" r:id="rId152" xr:uid="{9D634C99-B546-40B7-ACAA-F3101FD12560}"/>
    <hyperlink ref="O252" r:id="rId153" xr:uid="{B678C147-1EB9-4F0C-807C-4571B2D8F1C5}"/>
    <hyperlink ref="O253" r:id="rId154" xr:uid="{FF9FA9E4-9570-4ACD-82A4-E6780E36BC8F}"/>
    <hyperlink ref="O254" r:id="rId155" xr:uid="{80FD3DB1-BF14-4603-904C-862D3037E0C5}"/>
    <hyperlink ref="O255" r:id="rId156" xr:uid="{C027FBAE-E4FB-4E1B-9C6F-2A5DFFFFD423}"/>
    <hyperlink ref="O256" r:id="rId157" xr:uid="{BD3A24E2-0E6B-48BA-924B-79A5928BFD67}"/>
    <hyperlink ref="O257" r:id="rId158" xr:uid="{4EBA2E3F-B62D-483B-A7FA-23149CD9B4C1}"/>
    <hyperlink ref="O258" r:id="rId159" xr:uid="{9D90085F-3661-4D5E-A406-013B7A6E1B10}"/>
    <hyperlink ref="O259" r:id="rId160" xr:uid="{54AD481C-767C-40E6-BBD3-5EBCEABFDD42}"/>
    <hyperlink ref="O261" r:id="rId161" xr:uid="{84CF09A3-B643-404C-B798-26DEC7975C75}"/>
    <hyperlink ref="O262" r:id="rId162" xr:uid="{EB46375B-B31A-4AA0-8839-97BBC1CB56D5}"/>
    <hyperlink ref="O263" r:id="rId163" xr:uid="{6C995355-D39E-43C0-B1B3-7CDD3CA2D1F9}"/>
    <hyperlink ref="O264" r:id="rId164" xr:uid="{FD800CC3-072B-441C-8869-B4D1BB3C6987}"/>
    <hyperlink ref="O265" r:id="rId165" xr:uid="{9C03C293-EA0A-41C9-AF42-2D7611D5CC3B}"/>
    <hyperlink ref="O266" r:id="rId166" xr:uid="{7894FE8C-972A-4827-B7A0-9CD22DACC40F}"/>
    <hyperlink ref="O267" r:id="rId167" xr:uid="{212866EA-D777-4F69-A9E2-5DDC26E960A8}"/>
    <hyperlink ref="O268" r:id="rId168" xr:uid="{39BC2766-4CDD-42B1-929E-90F3BE5B1524}"/>
    <hyperlink ref="O270" r:id="rId169" xr:uid="{21985309-1924-4BEE-B942-57874415335C}"/>
    <hyperlink ref="O269" r:id="rId170" xr:uid="{F544F082-1CEE-4795-9F9D-0DB234E248AD}"/>
    <hyperlink ref="O271" r:id="rId171" xr:uid="{394DCA95-952B-4039-B31B-14B922D41B04}"/>
    <hyperlink ref="O272" r:id="rId172" xr:uid="{A83AA339-F7AA-410C-9EB0-C8695793429C}"/>
    <hyperlink ref="O273" r:id="rId173" xr:uid="{8CE8529E-EB07-4842-8EA6-CF5E78B14911}"/>
    <hyperlink ref="O274" r:id="rId174" xr:uid="{7BADD855-FA1A-4112-95E0-CA79AB39E054}"/>
    <hyperlink ref="O275" r:id="rId175" xr:uid="{04875F66-4EAF-46B4-88D8-3FDCD54A3516}"/>
    <hyperlink ref="O276" r:id="rId176" xr:uid="{5AC40E76-CCB2-4584-98FC-9C23400B49BF}"/>
    <hyperlink ref="O277" r:id="rId177" xr:uid="{5912FB76-3626-4087-8F1D-A08E62F0B3AE}"/>
    <hyperlink ref="O126" r:id="rId178" xr:uid="{7C05D5CF-9245-4284-8F2B-C4B9A8976DB5}"/>
    <hyperlink ref="O127" r:id="rId179" xr:uid="{931C2918-71E9-434C-B9B5-E60BFEDF0721}"/>
    <hyperlink ref="O131" r:id="rId180" xr:uid="{6040819D-2805-439A-B977-4C2F467DE0A2}"/>
    <hyperlink ref="O137" r:id="rId181" xr:uid="{C0585565-EE09-4712-AB76-0EFE7AEB65B7}"/>
    <hyperlink ref="O139" r:id="rId182" xr:uid="{46CA8BE8-276B-4450-8FF0-C7E861DB6780}"/>
    <hyperlink ref="O143" r:id="rId183" xr:uid="{194A5650-9ED6-481C-854F-E1924C663BB5}"/>
    <hyperlink ref="O144" r:id="rId184" xr:uid="{B15AC445-85DC-4BDD-ACAF-EE7FEA1F2607}"/>
    <hyperlink ref="O145" r:id="rId185" xr:uid="{885C8AB8-5C55-45C5-BFE4-D55EEC53B530}"/>
    <hyperlink ref="O146" r:id="rId186" xr:uid="{2EB8798E-C3C8-4CAC-883C-C111016E2067}"/>
    <hyperlink ref="O147" r:id="rId187" xr:uid="{DC79BDED-2D1C-4C39-A6CD-AD362C9C2F2D}"/>
    <hyperlink ref="O148" r:id="rId188" xr:uid="{F45BC179-8BA5-4B48-AE02-F6E3D2D52F98}"/>
    <hyperlink ref="O149" r:id="rId189" xr:uid="{7DE7D04C-9C13-4EDB-A58C-35535ECB5F5A}"/>
    <hyperlink ref="O125" r:id="rId190" xr:uid="{355CEAD7-6EEA-4DFE-A11C-84164F1D9C43}"/>
    <hyperlink ref="O142" r:id="rId191" xr:uid="{C09A42E9-3CC3-410E-8207-0975149A879C}"/>
    <hyperlink ref="O79" r:id="rId192" xr:uid="{6CE5CE82-1A48-4238-95DA-216E8069DFE1}"/>
    <hyperlink ref="O80" r:id="rId193" xr:uid="{EF9FFD88-1C4C-4460-8B40-31B98E07EFEE}"/>
    <hyperlink ref="O58" r:id="rId194" xr:uid="{2CCBF664-D993-4A2A-A1CA-720C7578F0A9}"/>
    <hyperlink ref="O59" r:id="rId195" xr:uid="{95BF55A4-E1CE-49B4-8700-1AF077C09412}"/>
    <hyperlink ref="O61" r:id="rId196" xr:uid="{D7C6C616-08AD-4C6A-996E-68404AD4A3C6}"/>
    <hyperlink ref="O62" r:id="rId197" xr:uid="{44ABC8B3-D08E-4C9C-BC76-466881CB191C}"/>
    <hyperlink ref="O63" r:id="rId198" xr:uid="{39F54A01-2E00-4272-BBA4-E261879AA5CA}"/>
    <hyperlink ref="O64" r:id="rId199" xr:uid="{D51DA59A-778F-441B-8CDF-C072C2046A90}"/>
    <hyperlink ref="O70" r:id="rId200" xr:uid="{DAC40819-8DF1-40B0-A24F-DC42F1842E6D}"/>
    <hyperlink ref="O71" r:id="rId201" xr:uid="{8E588498-6A8F-4DC3-B16D-7627E63D1A8C}"/>
    <hyperlink ref="O121" r:id="rId202" xr:uid="{25A313B5-2A85-4FBC-9657-D1B97B71BAC6}"/>
    <hyperlink ref="O278" r:id="rId203" xr:uid="{D1350102-C5C5-426A-8916-DCC84D320590}"/>
    <hyperlink ref="O279" r:id="rId204" xr:uid="{74852D56-13F5-4BCC-A568-E2738CA81379}"/>
    <hyperlink ref="O280" r:id="rId205" xr:uid="{25DA9CD8-F90D-4327-A6CF-B4CD97DE5618}"/>
    <hyperlink ref="O281" r:id="rId206" xr:uid="{7490498F-7C0E-422D-9DEE-66A99164574C}"/>
    <hyperlink ref="O282" r:id="rId207" xr:uid="{49ADFAF3-68E7-4237-97D8-300C8871F74C}"/>
    <hyperlink ref="O283" r:id="rId208" xr:uid="{3DC5A357-305A-4C37-8924-042CFF001139}"/>
    <hyperlink ref="O284" r:id="rId209" xr:uid="{89BACE65-314B-4CD5-B68B-295363526495}"/>
    <hyperlink ref="O285" r:id="rId210" xr:uid="{9150F9A7-FDEC-40CA-8C62-A783E786F8A5}"/>
    <hyperlink ref="O286" r:id="rId211" xr:uid="{35214B52-6B12-4364-8EEE-D858B3DAA7A1}"/>
    <hyperlink ref="O287" r:id="rId212" xr:uid="{532683CF-B703-4AD3-9B59-EC2C9F1CED2C}"/>
    <hyperlink ref="O288" r:id="rId213" xr:uid="{37E22E6E-4789-4F64-A544-ACB7130993CC}"/>
  </hyperlinks>
  <pageMargins left="0.7" right="0.7" top="0.75" bottom="0.75" header="0.3" footer="0.3"/>
  <customProperties>
    <customPr name="EpmWorksheetKeyString_GUID" r:id="rId214"/>
  </customProperties>
  <tableParts count="1">
    <tablePart r:id="rId21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E0192EF6487248A841ECD9BF893697" ma:contentTypeVersion="13" ma:contentTypeDescription="Create a new document." ma:contentTypeScope="" ma:versionID="6d494cf5a91b7a535d0a147aafdd869b">
  <xsd:schema xmlns:xsd="http://www.w3.org/2001/XMLSchema" xmlns:xs="http://www.w3.org/2001/XMLSchema" xmlns:p="http://schemas.microsoft.com/office/2006/metadata/properties" xmlns:ns2="af0ce2a7-371e-45af-ab55-28eb2c51cea6" xmlns:ns3="d619e555-b846-4fbe-bef5-9de308391714" targetNamespace="http://schemas.microsoft.com/office/2006/metadata/properties" ma:root="true" ma:fieldsID="4f4f350ddbfee4451be5894c7e6fe0ef" ns2:_="" ns3:_="">
    <xsd:import namespace="af0ce2a7-371e-45af-ab55-28eb2c51cea6"/>
    <xsd:import namespace="d619e555-b846-4fbe-bef5-9de3083917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0ce2a7-371e-45af-ab55-28eb2c51ce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a5e057b-9dc0-420d-9cdc-9e40336a74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19e555-b846-4fbe-bef5-9de30839171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dc07d8d-04a8-463d-8fe7-a78d3d4b7384}" ma:internalName="TaxCatchAll" ma:showField="CatchAllData" ma:web="d619e555-b846-4fbe-bef5-9de3083917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f0ce2a7-371e-45af-ab55-28eb2c51cea6">
      <Terms xmlns="http://schemas.microsoft.com/office/infopath/2007/PartnerControls"/>
    </lcf76f155ced4ddcb4097134ff3c332f>
    <TaxCatchAll xmlns="d619e555-b846-4fbe-bef5-9de308391714" xsi:nil="true"/>
  </documentManagement>
</p:properties>
</file>

<file path=customXml/itemProps1.xml><?xml version="1.0" encoding="utf-8"?>
<ds:datastoreItem xmlns:ds="http://schemas.openxmlformats.org/officeDocument/2006/customXml" ds:itemID="{55E8AB1C-522C-4B0A-A651-318325E7E5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0ce2a7-371e-45af-ab55-28eb2c51cea6"/>
    <ds:schemaRef ds:uri="d619e555-b846-4fbe-bef5-9de3083917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61E312-EA91-4ACF-B38A-CAEBC0F7B9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D4112A-D72E-4705-A006-7A7260D66218}">
  <ds:schemaRefs>
    <ds:schemaRef ds:uri="http://schemas.microsoft.com/office/2006/metadata/properties"/>
    <ds:schemaRef ds:uri="http://schemas.microsoft.com/office/infopath/2007/PartnerControls"/>
    <ds:schemaRef ds:uri="af0ce2a7-371e-45af-ab55-28eb2c51cea6"/>
    <ds:schemaRef ds:uri="d619e555-b846-4fbe-bef5-9de308391714"/>
  </ds:schemaRefs>
</ds:datastoreItem>
</file>

<file path=docMetadata/LabelInfo.xml><?xml version="1.0" encoding="utf-8"?>
<clbl:labelList xmlns:clbl="http://schemas.microsoft.com/office/2020/mipLabelMetadata">
  <clbl:label id="{219619fd-75dc-48cb-820d-8f683a95dd8b}" enabled="1" method="Privileged" siteId="{05c95b33-90ca-49d5-b644-288b930b912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License</vt:lpstr>
      <vt:lpstr>NERC TIERs</vt:lpstr>
      <vt:lpstr>AESO</vt:lpstr>
      <vt:lpstr>Projects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 Matos, Nathan (he, him | il, lui)</cp:lastModifiedBy>
  <cp:revision/>
  <dcterms:created xsi:type="dcterms:W3CDTF">2025-12-22T23:03:17Z</dcterms:created>
  <dcterms:modified xsi:type="dcterms:W3CDTF">2026-10-02T18:24:51Z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19619fd-75dc-48cb-820d-8f683a95dd8b_Enabled">
    <vt:lpwstr>true</vt:lpwstr>
  </property>
  <property fmtid="{D5CDD505-2E9C-101B-9397-08002B2CF9AE}" pid="3" name="MSIP_Label_219619fd-75dc-48cb-820d-8f683a95dd8b_SetDate">
    <vt:lpwstr>2025-12-22T23:03:17Z</vt:lpwstr>
  </property>
  <property fmtid="{D5CDD505-2E9C-101B-9397-08002B2CF9AE}" pid="4" name="MSIP_Label_219619fd-75dc-48cb-820d-8f683a95dd8b_Method">
    <vt:lpwstr>Standard</vt:lpwstr>
  </property>
  <property fmtid="{D5CDD505-2E9C-101B-9397-08002B2CF9AE}" pid="5" name="MSIP_Label_219619fd-75dc-48cb-820d-8f683a95dd8b_Name">
    <vt:lpwstr>Unclassified - Non classifié</vt:lpwstr>
  </property>
  <property fmtid="{D5CDD505-2E9C-101B-9397-08002B2CF9AE}" pid="6" name="MSIP_Label_219619fd-75dc-48cb-820d-8f683a95dd8b_SiteId">
    <vt:lpwstr>05c95b33-90ca-49d5-b644-288b930b912b</vt:lpwstr>
  </property>
  <property fmtid="{D5CDD505-2E9C-101B-9397-08002B2CF9AE}" pid="7" name="MSIP_Label_219619fd-75dc-48cb-820d-8f683a95dd8b_ActionId">
    <vt:lpwstr>9e87417b-b06c-4fc2-8e22-050254af1c98</vt:lpwstr>
  </property>
  <property fmtid="{D5CDD505-2E9C-101B-9397-08002B2CF9AE}" pid="8" name="MSIP_Label_219619fd-75dc-48cb-820d-8f683a95dd8b_ContentBits">
    <vt:lpwstr>0</vt:lpwstr>
  </property>
  <property fmtid="{D5CDD505-2E9C-101B-9397-08002B2CF9AE}" pid="9" name="ContentTypeId">
    <vt:lpwstr>0x010100B5E0192EF6487248A841ECD9BF893697</vt:lpwstr>
  </property>
  <property fmtid="{D5CDD505-2E9C-101B-9397-08002B2CF9AE}" pid="10" name="MediaServiceImageTags">
    <vt:lpwstr/>
  </property>
</Properties>
</file>